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11" codeName="{873B2839-AC87-7CC4-5C0F-16DCB9831742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donaldson/Desktop/MonteCarlo/"/>
    </mc:Choice>
  </mc:AlternateContent>
  <xr:revisionPtr revIDLastSave="0" documentId="8_{B4DFB196-16EE-5D47-B29C-F86ED0C6767A}" xr6:coauthVersionLast="47" xr6:coauthVersionMax="47" xr10:uidLastSave="{00000000-0000-0000-0000-000000000000}"/>
  <bookViews>
    <workbookView xWindow="0" yWindow="740" windowWidth="34560" windowHeight="21600" tabRatio="50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" i="1" l="1"/>
  <c r="C17" i="1"/>
  <c r="C16" i="1"/>
  <c r="C15" i="1"/>
  <c r="C14" i="1"/>
  <c r="C13" i="1"/>
  <c r="C11" i="1"/>
  <c r="C12" i="1"/>
  <c r="D16" i="1"/>
  <c r="O11" i="1" l="1"/>
  <c r="C6" i="1" s="1"/>
  <c r="C988" i="1" l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D21" i="1"/>
  <c r="D20" i="1"/>
  <c r="R40" i="1"/>
  <c r="D32" i="1" l="1"/>
  <c r="D38" i="1"/>
  <c r="D204" i="1"/>
  <c r="D254" i="1"/>
  <c r="D278" i="1"/>
  <c r="D42" i="1"/>
  <c r="D270" i="1"/>
  <c r="D262" i="1"/>
  <c r="D30" i="1"/>
  <c r="D196" i="1"/>
  <c r="D987" i="1"/>
  <c r="D985" i="1"/>
  <c r="D983" i="1"/>
  <c r="D981" i="1"/>
  <c r="D979" i="1"/>
  <c r="D977" i="1"/>
  <c r="D975" i="1"/>
  <c r="D973" i="1"/>
  <c r="D971" i="1"/>
  <c r="D969" i="1"/>
  <c r="D967" i="1"/>
  <c r="D965" i="1"/>
  <c r="D963" i="1"/>
  <c r="D961" i="1"/>
  <c r="D959" i="1"/>
  <c r="D957" i="1"/>
  <c r="D955" i="1"/>
  <c r="D953" i="1"/>
  <c r="D951" i="1"/>
  <c r="D949" i="1"/>
  <c r="D947" i="1"/>
  <c r="D945" i="1"/>
  <c r="D943" i="1"/>
  <c r="D941" i="1"/>
  <c r="D939" i="1"/>
  <c r="D937" i="1"/>
  <c r="D935" i="1"/>
  <c r="D933" i="1"/>
  <c r="D931" i="1"/>
  <c r="D929" i="1"/>
  <c r="D927" i="1"/>
  <c r="D925" i="1"/>
  <c r="D923" i="1"/>
  <c r="D921" i="1"/>
  <c r="D919" i="1"/>
  <c r="D917" i="1"/>
  <c r="D915" i="1"/>
  <c r="D913" i="1"/>
  <c r="D911" i="1"/>
  <c r="D909" i="1"/>
  <c r="D907" i="1"/>
  <c r="D905" i="1"/>
  <c r="D903" i="1"/>
  <c r="D901" i="1"/>
  <c r="D899" i="1"/>
  <c r="D897" i="1"/>
  <c r="D895" i="1"/>
  <c r="D893" i="1"/>
  <c r="D891" i="1"/>
  <c r="D889" i="1"/>
  <c r="D887" i="1"/>
  <c r="D885" i="1"/>
  <c r="D883" i="1"/>
  <c r="D881" i="1"/>
  <c r="D879" i="1"/>
  <c r="D877" i="1"/>
  <c r="D875" i="1"/>
  <c r="D873" i="1"/>
  <c r="D871" i="1"/>
  <c r="D869" i="1"/>
  <c r="D867" i="1"/>
  <c r="D865" i="1"/>
  <c r="D863" i="1"/>
  <c r="D861" i="1"/>
  <c r="D859" i="1"/>
  <c r="D857" i="1"/>
  <c r="D855" i="1"/>
  <c r="D853" i="1"/>
  <c r="D851" i="1"/>
  <c r="D849" i="1"/>
  <c r="D847" i="1"/>
  <c r="D845" i="1"/>
  <c r="D843" i="1"/>
  <c r="D841" i="1"/>
  <c r="D839" i="1"/>
  <c r="D837" i="1"/>
  <c r="D835" i="1"/>
  <c r="D833" i="1"/>
  <c r="D831" i="1"/>
  <c r="D829" i="1"/>
  <c r="D827" i="1"/>
  <c r="D825" i="1"/>
  <c r="D823" i="1"/>
  <c r="D821" i="1"/>
  <c r="D819" i="1"/>
  <c r="D986" i="1"/>
  <c r="D978" i="1"/>
  <c r="D970" i="1"/>
  <c r="D962" i="1"/>
  <c r="D954" i="1"/>
  <c r="D946" i="1"/>
  <c r="D938" i="1"/>
  <c r="D930" i="1"/>
  <c r="D922" i="1"/>
  <c r="D914" i="1"/>
  <c r="D906" i="1"/>
  <c r="D898" i="1"/>
  <c r="D890" i="1"/>
  <c r="D882" i="1"/>
  <c r="D874" i="1"/>
  <c r="D866" i="1"/>
  <c r="D858" i="1"/>
  <c r="D850" i="1"/>
  <c r="D838" i="1"/>
  <c r="D822" i="1"/>
  <c r="D980" i="1"/>
  <c r="D972" i="1"/>
  <c r="D964" i="1"/>
  <c r="D956" i="1"/>
  <c r="D948" i="1"/>
  <c r="D940" i="1"/>
  <c r="D932" i="1"/>
  <c r="D924" i="1"/>
  <c r="D916" i="1"/>
  <c r="D908" i="1"/>
  <c r="D900" i="1"/>
  <c r="D892" i="1"/>
  <c r="D884" i="1"/>
  <c r="D876" i="1"/>
  <c r="D868" i="1"/>
  <c r="D860" i="1"/>
  <c r="D852" i="1"/>
  <c r="D842" i="1"/>
  <c r="D974" i="1"/>
  <c r="D960" i="1"/>
  <c r="D942" i="1"/>
  <c r="D928" i="1"/>
  <c r="D910" i="1"/>
  <c r="D896" i="1"/>
  <c r="D878" i="1"/>
  <c r="D864" i="1"/>
  <c r="D846" i="1"/>
  <c r="D828" i="1"/>
  <c r="D818" i="1"/>
  <c r="D811" i="1"/>
  <c r="D802" i="1"/>
  <c r="D795" i="1"/>
  <c r="D786" i="1"/>
  <c r="D779" i="1"/>
  <c r="D770" i="1"/>
  <c r="D768" i="1"/>
  <c r="D766" i="1"/>
  <c r="D764" i="1"/>
  <c r="D762" i="1"/>
  <c r="D760" i="1"/>
  <c r="D758" i="1"/>
  <c r="D756" i="1"/>
  <c r="D754" i="1"/>
  <c r="D752" i="1"/>
  <c r="D750" i="1"/>
  <c r="D748" i="1"/>
  <c r="D746" i="1"/>
  <c r="D744" i="1"/>
  <c r="D742" i="1"/>
  <c r="D740" i="1"/>
  <c r="D738" i="1"/>
  <c r="D736" i="1"/>
  <c r="D734" i="1"/>
  <c r="D732" i="1"/>
  <c r="D730" i="1"/>
  <c r="D728" i="1"/>
  <c r="D726" i="1"/>
  <c r="D724" i="1"/>
  <c r="D722" i="1"/>
  <c r="D720" i="1"/>
  <c r="D718" i="1"/>
  <c r="D716" i="1"/>
  <c r="D714" i="1"/>
  <c r="D712" i="1"/>
  <c r="D710" i="1"/>
  <c r="D708" i="1"/>
  <c r="D840" i="1"/>
  <c r="D830" i="1"/>
  <c r="D820" i="1"/>
  <c r="D813" i="1"/>
  <c r="D952" i="1"/>
  <c r="D936" i="1"/>
  <c r="D886" i="1"/>
  <c r="D817" i="1"/>
  <c r="D809" i="1"/>
  <c r="D804" i="1"/>
  <c r="D799" i="1"/>
  <c r="D794" i="1"/>
  <c r="D789" i="1"/>
  <c r="D784" i="1"/>
  <c r="D774" i="1"/>
  <c r="D769" i="1"/>
  <c r="D753" i="1"/>
  <c r="D737" i="1"/>
  <c r="D721" i="1"/>
  <c r="D984" i="1"/>
  <c r="D976" i="1"/>
  <c r="D934" i="1"/>
  <c r="D926" i="1"/>
  <c r="D848" i="1"/>
  <c r="D803" i="1"/>
  <c r="D793" i="1"/>
  <c r="D788" i="1"/>
  <c r="D783" i="1"/>
  <c r="D778" i="1"/>
  <c r="D773" i="1"/>
  <c r="D759" i="1"/>
  <c r="D743" i="1"/>
  <c r="D950" i="1"/>
  <c r="D888" i="1"/>
  <c r="D872" i="1"/>
  <c r="D844" i="1"/>
  <c r="D834" i="1"/>
  <c r="D816" i="1"/>
  <c r="D808" i="1"/>
  <c r="D798" i="1"/>
  <c r="D785" i="1"/>
  <c r="D761" i="1"/>
  <c r="D745" i="1"/>
  <c r="D729" i="1"/>
  <c r="D713" i="1"/>
  <c r="D988" i="1"/>
  <c r="D854" i="1"/>
  <c r="D824" i="1"/>
  <c r="D776" i="1"/>
  <c r="D747" i="1"/>
  <c r="D741" i="1"/>
  <c r="D709" i="1"/>
  <c r="D706" i="1"/>
  <c r="D701" i="1"/>
  <c r="D692" i="1"/>
  <c r="D685" i="1"/>
  <c r="D676" i="1"/>
  <c r="D669" i="1"/>
  <c r="D660" i="1"/>
  <c r="D653" i="1"/>
  <c r="D918" i="1"/>
  <c r="D894" i="1"/>
  <c r="D862" i="1"/>
  <c r="D836" i="1"/>
  <c r="D904" i="1"/>
  <c r="D815" i="1"/>
  <c r="D812" i="1"/>
  <c r="D805" i="1"/>
  <c r="D781" i="1"/>
  <c r="D771" i="1"/>
  <c r="D765" i="1"/>
  <c r="D719" i="1"/>
  <c r="D705" i="1"/>
  <c r="D698" i="1"/>
  <c r="D691" i="1"/>
  <c r="D682" i="1"/>
  <c r="D675" i="1"/>
  <c r="D666" i="1"/>
  <c r="D659" i="1"/>
  <c r="D650" i="1"/>
  <c r="D968" i="1"/>
  <c r="D958" i="1"/>
  <c r="D870" i="1"/>
  <c r="D856" i="1"/>
  <c r="D801" i="1"/>
  <c r="D797" i="1"/>
  <c r="D791" i="1"/>
  <c r="D755" i="1"/>
  <c r="D749" i="1"/>
  <c r="D727" i="1"/>
  <c r="D700" i="1"/>
  <c r="D693" i="1"/>
  <c r="D684" i="1"/>
  <c r="D677" i="1"/>
  <c r="D668" i="1"/>
  <c r="D661" i="1"/>
  <c r="D652" i="1"/>
  <c r="D966" i="1"/>
  <c r="D767" i="1"/>
  <c r="D763" i="1"/>
  <c r="D723" i="1"/>
  <c r="D695" i="1"/>
  <c r="D689" i="1"/>
  <c r="D670" i="1"/>
  <c r="D664" i="1"/>
  <c r="D651" i="1"/>
  <c r="D645" i="1"/>
  <c r="D642" i="1"/>
  <c r="D629" i="1"/>
  <c r="D626" i="1"/>
  <c r="D613" i="1"/>
  <c r="D610" i="1"/>
  <c r="D597" i="1"/>
  <c r="D594" i="1"/>
  <c r="D581" i="1"/>
  <c r="D578" i="1"/>
  <c r="D565" i="1"/>
  <c r="D562" i="1"/>
  <c r="D549" i="1"/>
  <c r="D546" i="1"/>
  <c r="D533" i="1"/>
  <c r="D530" i="1"/>
  <c r="D517" i="1"/>
  <c r="D514" i="1"/>
  <c r="D501" i="1"/>
  <c r="D498" i="1"/>
  <c r="D485" i="1"/>
  <c r="D482" i="1"/>
  <c r="D469" i="1"/>
  <c r="D466" i="1"/>
  <c r="D453" i="1"/>
  <c r="D450" i="1"/>
  <c r="D437" i="1"/>
  <c r="D434" i="1"/>
  <c r="D422" i="1"/>
  <c r="D419" i="1"/>
  <c r="D679" i="1"/>
  <c r="D673" i="1"/>
  <c r="D654" i="1"/>
  <c r="D648" i="1"/>
  <c r="D635" i="1"/>
  <c r="D632" i="1"/>
  <c r="D619" i="1"/>
  <c r="D616" i="1"/>
  <c r="D603" i="1"/>
  <c r="D600" i="1"/>
  <c r="D587" i="1"/>
  <c r="D584" i="1"/>
  <c r="D571" i="1"/>
  <c r="D568" i="1"/>
  <c r="D555" i="1"/>
  <c r="D552" i="1"/>
  <c r="D539" i="1"/>
  <c r="D536" i="1"/>
  <c r="D523" i="1"/>
  <c r="D520" i="1"/>
  <c r="D507" i="1"/>
  <c r="D504" i="1"/>
  <c r="D491" i="1"/>
  <c r="D488" i="1"/>
  <c r="D475" i="1"/>
  <c r="D472" i="1"/>
  <c r="D459" i="1"/>
  <c r="D456" i="1"/>
  <c r="D775" i="1"/>
  <c r="D715" i="1"/>
  <c r="D704" i="1"/>
  <c r="D663" i="1"/>
  <c r="D657" i="1"/>
  <c r="D641" i="1"/>
  <c r="D638" i="1"/>
  <c r="D625" i="1"/>
  <c r="D622" i="1"/>
  <c r="D609" i="1"/>
  <c r="D606" i="1"/>
  <c r="D593" i="1"/>
  <c r="D590" i="1"/>
  <c r="D577" i="1"/>
  <c r="D574" i="1"/>
  <c r="D561" i="1"/>
  <c r="D558" i="1"/>
  <c r="D545" i="1"/>
  <c r="D542" i="1"/>
  <c r="D529" i="1"/>
  <c r="D526" i="1"/>
  <c r="D513" i="1"/>
  <c r="D510" i="1"/>
  <c r="D497" i="1"/>
  <c r="D494" i="1"/>
  <c r="D481" i="1"/>
  <c r="D478" i="1"/>
  <c r="D465" i="1"/>
  <c r="D462" i="1"/>
  <c r="D449" i="1"/>
  <c r="D446" i="1"/>
  <c r="D433" i="1"/>
  <c r="D430" i="1"/>
  <c r="D424" i="1"/>
  <c r="D421" i="1"/>
  <c r="D944" i="1"/>
  <c r="D920" i="1"/>
  <c r="D832" i="1"/>
  <c r="D826" i="1"/>
  <c r="D792" i="1"/>
  <c r="D782" i="1"/>
  <c r="D757" i="1"/>
  <c r="D725" i="1"/>
  <c r="D703" i="1"/>
  <c r="D681" i="1"/>
  <c r="D678" i="1"/>
  <c r="D672" i="1"/>
  <c r="D637" i="1"/>
  <c r="D634" i="1"/>
  <c r="D621" i="1"/>
  <c r="D618" i="1"/>
  <c r="D605" i="1"/>
  <c r="D602" i="1"/>
  <c r="D589" i="1"/>
  <c r="D586" i="1"/>
  <c r="D573" i="1"/>
  <c r="D570" i="1"/>
  <c r="D557" i="1"/>
  <c r="D554" i="1"/>
  <c r="D541" i="1"/>
  <c r="D538" i="1"/>
  <c r="D982" i="1"/>
  <c r="D810" i="1"/>
  <c r="D806" i="1"/>
  <c r="D796" i="1"/>
  <c r="D699" i="1"/>
  <c r="D690" i="1"/>
  <c r="D687" i="1"/>
  <c r="D665" i="1"/>
  <c r="D662" i="1"/>
  <c r="D656" i="1"/>
  <c r="D643" i="1"/>
  <c r="D640" i="1"/>
  <c r="D627" i="1"/>
  <c r="D624" i="1"/>
  <c r="D611" i="1"/>
  <c r="D608" i="1"/>
  <c r="D595" i="1"/>
  <c r="D592" i="1"/>
  <c r="D579" i="1"/>
  <c r="D576" i="1"/>
  <c r="D563" i="1"/>
  <c r="D560" i="1"/>
  <c r="D547" i="1"/>
  <c r="D544" i="1"/>
  <c r="D531" i="1"/>
  <c r="D528" i="1"/>
  <c r="D515" i="1"/>
  <c r="D512" i="1"/>
  <c r="D499" i="1"/>
  <c r="D496" i="1"/>
  <c r="D483" i="1"/>
  <c r="D480" i="1"/>
  <c r="D467" i="1"/>
  <c r="D464" i="1"/>
  <c r="D451" i="1"/>
  <c r="D448" i="1"/>
  <c r="D807" i="1"/>
  <c r="D800" i="1"/>
  <c r="D787" i="1"/>
  <c r="D717" i="1"/>
  <c r="D711" i="1"/>
  <c r="D671" i="1"/>
  <c r="D639" i="1"/>
  <c r="D614" i="1"/>
  <c r="D588" i="1"/>
  <c r="D583" i="1"/>
  <c r="D537" i="1"/>
  <c r="D532" i="1"/>
  <c r="D527" i="1"/>
  <c r="D505" i="1"/>
  <c r="D500" i="1"/>
  <c r="D495" i="1"/>
  <c r="D473" i="1"/>
  <c r="D468" i="1"/>
  <c r="D463" i="1"/>
  <c r="D438" i="1"/>
  <c r="D414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912" i="1"/>
  <c r="D780" i="1"/>
  <c r="D751" i="1"/>
  <c r="D739" i="1"/>
  <c r="D733" i="1"/>
  <c r="D694" i="1"/>
  <c r="D649" i="1"/>
  <c r="D644" i="1"/>
  <c r="D623" i="1"/>
  <c r="D598" i="1"/>
  <c r="D572" i="1"/>
  <c r="D567" i="1"/>
  <c r="D518" i="1"/>
  <c r="D486" i="1"/>
  <c r="D454" i="1"/>
  <c r="D441" i="1"/>
  <c r="D429" i="1"/>
  <c r="D426" i="1"/>
  <c r="D416" i="1"/>
  <c r="D407" i="1"/>
  <c r="D680" i="1"/>
  <c r="D633" i="1"/>
  <c r="D628" i="1"/>
  <c r="D607" i="1"/>
  <c r="D582" i="1"/>
  <c r="D556" i="1"/>
  <c r="D551" i="1"/>
  <c r="D522" i="1"/>
  <c r="D508" i="1"/>
  <c r="D490" i="1"/>
  <c r="D476" i="1"/>
  <c r="D458" i="1"/>
  <c r="D444" i="1"/>
  <c r="D902" i="1"/>
  <c r="D790" i="1"/>
  <c r="D772" i="1"/>
  <c r="D731" i="1"/>
  <c r="D697" i="1"/>
  <c r="D688" i="1"/>
  <c r="D683" i="1"/>
  <c r="D647" i="1"/>
  <c r="D601" i="1"/>
  <c r="D596" i="1"/>
  <c r="D575" i="1"/>
  <c r="D550" i="1"/>
  <c r="D521" i="1"/>
  <c r="D516" i="1"/>
  <c r="D511" i="1"/>
  <c r="D489" i="1"/>
  <c r="D484" i="1"/>
  <c r="D479" i="1"/>
  <c r="D457" i="1"/>
  <c r="D452" i="1"/>
  <c r="D447" i="1"/>
  <c r="D443" i="1"/>
  <c r="D428" i="1"/>
  <c r="D413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702" i="1"/>
  <c r="D636" i="1"/>
  <c r="D631" i="1"/>
  <c r="D585" i="1"/>
  <c r="D580" i="1"/>
  <c r="D559" i="1"/>
  <c r="D534" i="1"/>
  <c r="D502" i="1"/>
  <c r="D470" i="1"/>
  <c r="D439" i="1"/>
  <c r="D435" i="1"/>
  <c r="D431" i="1"/>
  <c r="D415" i="1"/>
  <c r="D408" i="1"/>
  <c r="D880" i="1"/>
  <c r="D814" i="1"/>
  <c r="D777" i="1"/>
  <c r="D735" i="1"/>
  <c r="D707" i="1"/>
  <c r="D696" i="1"/>
  <c r="D667" i="1"/>
  <c r="D646" i="1"/>
  <c r="D620" i="1"/>
  <c r="D615" i="1"/>
  <c r="D569" i="1"/>
  <c r="D564" i="1"/>
  <c r="D543" i="1"/>
  <c r="D524" i="1"/>
  <c r="D506" i="1"/>
  <c r="D492" i="1"/>
  <c r="D474" i="1"/>
  <c r="D460" i="1"/>
  <c r="D617" i="1"/>
  <c r="D540" i="1"/>
  <c r="D493" i="1"/>
  <c r="D440" i="1"/>
  <c r="D356" i="1"/>
  <c r="D340" i="1"/>
  <c r="D324" i="1"/>
  <c r="D308" i="1"/>
  <c r="D674" i="1"/>
  <c r="D630" i="1"/>
  <c r="D525" i="1"/>
  <c r="D471" i="1"/>
  <c r="D423" i="1"/>
  <c r="D418" i="1"/>
  <c r="D411" i="1"/>
  <c r="D360" i="1"/>
  <c r="D344" i="1"/>
  <c r="D328" i="1"/>
  <c r="D312" i="1"/>
  <c r="D303" i="1"/>
  <c r="D301" i="1"/>
  <c r="D299" i="1"/>
  <c r="D297" i="1"/>
  <c r="D295" i="1"/>
  <c r="D293" i="1"/>
  <c r="D291" i="1"/>
  <c r="D289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658" i="1"/>
  <c r="D566" i="1"/>
  <c r="D477" i="1"/>
  <c r="D362" i="1"/>
  <c r="D346" i="1"/>
  <c r="D330" i="1"/>
  <c r="D314" i="1"/>
  <c r="D686" i="1"/>
  <c r="D503" i="1"/>
  <c r="D432" i="1"/>
  <c r="D427" i="1"/>
  <c r="D417" i="1"/>
  <c r="D410" i="1"/>
  <c r="D364" i="1"/>
  <c r="D348" i="1"/>
  <c r="D332" i="1"/>
  <c r="D316" i="1"/>
  <c r="D519" i="1"/>
  <c r="D366" i="1"/>
  <c r="D352" i="1"/>
  <c r="D334" i="1"/>
  <c r="D320" i="1"/>
  <c r="D296" i="1"/>
  <c r="D280" i="1"/>
  <c r="D264" i="1"/>
  <c r="D248" i="1"/>
  <c r="D232" i="1"/>
  <c r="D216" i="1"/>
  <c r="D202" i="1"/>
  <c r="D548" i="1"/>
  <c r="D445" i="1"/>
  <c r="D420" i="1"/>
  <c r="D599" i="1"/>
  <c r="D425" i="1"/>
  <c r="D409" i="1"/>
  <c r="D358" i="1"/>
  <c r="D326" i="1"/>
  <c r="D292" i="1"/>
  <c r="D276" i="1"/>
  <c r="D260" i="1"/>
  <c r="D244" i="1"/>
  <c r="D228" i="1"/>
  <c r="D206" i="1"/>
  <c r="D234" i="1"/>
  <c r="D218" i="1"/>
  <c r="D192" i="1"/>
  <c r="D188" i="1"/>
  <c r="D186" i="1"/>
  <c r="D184" i="1"/>
  <c r="D180" i="1"/>
  <c r="D178" i="1"/>
  <c r="D174" i="1"/>
  <c r="D170" i="1"/>
  <c r="D168" i="1"/>
  <c r="D164" i="1"/>
  <c r="D162" i="1"/>
  <c r="D158" i="1"/>
  <c r="D154" i="1"/>
  <c r="D150" i="1"/>
  <c r="D146" i="1"/>
  <c r="D142" i="1"/>
  <c r="D138" i="1"/>
  <c r="D136" i="1"/>
  <c r="D132" i="1"/>
  <c r="D128" i="1"/>
  <c r="D124" i="1"/>
  <c r="D120" i="1"/>
  <c r="D116" i="1"/>
  <c r="D112" i="1"/>
  <c r="D108" i="1"/>
  <c r="D104" i="1"/>
  <c r="D102" i="1"/>
  <c r="D98" i="1"/>
  <c r="D94" i="1"/>
  <c r="D90" i="1"/>
  <c r="D86" i="1"/>
  <c r="D82" i="1"/>
  <c r="D78" i="1"/>
  <c r="D74" i="1"/>
  <c r="D70" i="1"/>
  <c r="D66" i="1"/>
  <c r="D62" i="1"/>
  <c r="D56" i="1"/>
  <c r="D52" i="1"/>
  <c r="D46" i="1"/>
  <c r="D612" i="1"/>
  <c r="D591" i="1"/>
  <c r="D553" i="1"/>
  <c r="D487" i="1"/>
  <c r="D354" i="1"/>
  <c r="D322" i="1"/>
  <c r="D298" i="1"/>
  <c r="D282" i="1"/>
  <c r="D266" i="1"/>
  <c r="D250" i="1"/>
  <c r="D208" i="1"/>
  <c r="D190" i="1"/>
  <c r="D182" i="1"/>
  <c r="D176" i="1"/>
  <c r="D172" i="1"/>
  <c r="D166" i="1"/>
  <c r="D160" i="1"/>
  <c r="D156" i="1"/>
  <c r="D152" i="1"/>
  <c r="D148" i="1"/>
  <c r="D144" i="1"/>
  <c r="D140" i="1"/>
  <c r="D134" i="1"/>
  <c r="D130" i="1"/>
  <c r="D126" i="1"/>
  <c r="D122" i="1"/>
  <c r="D118" i="1"/>
  <c r="D114" i="1"/>
  <c r="D110" i="1"/>
  <c r="D106" i="1"/>
  <c r="D100" i="1"/>
  <c r="D96" i="1"/>
  <c r="D92" i="1"/>
  <c r="D88" i="1"/>
  <c r="D84" i="1"/>
  <c r="D80" i="1"/>
  <c r="D76" i="1"/>
  <c r="D72" i="1"/>
  <c r="D68" i="1"/>
  <c r="D64" i="1"/>
  <c r="D60" i="1"/>
  <c r="D58" i="1"/>
  <c r="D54" i="1"/>
  <c r="D50" i="1"/>
  <c r="D48" i="1"/>
  <c r="D44" i="1"/>
  <c r="D604" i="1"/>
  <c r="D509" i="1"/>
  <c r="D436" i="1"/>
  <c r="D368" i="1"/>
  <c r="D350" i="1"/>
  <c r="D336" i="1"/>
  <c r="D318" i="1"/>
  <c r="D304" i="1"/>
  <c r="D288" i="1"/>
  <c r="D272" i="1"/>
  <c r="D256" i="1"/>
  <c r="D240" i="1"/>
  <c r="D224" i="1"/>
  <c r="D210" i="1"/>
  <c r="D194" i="1"/>
  <c r="D442" i="1"/>
  <c r="D412" i="1"/>
  <c r="D455" i="1"/>
  <c r="D342" i="1"/>
  <c r="D310" i="1"/>
  <c r="D300" i="1"/>
  <c r="D284" i="1"/>
  <c r="D268" i="1"/>
  <c r="D252" i="1"/>
  <c r="D236" i="1"/>
  <c r="D220" i="1"/>
  <c r="D214" i="1"/>
  <c r="D198" i="1"/>
  <c r="D655" i="1"/>
  <c r="D535" i="1"/>
  <c r="D461" i="1"/>
  <c r="D338" i="1"/>
  <c r="D306" i="1"/>
  <c r="D290" i="1"/>
  <c r="D274" i="1"/>
  <c r="D258" i="1"/>
  <c r="D242" i="1"/>
  <c r="D226" i="1"/>
  <c r="D200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40" i="1"/>
  <c r="D222" i="1"/>
  <c r="D286" i="1"/>
  <c r="D34" i="1"/>
  <c r="D212" i="1"/>
  <c r="D246" i="1"/>
  <c r="D230" i="1"/>
  <c r="D294" i="1"/>
  <c r="D36" i="1"/>
  <c r="D238" i="1"/>
  <c r="D302" i="1"/>
  <c r="Q12" i="1" l="1"/>
  <c r="R41" i="1" l="1"/>
  <c r="B29" i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</calcChain>
</file>

<file path=xl/sharedStrings.xml><?xml version="1.0" encoding="utf-8"?>
<sst xmlns="http://schemas.openxmlformats.org/spreadsheetml/2006/main" count="49" uniqueCount="46">
  <si>
    <t>Assumptions</t>
  </si>
  <si>
    <t>Beginning Balance</t>
  </si>
  <si>
    <t>Inflation</t>
  </si>
  <si>
    <t>Annual Contribution Increase</t>
  </si>
  <si>
    <t>Expected balance in 20-yrs</t>
  </si>
  <si>
    <t>(Annual)</t>
  </si>
  <si>
    <t>(Bi-Monthly)</t>
  </si>
  <si>
    <t>Mean</t>
  </si>
  <si>
    <t>Volatility</t>
  </si>
  <si>
    <t xml:space="preserve">Random </t>
  </si>
  <si>
    <t>Normal</t>
  </si>
  <si>
    <t>Balance</t>
  </si>
  <si>
    <t xml:space="preserve">Standard </t>
  </si>
  <si>
    <t>Variable</t>
  </si>
  <si>
    <t>Return</t>
  </si>
  <si>
    <t>Period</t>
  </si>
  <si>
    <t>Expected balance in 25-yrs</t>
  </si>
  <si>
    <t>Expected balance in 30-yrs</t>
  </si>
  <si>
    <t>Expected balance in 35-yrs</t>
  </si>
  <si>
    <t>Expected balance in 40-yrs</t>
  </si>
  <si>
    <t>500  - Pre-Retirement Simulations</t>
  </si>
  <si>
    <t>20-Yr</t>
  </si>
  <si>
    <t>25-Yr</t>
  </si>
  <si>
    <t>30-Yr</t>
  </si>
  <si>
    <t>35-Yr</t>
  </si>
  <si>
    <t>40-Yr</t>
  </si>
  <si>
    <t>Pre-Retirement Monte Carlo</t>
  </si>
  <si>
    <t>Enter informaion in the white boxes</t>
  </si>
  <si>
    <t>Bi-Monthly Contribution (every two weeks)</t>
  </si>
  <si>
    <t>Startrting Annual Earnings</t>
  </si>
  <si>
    <t>Retirement Contribution</t>
  </si>
  <si>
    <t xml:space="preserve">Year 1: </t>
  </si>
  <si>
    <t>per month</t>
  </si>
  <si>
    <t>average tax rate assumption</t>
  </si>
  <si>
    <t>Median</t>
  </si>
  <si>
    <t>Bin</t>
  </si>
  <si>
    <t>More</t>
  </si>
  <si>
    <t>Frequency</t>
  </si>
  <si>
    <t>Annual contribution Increase</t>
  </si>
  <si>
    <t xml:space="preserve">Note: Contribution is pretax so takehome pay drop is </t>
  </si>
  <si>
    <t>5-Yr</t>
  </si>
  <si>
    <t>10-Yr</t>
  </si>
  <si>
    <t>15-Yr</t>
  </si>
  <si>
    <t>Expected balance in 5-yrs</t>
  </si>
  <si>
    <t>Expected balance in 10-yrs</t>
  </si>
  <si>
    <t>Expected balance in 15-yrs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</si>
</sst>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0.0000%"/>
    <numFmt numFmtId="165" formatCode="&quot;$&quot;#,##0"/>
  </numFmts>
  <fonts count="10" x14ac:knownFonts="1"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00000"/>
      <name val="Lucida Grande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501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3" fontId="7" fillId="0" borderId="0" applyFont="0" applyFill="0" applyBorder="0" applyAlignment="0" applyProtection="0"/>
  </cellStyleXfs>
  <cellXfs count="5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6" fontId="0" fillId="2" borderId="2" xfId="0" applyNumberFormat="1" applyFill="1" applyBorder="1" applyAlignment="1">
      <alignment horizontal="center"/>
    </xf>
    <xf numFmtId="6" fontId="0" fillId="2" borderId="3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4" xfId="0" applyFont="1" applyFill="1" applyBorder="1"/>
    <xf numFmtId="0" fontId="0" fillId="2" borderId="5" xfId="0" applyFill="1" applyBorder="1"/>
    <xf numFmtId="6" fontId="0" fillId="2" borderId="5" xfId="0" applyNumberFormat="1" applyFill="1" applyBorder="1" applyAlignment="1">
      <alignment horizontal="center"/>
    </xf>
    <xf numFmtId="6" fontId="0" fillId="2" borderId="6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6" fontId="0" fillId="4" borderId="7" xfId="0" applyNumberFormat="1" applyFill="1" applyBorder="1" applyAlignment="1">
      <alignment horizontal="center"/>
    </xf>
    <xf numFmtId="0" fontId="0" fillId="2" borderId="8" xfId="0" applyFill="1" applyBorder="1"/>
    <xf numFmtId="6" fontId="0" fillId="4" borderId="9" xfId="0" applyNumberFormat="1" applyFill="1" applyBorder="1" applyAlignment="1">
      <alignment horizontal="center"/>
    </xf>
    <xf numFmtId="6" fontId="0" fillId="2" borderId="10" xfId="0" applyNumberForma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8" fontId="0" fillId="0" borderId="0" xfId="0" applyNumberFormat="1" applyAlignment="1">
      <alignment horizontal="center"/>
    </xf>
    <xf numFmtId="0" fontId="1" fillId="2" borderId="8" xfId="0" applyFont="1" applyFill="1" applyBorder="1"/>
    <xf numFmtId="6" fontId="0" fillId="2" borderId="9" xfId="0" applyNumberFormat="1" applyFill="1" applyBorder="1" applyAlignment="1">
      <alignment horizontal="center"/>
    </xf>
    <xf numFmtId="6" fontId="1" fillId="2" borderId="10" xfId="0" applyNumberFormat="1" applyFon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0" fontId="0" fillId="2" borderId="4" xfId="0" applyFill="1" applyBorder="1"/>
    <xf numFmtId="164" fontId="0" fillId="2" borderId="6" xfId="0" applyNumberFormat="1" applyFill="1" applyBorder="1" applyAlignment="1">
      <alignment horizontal="center"/>
    </xf>
    <xf numFmtId="0" fontId="1" fillId="0" borderId="0" xfId="0" applyFont="1"/>
    <xf numFmtId="0" fontId="2" fillId="0" borderId="0" xfId="0" applyFont="1"/>
    <xf numFmtId="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5" fillId="2" borderId="1" xfId="0" applyFont="1" applyFill="1" applyBorder="1"/>
    <xf numFmtId="165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3" fontId="0" fillId="0" borderId="0" xfId="15009" applyFont="1"/>
    <xf numFmtId="6" fontId="0" fillId="0" borderId="0" xfId="0" applyNumberFormat="1"/>
    <xf numFmtId="8" fontId="0" fillId="0" borderId="9" xfId="0" applyNumberFormat="1" applyBorder="1" applyAlignment="1">
      <alignment horizontal="right"/>
    </xf>
    <xf numFmtId="6" fontId="8" fillId="2" borderId="10" xfId="0" applyNumberFormat="1" applyFont="1" applyFill="1" applyBorder="1" applyAlignment="1">
      <alignment horizontal="center"/>
    </xf>
    <xf numFmtId="6" fontId="8" fillId="2" borderId="9" xfId="0" applyNumberFormat="1" applyFont="1" applyFill="1" applyBorder="1" applyAlignment="1">
      <alignment horizontal="center"/>
    </xf>
    <xf numFmtId="0" fontId="8" fillId="0" borderId="0" xfId="0" applyFont="1"/>
    <xf numFmtId="0" fontId="0" fillId="2" borderId="0" xfId="0" applyFill="1"/>
    <xf numFmtId="0" fontId="8" fillId="2" borderId="0" xfId="0" applyFont="1" applyFill="1" applyAlignment="1">
      <alignment horizontal="center"/>
    </xf>
    <xf numFmtId="6" fontId="0" fillId="2" borderId="0" xfId="0" applyNumberFormat="1" applyFill="1" applyAlignment="1">
      <alignment horizontal="center"/>
    </xf>
    <xf numFmtId="10" fontId="0" fillId="2" borderId="5" xfId="0" applyNumberFormat="1" applyFill="1" applyBorder="1" applyAlignment="1">
      <alignment horizontal="center"/>
    </xf>
    <xf numFmtId="7" fontId="0" fillId="0" borderId="0" xfId="0" applyNumberFormat="1"/>
    <xf numFmtId="8" fontId="0" fillId="0" borderId="0" xfId="0" applyNumberFormat="1"/>
    <xf numFmtId="0" fontId="0" fillId="0" borderId="5" xfId="0" applyBorder="1"/>
    <xf numFmtId="0" fontId="9" fillId="0" borderId="14" xfId="0" applyFont="1" applyBorder="1" applyAlignment="1">
      <alignment horizontal="center"/>
    </xf>
    <xf numFmtId="0" fontId="0" fillId="0" borderId="0" xfId="0" applyAlignment="1">
      <alignment horizontal="left"/>
    </xf>
    <xf numFmtId="6" fontId="0" fillId="0" borderId="11" xfId="0" applyNumberFormat="1" applyBorder="1" applyAlignment="1">
      <alignment horizontal="center"/>
    </xf>
    <xf numFmtId="9" fontId="0" fillId="0" borderId="12" xfId="15009" applyNumberFormat="1" applyFont="1" applyBorder="1" applyAlignment="1">
      <alignment horizontal="center"/>
    </xf>
    <xf numFmtId="9" fontId="0" fillId="0" borderId="13" xfId="15009" applyNumberFormat="1" applyFont="1" applyBorder="1" applyAlignment="1">
      <alignment horizontal="center"/>
    </xf>
    <xf numFmtId="8" fontId="0" fillId="0" borderId="9" xfId="0" applyNumberFormat="1" applyBorder="1" applyAlignment="1">
      <alignment horizontal="center"/>
    </xf>
    <xf numFmtId="9" fontId="0" fillId="0" borderId="9" xfId="0" applyNumberFormat="1" applyBorder="1" applyAlignment="1">
      <alignment horizontal="center"/>
    </xf>
    <xf numFmtId="7" fontId="0" fillId="0" borderId="0" xfId="0" applyNumberFormat="1" applyAlignment="1">
      <alignment horizontal="center"/>
    </xf>
  </cellXfs>
  <cellStyles count="15010">
    <cellStyle name="Comma" xfId="15009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Followed Hyperlink" xfId="4380" builtinId="9" hidden="1"/>
    <cellStyle name="Followed Hyperlink" xfId="4382" builtinId="9" hidden="1"/>
    <cellStyle name="Followed Hyperlink" xfId="4384" builtinId="9" hidden="1"/>
    <cellStyle name="Followed Hyperlink" xfId="4386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Followed Hyperlink" xfId="4404" builtinId="9" hidden="1"/>
    <cellStyle name="Followed Hyperlink" xfId="4406" builtinId="9" hidden="1"/>
    <cellStyle name="Followed Hyperlink" xfId="4408" builtinId="9" hidden="1"/>
    <cellStyle name="Followed Hyperlink" xfId="4410" builtinId="9" hidden="1"/>
    <cellStyle name="Followed Hyperlink" xfId="4412" builtinId="9" hidden="1"/>
    <cellStyle name="Followed Hyperlink" xfId="4414" builtinId="9" hidden="1"/>
    <cellStyle name="Followed Hyperlink" xfId="4416" builtinId="9" hidden="1"/>
    <cellStyle name="Followed Hyperlink" xfId="4418" builtinId="9" hidden="1"/>
    <cellStyle name="Followed Hyperlink" xfId="4420" builtinId="9" hidden="1"/>
    <cellStyle name="Followed Hyperlink" xfId="4422" builtinId="9" hidden="1"/>
    <cellStyle name="Followed Hyperlink" xfId="4424" builtinId="9" hidden="1"/>
    <cellStyle name="Followed Hyperlink" xfId="4426" builtinId="9" hidden="1"/>
    <cellStyle name="Followed Hyperlink" xfId="4428" builtinId="9" hidden="1"/>
    <cellStyle name="Followed Hyperlink" xfId="4430" builtinId="9" hidden="1"/>
    <cellStyle name="Followed Hyperlink" xfId="4432" builtinId="9" hidden="1"/>
    <cellStyle name="Followed Hyperlink" xfId="4434" builtinId="9" hidden="1"/>
    <cellStyle name="Followed Hyperlink" xfId="4436" builtinId="9" hidden="1"/>
    <cellStyle name="Followed Hyperlink" xfId="4438" builtinId="9" hidden="1"/>
    <cellStyle name="Followed Hyperlink" xfId="4440" builtinId="9" hidden="1"/>
    <cellStyle name="Followed Hyperlink" xfId="4442" builtinId="9" hidden="1"/>
    <cellStyle name="Followed Hyperlink" xfId="4444" builtinId="9" hidden="1"/>
    <cellStyle name="Followed Hyperlink" xfId="4446" builtinId="9" hidden="1"/>
    <cellStyle name="Followed Hyperlink" xfId="4448" builtinId="9" hidden="1"/>
    <cellStyle name="Followed Hyperlink" xfId="4450" builtinId="9" hidden="1"/>
    <cellStyle name="Followed Hyperlink" xfId="4452" builtinId="9" hidden="1"/>
    <cellStyle name="Followed Hyperlink" xfId="4454" builtinId="9" hidden="1"/>
    <cellStyle name="Followed Hyperlink" xfId="4456" builtinId="9" hidden="1"/>
    <cellStyle name="Followed Hyperlink" xfId="4458" builtinId="9" hidden="1"/>
    <cellStyle name="Followed Hyperlink" xfId="4460" builtinId="9" hidden="1"/>
    <cellStyle name="Followed Hyperlink" xfId="4462" builtinId="9" hidden="1"/>
    <cellStyle name="Followed Hyperlink" xfId="4464" builtinId="9" hidden="1"/>
    <cellStyle name="Followed Hyperlink" xfId="4466" builtinId="9" hidden="1"/>
    <cellStyle name="Followed Hyperlink" xfId="4468" builtinId="9" hidden="1"/>
    <cellStyle name="Followed Hyperlink" xfId="4470" builtinId="9" hidden="1"/>
    <cellStyle name="Followed Hyperlink" xfId="4472" builtinId="9" hidden="1"/>
    <cellStyle name="Followed Hyperlink" xfId="4474" builtinId="9" hidden="1"/>
    <cellStyle name="Followed Hyperlink" xfId="4476" builtinId="9" hidden="1"/>
    <cellStyle name="Followed Hyperlink" xfId="4478" builtinId="9" hidden="1"/>
    <cellStyle name="Followed Hyperlink" xfId="4480" builtinId="9" hidden="1"/>
    <cellStyle name="Followed Hyperlink" xfId="4482" builtinId="9" hidden="1"/>
    <cellStyle name="Followed Hyperlink" xfId="4484" builtinId="9" hidden="1"/>
    <cellStyle name="Followed Hyperlink" xfId="4486" builtinId="9" hidden="1"/>
    <cellStyle name="Followed Hyperlink" xfId="4488" builtinId="9" hidden="1"/>
    <cellStyle name="Followed Hyperlink" xfId="4490" builtinId="9" hidden="1"/>
    <cellStyle name="Followed Hyperlink" xfId="4492" builtinId="9" hidden="1"/>
    <cellStyle name="Followed Hyperlink" xfId="4494" builtinId="9" hidden="1"/>
    <cellStyle name="Followed Hyperlink" xfId="4496" builtinId="9" hidden="1"/>
    <cellStyle name="Followed Hyperlink" xfId="4498" builtinId="9" hidden="1"/>
    <cellStyle name="Followed Hyperlink" xfId="4500" builtinId="9" hidden="1"/>
    <cellStyle name="Followed Hyperlink" xfId="4502" builtinId="9" hidden="1"/>
    <cellStyle name="Followed Hyperlink" xfId="4504" builtinId="9" hidden="1"/>
    <cellStyle name="Followed Hyperlink" xfId="4506" builtinId="9" hidden="1"/>
    <cellStyle name="Followed Hyperlink" xfId="4508" builtinId="9" hidden="1"/>
    <cellStyle name="Followed Hyperlink" xfId="4510" builtinId="9" hidden="1"/>
    <cellStyle name="Followed Hyperlink" xfId="4512" builtinId="9" hidden="1"/>
    <cellStyle name="Followed Hyperlink" xfId="4514" builtinId="9" hidden="1"/>
    <cellStyle name="Followed Hyperlink" xfId="4516" builtinId="9" hidden="1"/>
    <cellStyle name="Followed Hyperlink" xfId="4518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32" builtinId="9" hidden="1"/>
    <cellStyle name="Followed Hyperlink" xfId="4534" builtinId="9" hidden="1"/>
    <cellStyle name="Followed Hyperlink" xfId="4536" builtinId="9" hidden="1"/>
    <cellStyle name="Followed Hyperlink" xfId="4538" builtinId="9" hidden="1"/>
    <cellStyle name="Followed Hyperlink" xfId="4540" builtinId="9" hidden="1"/>
    <cellStyle name="Followed Hyperlink" xfId="4542" builtinId="9" hidden="1"/>
    <cellStyle name="Followed Hyperlink" xfId="4544" builtinId="9" hidden="1"/>
    <cellStyle name="Followed Hyperlink" xfId="4546" builtinId="9" hidden="1"/>
    <cellStyle name="Followed Hyperlink" xfId="4548" builtinId="9" hidden="1"/>
    <cellStyle name="Followed Hyperlink" xfId="4550" builtinId="9" hidden="1"/>
    <cellStyle name="Followed Hyperlink" xfId="4552" builtinId="9" hidden="1"/>
    <cellStyle name="Followed Hyperlink" xfId="4554" builtinId="9" hidden="1"/>
    <cellStyle name="Followed Hyperlink" xfId="4556" builtinId="9" hidden="1"/>
    <cellStyle name="Followed Hyperlink" xfId="4558" builtinId="9" hidden="1"/>
    <cellStyle name="Followed Hyperlink" xfId="4560" builtinId="9" hidden="1"/>
    <cellStyle name="Followed Hyperlink" xfId="4562" builtinId="9" hidden="1"/>
    <cellStyle name="Followed Hyperlink" xfId="4564" builtinId="9" hidden="1"/>
    <cellStyle name="Followed Hyperlink" xfId="4566" builtinId="9" hidden="1"/>
    <cellStyle name="Followed Hyperlink" xfId="4568" builtinId="9" hidden="1"/>
    <cellStyle name="Followed Hyperlink" xfId="4570" builtinId="9" hidden="1"/>
    <cellStyle name="Followed Hyperlink" xfId="4572" builtinId="9" hidden="1"/>
    <cellStyle name="Followed Hyperlink" xfId="4574" builtinId="9" hidden="1"/>
    <cellStyle name="Followed Hyperlink" xfId="4576" builtinId="9" hidden="1"/>
    <cellStyle name="Followed Hyperlink" xfId="4578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696" builtinId="9" hidden="1"/>
    <cellStyle name="Followed Hyperlink" xfId="4698" builtinId="9" hidden="1"/>
    <cellStyle name="Followed Hyperlink" xfId="4700" builtinId="9" hidden="1"/>
    <cellStyle name="Followed Hyperlink" xfId="4702" builtinId="9" hidden="1"/>
    <cellStyle name="Followed Hyperlink" xfId="4704" builtinId="9" hidden="1"/>
    <cellStyle name="Followed Hyperlink" xfId="4706" builtinId="9" hidden="1"/>
    <cellStyle name="Followed Hyperlink" xfId="4708" builtinId="9" hidden="1"/>
    <cellStyle name="Followed Hyperlink" xfId="4710" builtinId="9" hidden="1"/>
    <cellStyle name="Followed Hyperlink" xfId="4712" builtinId="9" hidden="1"/>
    <cellStyle name="Followed Hyperlink" xfId="4714" builtinId="9" hidden="1"/>
    <cellStyle name="Followed Hyperlink" xfId="4716" builtinId="9" hidden="1"/>
    <cellStyle name="Followed Hyperlink" xfId="4718" builtinId="9" hidden="1"/>
    <cellStyle name="Followed Hyperlink" xfId="4720" builtinId="9" hidden="1"/>
    <cellStyle name="Followed Hyperlink" xfId="4722" builtinId="9" hidden="1"/>
    <cellStyle name="Followed Hyperlink" xfId="4724" builtinId="9" hidden="1"/>
    <cellStyle name="Followed Hyperlink" xfId="4726" builtinId="9" hidden="1"/>
    <cellStyle name="Followed Hyperlink" xfId="4728" builtinId="9" hidden="1"/>
    <cellStyle name="Followed Hyperlink" xfId="4730" builtinId="9" hidden="1"/>
    <cellStyle name="Followed Hyperlink" xfId="4732" builtinId="9" hidden="1"/>
    <cellStyle name="Followed Hyperlink" xfId="4734" builtinId="9" hidden="1"/>
    <cellStyle name="Followed Hyperlink" xfId="4736" builtinId="9" hidden="1"/>
    <cellStyle name="Followed Hyperlink" xfId="4738" builtinId="9" hidden="1"/>
    <cellStyle name="Followed Hyperlink" xfId="4740" builtinId="9" hidden="1"/>
    <cellStyle name="Followed Hyperlink" xfId="4742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4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4848" builtinId="9" hidden="1"/>
    <cellStyle name="Followed Hyperlink" xfId="4850" builtinId="9" hidden="1"/>
    <cellStyle name="Followed Hyperlink" xfId="4852" builtinId="9" hidden="1"/>
    <cellStyle name="Followed Hyperlink" xfId="4854" builtinId="9" hidden="1"/>
    <cellStyle name="Followed Hyperlink" xfId="4856" builtinId="9" hidden="1"/>
    <cellStyle name="Followed Hyperlink" xfId="4858" builtinId="9" hidden="1"/>
    <cellStyle name="Followed Hyperlink" xfId="4860" builtinId="9" hidden="1"/>
    <cellStyle name="Followed Hyperlink" xfId="4862" builtinId="9" hidden="1"/>
    <cellStyle name="Followed Hyperlink" xfId="4864" builtinId="9" hidden="1"/>
    <cellStyle name="Followed Hyperlink" xfId="4866" builtinId="9" hidden="1"/>
    <cellStyle name="Followed Hyperlink" xfId="4868" builtinId="9" hidden="1"/>
    <cellStyle name="Followed Hyperlink" xfId="4870" builtinId="9" hidden="1"/>
    <cellStyle name="Followed Hyperlink" xfId="4872" builtinId="9" hidden="1"/>
    <cellStyle name="Followed Hyperlink" xfId="4874" builtinId="9" hidden="1"/>
    <cellStyle name="Followed Hyperlink" xfId="4876" builtinId="9" hidden="1"/>
    <cellStyle name="Followed Hyperlink" xfId="4878" builtinId="9" hidden="1"/>
    <cellStyle name="Followed Hyperlink" xfId="4880" builtinId="9" hidden="1"/>
    <cellStyle name="Followed Hyperlink" xfId="4882" builtinId="9" hidden="1"/>
    <cellStyle name="Followed Hyperlink" xfId="4884" builtinId="9" hidden="1"/>
    <cellStyle name="Followed Hyperlink" xfId="4886" builtinId="9" hidden="1"/>
    <cellStyle name="Followed Hyperlink" xfId="4888" builtinId="9" hidden="1"/>
    <cellStyle name="Followed Hyperlink" xfId="4890" builtinId="9" hidden="1"/>
    <cellStyle name="Followed Hyperlink" xfId="4892" builtinId="9" hidden="1"/>
    <cellStyle name="Followed Hyperlink" xfId="4894" builtinId="9" hidden="1"/>
    <cellStyle name="Followed Hyperlink" xfId="4896" builtinId="9" hidden="1"/>
    <cellStyle name="Followed Hyperlink" xfId="4898" builtinId="9" hidden="1"/>
    <cellStyle name="Followed Hyperlink" xfId="4900" builtinId="9" hidden="1"/>
    <cellStyle name="Followed Hyperlink" xfId="4902" builtinId="9" hidden="1"/>
    <cellStyle name="Followed Hyperlink" xfId="4904" builtinId="9" hidden="1"/>
    <cellStyle name="Followed Hyperlink" xfId="4906" builtinId="9" hidden="1"/>
    <cellStyle name="Followed Hyperlink" xfId="4908" builtinId="9" hidden="1"/>
    <cellStyle name="Followed Hyperlink" xfId="4910" builtinId="9" hidden="1"/>
    <cellStyle name="Followed Hyperlink" xfId="4912" builtinId="9" hidden="1"/>
    <cellStyle name="Followed Hyperlink" xfId="4914" builtinId="9" hidden="1"/>
    <cellStyle name="Followed Hyperlink" xfId="4916" builtinId="9" hidden="1"/>
    <cellStyle name="Followed Hyperlink" xfId="4918" builtinId="9" hidden="1"/>
    <cellStyle name="Followed Hyperlink" xfId="4920" builtinId="9" hidden="1"/>
    <cellStyle name="Followed Hyperlink" xfId="4922" builtinId="9" hidden="1"/>
    <cellStyle name="Followed Hyperlink" xfId="4924" builtinId="9" hidden="1"/>
    <cellStyle name="Followed Hyperlink" xfId="4926" builtinId="9" hidden="1"/>
    <cellStyle name="Followed Hyperlink" xfId="4928" builtinId="9" hidden="1"/>
    <cellStyle name="Followed Hyperlink" xfId="4930" builtinId="9" hidden="1"/>
    <cellStyle name="Followed Hyperlink" xfId="4932" builtinId="9" hidden="1"/>
    <cellStyle name="Followed Hyperlink" xfId="4934" builtinId="9" hidden="1"/>
    <cellStyle name="Followed Hyperlink" xfId="4936" builtinId="9" hidden="1"/>
    <cellStyle name="Followed Hyperlink" xfId="4938" builtinId="9" hidden="1"/>
    <cellStyle name="Followed Hyperlink" xfId="4940" builtinId="9" hidden="1"/>
    <cellStyle name="Followed Hyperlink" xfId="4942" builtinId="9" hidden="1"/>
    <cellStyle name="Followed Hyperlink" xfId="4944" builtinId="9" hidden="1"/>
    <cellStyle name="Followed Hyperlink" xfId="4946" builtinId="9" hidden="1"/>
    <cellStyle name="Followed Hyperlink" xfId="4948" builtinId="9" hidden="1"/>
    <cellStyle name="Followed Hyperlink" xfId="4950" builtinId="9" hidden="1"/>
    <cellStyle name="Followed Hyperlink" xfId="4952" builtinId="9" hidden="1"/>
    <cellStyle name="Followed Hyperlink" xfId="4954" builtinId="9" hidden="1"/>
    <cellStyle name="Followed Hyperlink" xfId="4956" builtinId="9" hidden="1"/>
    <cellStyle name="Followed Hyperlink" xfId="4958" builtinId="9" hidden="1"/>
    <cellStyle name="Followed Hyperlink" xfId="4960" builtinId="9" hidden="1"/>
    <cellStyle name="Followed Hyperlink" xfId="4962" builtinId="9" hidden="1"/>
    <cellStyle name="Followed Hyperlink" xfId="4964" builtinId="9" hidden="1"/>
    <cellStyle name="Followed Hyperlink" xfId="4966" builtinId="9" hidden="1"/>
    <cellStyle name="Followed Hyperlink" xfId="4968" builtinId="9" hidden="1"/>
    <cellStyle name="Followed Hyperlink" xfId="4970" builtinId="9" hidden="1"/>
    <cellStyle name="Followed Hyperlink" xfId="4972" builtinId="9" hidden="1"/>
    <cellStyle name="Followed Hyperlink" xfId="4974" builtinId="9" hidden="1"/>
    <cellStyle name="Followed Hyperlink" xfId="4976" builtinId="9" hidden="1"/>
    <cellStyle name="Followed Hyperlink" xfId="4978" builtinId="9" hidden="1"/>
    <cellStyle name="Followed Hyperlink" xfId="4980" builtinId="9" hidden="1"/>
    <cellStyle name="Followed Hyperlink" xfId="4982" builtinId="9" hidden="1"/>
    <cellStyle name="Followed Hyperlink" xfId="4984" builtinId="9" hidden="1"/>
    <cellStyle name="Followed Hyperlink" xfId="4986" builtinId="9" hidden="1"/>
    <cellStyle name="Followed Hyperlink" xfId="4988" builtinId="9" hidden="1"/>
    <cellStyle name="Followed Hyperlink" xfId="4990" builtinId="9" hidden="1"/>
    <cellStyle name="Followed Hyperlink" xfId="4992" builtinId="9" hidden="1"/>
    <cellStyle name="Followed Hyperlink" xfId="4994" builtinId="9" hidden="1"/>
    <cellStyle name="Followed Hyperlink" xfId="4996" builtinId="9" hidden="1"/>
    <cellStyle name="Followed Hyperlink" xfId="4998" builtinId="9" hidden="1"/>
    <cellStyle name="Followed Hyperlink" xfId="5000" builtinId="9" hidden="1"/>
    <cellStyle name="Followed Hyperlink" xfId="5002" builtinId="9" hidden="1"/>
    <cellStyle name="Followed Hyperlink" xfId="5004" builtinId="9" hidden="1"/>
    <cellStyle name="Followed Hyperlink" xfId="5006" builtinId="9" hidden="1"/>
    <cellStyle name="Followed Hyperlink" xfId="5008" builtinId="9" hidden="1"/>
    <cellStyle name="Followed Hyperlink" xfId="5010" builtinId="9" hidden="1"/>
    <cellStyle name="Followed Hyperlink" xfId="5012" builtinId="9" hidden="1"/>
    <cellStyle name="Followed Hyperlink" xfId="5014" builtinId="9" hidden="1"/>
    <cellStyle name="Followed Hyperlink" xfId="5016" builtinId="9" hidden="1"/>
    <cellStyle name="Followed Hyperlink" xfId="5018" builtinId="9" hidden="1"/>
    <cellStyle name="Followed Hyperlink" xfId="5020" builtinId="9" hidden="1"/>
    <cellStyle name="Followed Hyperlink" xfId="5022" builtinId="9" hidden="1"/>
    <cellStyle name="Followed Hyperlink" xfId="5024" builtinId="9" hidden="1"/>
    <cellStyle name="Followed Hyperlink" xfId="5026" builtinId="9" hidden="1"/>
    <cellStyle name="Followed Hyperlink" xfId="5028" builtinId="9" hidden="1"/>
    <cellStyle name="Followed Hyperlink" xfId="5030" builtinId="9" hidden="1"/>
    <cellStyle name="Followed Hyperlink" xfId="5032" builtinId="9" hidden="1"/>
    <cellStyle name="Followed Hyperlink" xfId="5034" builtinId="9" hidden="1"/>
    <cellStyle name="Followed Hyperlink" xfId="5036" builtinId="9" hidden="1"/>
    <cellStyle name="Followed Hyperlink" xfId="5038" builtinId="9" hidden="1"/>
    <cellStyle name="Followed Hyperlink" xfId="5040" builtinId="9" hidden="1"/>
    <cellStyle name="Followed Hyperlink" xfId="5042" builtinId="9" hidden="1"/>
    <cellStyle name="Followed Hyperlink" xfId="5044" builtinId="9" hidden="1"/>
    <cellStyle name="Followed Hyperlink" xfId="5046" builtinId="9" hidden="1"/>
    <cellStyle name="Followed Hyperlink" xfId="5048" builtinId="9" hidden="1"/>
    <cellStyle name="Followed Hyperlink" xfId="5050" builtinId="9" hidden="1"/>
    <cellStyle name="Followed Hyperlink" xfId="5052" builtinId="9" hidden="1"/>
    <cellStyle name="Followed Hyperlink" xfId="5054" builtinId="9" hidden="1"/>
    <cellStyle name="Followed Hyperlink" xfId="5056" builtinId="9" hidden="1"/>
    <cellStyle name="Followed Hyperlink" xfId="5058" builtinId="9" hidden="1"/>
    <cellStyle name="Followed Hyperlink" xfId="5060" builtinId="9" hidden="1"/>
    <cellStyle name="Followed Hyperlink" xfId="5062" builtinId="9" hidden="1"/>
    <cellStyle name="Followed Hyperlink" xfId="5064" builtinId="9" hidden="1"/>
    <cellStyle name="Followed Hyperlink" xfId="5066" builtinId="9" hidden="1"/>
    <cellStyle name="Followed Hyperlink" xfId="5068" builtinId="9" hidden="1"/>
    <cellStyle name="Followed Hyperlink" xfId="5070" builtinId="9" hidden="1"/>
    <cellStyle name="Followed Hyperlink" xfId="5072" builtinId="9" hidden="1"/>
    <cellStyle name="Followed Hyperlink" xfId="5074" builtinId="9" hidden="1"/>
    <cellStyle name="Followed Hyperlink" xfId="5076" builtinId="9" hidden="1"/>
    <cellStyle name="Followed Hyperlink" xfId="5078" builtinId="9" hidden="1"/>
    <cellStyle name="Followed Hyperlink" xfId="5080" builtinId="9" hidden="1"/>
    <cellStyle name="Followed Hyperlink" xfId="5082" builtinId="9" hidden="1"/>
    <cellStyle name="Followed Hyperlink" xfId="5084" builtinId="9" hidden="1"/>
    <cellStyle name="Followed Hyperlink" xfId="5086" builtinId="9" hidden="1"/>
    <cellStyle name="Followed Hyperlink" xfId="5088" builtinId="9" hidden="1"/>
    <cellStyle name="Followed Hyperlink" xfId="5090" builtinId="9" hidden="1"/>
    <cellStyle name="Followed Hyperlink" xfId="5092" builtinId="9" hidden="1"/>
    <cellStyle name="Followed Hyperlink" xfId="5094" builtinId="9" hidden="1"/>
    <cellStyle name="Followed Hyperlink" xfId="5096" builtinId="9" hidden="1"/>
    <cellStyle name="Followed Hyperlink" xfId="5098" builtinId="9" hidden="1"/>
    <cellStyle name="Followed Hyperlink" xfId="5100" builtinId="9" hidden="1"/>
    <cellStyle name="Followed Hyperlink" xfId="5102" builtinId="9" hidden="1"/>
    <cellStyle name="Followed Hyperlink" xfId="5104" builtinId="9" hidden="1"/>
    <cellStyle name="Followed Hyperlink" xfId="5106" builtinId="9" hidden="1"/>
    <cellStyle name="Followed Hyperlink" xfId="5108" builtinId="9" hidden="1"/>
    <cellStyle name="Followed Hyperlink" xfId="5110" builtinId="9" hidden="1"/>
    <cellStyle name="Followed Hyperlink" xfId="5112" builtinId="9" hidden="1"/>
    <cellStyle name="Followed Hyperlink" xfId="5114" builtinId="9" hidden="1"/>
    <cellStyle name="Followed Hyperlink" xfId="5116" builtinId="9" hidden="1"/>
    <cellStyle name="Followed Hyperlink" xfId="5118" builtinId="9" hidden="1"/>
    <cellStyle name="Followed Hyperlink" xfId="5120" builtinId="9" hidden="1"/>
    <cellStyle name="Followed Hyperlink" xfId="5122" builtinId="9" hidden="1"/>
    <cellStyle name="Followed Hyperlink" xfId="5124" builtinId="9" hidden="1"/>
    <cellStyle name="Followed Hyperlink" xfId="5126" builtinId="9" hidden="1"/>
    <cellStyle name="Followed Hyperlink" xfId="5128" builtinId="9" hidden="1"/>
    <cellStyle name="Followed Hyperlink" xfId="5130" builtinId="9" hidden="1"/>
    <cellStyle name="Followed Hyperlink" xfId="5132" builtinId="9" hidden="1"/>
    <cellStyle name="Followed Hyperlink" xfId="5134" builtinId="9" hidden="1"/>
    <cellStyle name="Followed Hyperlink" xfId="5136" builtinId="9" hidden="1"/>
    <cellStyle name="Followed Hyperlink" xfId="5138" builtinId="9" hidden="1"/>
    <cellStyle name="Followed Hyperlink" xfId="5140" builtinId="9" hidden="1"/>
    <cellStyle name="Followed Hyperlink" xfId="5142" builtinId="9" hidden="1"/>
    <cellStyle name="Followed Hyperlink" xfId="5144" builtinId="9" hidden="1"/>
    <cellStyle name="Followed Hyperlink" xfId="5146" builtinId="9" hidden="1"/>
    <cellStyle name="Followed Hyperlink" xfId="5148" builtinId="9" hidden="1"/>
    <cellStyle name="Followed Hyperlink" xfId="5150" builtinId="9" hidden="1"/>
    <cellStyle name="Followed Hyperlink" xfId="5152" builtinId="9" hidden="1"/>
    <cellStyle name="Followed Hyperlink" xfId="5154" builtinId="9" hidden="1"/>
    <cellStyle name="Followed Hyperlink" xfId="5156" builtinId="9" hidden="1"/>
    <cellStyle name="Followed Hyperlink" xfId="5158" builtinId="9" hidden="1"/>
    <cellStyle name="Followed Hyperlink" xfId="5160" builtinId="9" hidden="1"/>
    <cellStyle name="Followed Hyperlink" xfId="5162" builtinId="9" hidden="1"/>
    <cellStyle name="Followed Hyperlink" xfId="5164" builtinId="9" hidden="1"/>
    <cellStyle name="Followed Hyperlink" xfId="5166" builtinId="9" hidden="1"/>
    <cellStyle name="Followed Hyperlink" xfId="5168" builtinId="9" hidden="1"/>
    <cellStyle name="Followed Hyperlink" xfId="5170" builtinId="9" hidden="1"/>
    <cellStyle name="Followed Hyperlink" xfId="5172" builtinId="9" hidden="1"/>
    <cellStyle name="Followed Hyperlink" xfId="5174" builtinId="9" hidden="1"/>
    <cellStyle name="Followed Hyperlink" xfId="5176" builtinId="9" hidden="1"/>
    <cellStyle name="Followed Hyperlink" xfId="5178" builtinId="9" hidden="1"/>
    <cellStyle name="Followed Hyperlink" xfId="5180" builtinId="9" hidden="1"/>
    <cellStyle name="Followed Hyperlink" xfId="5182" builtinId="9" hidden="1"/>
    <cellStyle name="Followed Hyperlink" xfId="5184" builtinId="9" hidden="1"/>
    <cellStyle name="Followed Hyperlink" xfId="5186" builtinId="9" hidden="1"/>
    <cellStyle name="Followed Hyperlink" xfId="5188" builtinId="9" hidden="1"/>
    <cellStyle name="Followed Hyperlink" xfId="5190" builtinId="9" hidden="1"/>
    <cellStyle name="Followed Hyperlink" xfId="5192" builtinId="9" hidden="1"/>
    <cellStyle name="Followed Hyperlink" xfId="5194" builtinId="9" hidden="1"/>
    <cellStyle name="Followed Hyperlink" xfId="5196" builtinId="9" hidden="1"/>
    <cellStyle name="Followed Hyperlink" xfId="5198" builtinId="9" hidden="1"/>
    <cellStyle name="Followed Hyperlink" xfId="5200" builtinId="9" hidden="1"/>
    <cellStyle name="Followed Hyperlink" xfId="5202" builtinId="9" hidden="1"/>
    <cellStyle name="Followed Hyperlink" xfId="5204" builtinId="9" hidden="1"/>
    <cellStyle name="Followed Hyperlink" xfId="5206" builtinId="9" hidden="1"/>
    <cellStyle name="Followed Hyperlink" xfId="5208" builtinId="9" hidden="1"/>
    <cellStyle name="Followed Hyperlink" xfId="5210" builtinId="9" hidden="1"/>
    <cellStyle name="Followed Hyperlink" xfId="5212" builtinId="9" hidden="1"/>
    <cellStyle name="Followed Hyperlink" xfId="5214" builtinId="9" hidden="1"/>
    <cellStyle name="Followed Hyperlink" xfId="5216" builtinId="9" hidden="1"/>
    <cellStyle name="Followed Hyperlink" xfId="5218" builtinId="9" hidden="1"/>
    <cellStyle name="Followed Hyperlink" xfId="5220" builtinId="9" hidden="1"/>
    <cellStyle name="Followed Hyperlink" xfId="5222" builtinId="9" hidden="1"/>
    <cellStyle name="Followed Hyperlink" xfId="5224" builtinId="9" hidden="1"/>
    <cellStyle name="Followed Hyperlink" xfId="5226" builtinId="9" hidden="1"/>
    <cellStyle name="Followed Hyperlink" xfId="5228" builtinId="9" hidden="1"/>
    <cellStyle name="Followed Hyperlink" xfId="5230" builtinId="9" hidden="1"/>
    <cellStyle name="Followed Hyperlink" xfId="5232" builtinId="9" hidden="1"/>
    <cellStyle name="Followed Hyperlink" xfId="5234" builtinId="9" hidden="1"/>
    <cellStyle name="Followed Hyperlink" xfId="5236" builtinId="9" hidden="1"/>
    <cellStyle name="Followed Hyperlink" xfId="5238" builtinId="9" hidden="1"/>
    <cellStyle name="Followed Hyperlink" xfId="5240" builtinId="9" hidden="1"/>
    <cellStyle name="Followed Hyperlink" xfId="5242" builtinId="9" hidden="1"/>
    <cellStyle name="Followed Hyperlink" xfId="5244" builtinId="9" hidden="1"/>
    <cellStyle name="Followed Hyperlink" xfId="5246" builtinId="9" hidden="1"/>
    <cellStyle name="Followed Hyperlink" xfId="5248" builtinId="9" hidden="1"/>
    <cellStyle name="Followed Hyperlink" xfId="5250" builtinId="9" hidden="1"/>
    <cellStyle name="Followed Hyperlink" xfId="5252" builtinId="9" hidden="1"/>
    <cellStyle name="Followed Hyperlink" xfId="5254" builtinId="9" hidden="1"/>
    <cellStyle name="Followed Hyperlink" xfId="5256" builtinId="9" hidden="1"/>
    <cellStyle name="Followed Hyperlink" xfId="5258" builtinId="9" hidden="1"/>
    <cellStyle name="Followed Hyperlink" xfId="5260" builtinId="9" hidden="1"/>
    <cellStyle name="Followed Hyperlink" xfId="5262" builtinId="9" hidden="1"/>
    <cellStyle name="Followed Hyperlink" xfId="5264" builtinId="9" hidden="1"/>
    <cellStyle name="Followed Hyperlink" xfId="5266" builtinId="9" hidden="1"/>
    <cellStyle name="Followed Hyperlink" xfId="5268" builtinId="9" hidden="1"/>
    <cellStyle name="Followed Hyperlink" xfId="5270" builtinId="9" hidden="1"/>
    <cellStyle name="Followed Hyperlink" xfId="5272" builtinId="9" hidden="1"/>
    <cellStyle name="Followed Hyperlink" xfId="5274" builtinId="9" hidden="1"/>
    <cellStyle name="Followed Hyperlink" xfId="5276" builtinId="9" hidden="1"/>
    <cellStyle name="Followed Hyperlink" xfId="5278" builtinId="9" hidden="1"/>
    <cellStyle name="Followed Hyperlink" xfId="5280" builtinId="9" hidden="1"/>
    <cellStyle name="Followed Hyperlink" xfId="5282" builtinId="9" hidden="1"/>
    <cellStyle name="Followed Hyperlink" xfId="5284" builtinId="9" hidden="1"/>
    <cellStyle name="Followed Hyperlink" xfId="5286" builtinId="9" hidden="1"/>
    <cellStyle name="Followed Hyperlink" xfId="5288" builtinId="9" hidden="1"/>
    <cellStyle name="Followed Hyperlink" xfId="5290" builtinId="9" hidden="1"/>
    <cellStyle name="Followed Hyperlink" xfId="5292" builtinId="9" hidden="1"/>
    <cellStyle name="Followed Hyperlink" xfId="5294" builtinId="9" hidden="1"/>
    <cellStyle name="Followed Hyperlink" xfId="5296" builtinId="9" hidden="1"/>
    <cellStyle name="Followed Hyperlink" xfId="5298" builtinId="9" hidden="1"/>
    <cellStyle name="Followed Hyperlink" xfId="5300" builtinId="9" hidden="1"/>
    <cellStyle name="Followed Hyperlink" xfId="5302" builtinId="9" hidden="1"/>
    <cellStyle name="Followed Hyperlink" xfId="5304" builtinId="9" hidden="1"/>
    <cellStyle name="Followed Hyperlink" xfId="5306" builtinId="9" hidden="1"/>
    <cellStyle name="Followed Hyperlink" xfId="5308" builtinId="9" hidden="1"/>
    <cellStyle name="Followed Hyperlink" xfId="5310" builtinId="9" hidden="1"/>
    <cellStyle name="Followed Hyperlink" xfId="5312" builtinId="9" hidden="1"/>
    <cellStyle name="Followed Hyperlink" xfId="5314" builtinId="9" hidden="1"/>
    <cellStyle name="Followed Hyperlink" xfId="5316" builtinId="9" hidden="1"/>
    <cellStyle name="Followed Hyperlink" xfId="5318" builtinId="9" hidden="1"/>
    <cellStyle name="Followed Hyperlink" xfId="5320" builtinId="9" hidden="1"/>
    <cellStyle name="Followed Hyperlink" xfId="5322" builtinId="9" hidden="1"/>
    <cellStyle name="Followed Hyperlink" xfId="5324" builtinId="9" hidden="1"/>
    <cellStyle name="Followed Hyperlink" xfId="5326" builtinId="9" hidden="1"/>
    <cellStyle name="Followed Hyperlink" xfId="5328" builtinId="9" hidden="1"/>
    <cellStyle name="Followed Hyperlink" xfId="5330" builtinId="9" hidden="1"/>
    <cellStyle name="Followed Hyperlink" xfId="5332" builtinId="9" hidden="1"/>
    <cellStyle name="Followed Hyperlink" xfId="5334" builtinId="9" hidden="1"/>
    <cellStyle name="Followed Hyperlink" xfId="5336" builtinId="9" hidden="1"/>
    <cellStyle name="Followed Hyperlink" xfId="5338" builtinId="9" hidden="1"/>
    <cellStyle name="Followed Hyperlink" xfId="5340" builtinId="9" hidden="1"/>
    <cellStyle name="Followed Hyperlink" xfId="5342" builtinId="9" hidden="1"/>
    <cellStyle name="Followed Hyperlink" xfId="5344" builtinId="9" hidden="1"/>
    <cellStyle name="Followed Hyperlink" xfId="5346" builtinId="9" hidden="1"/>
    <cellStyle name="Followed Hyperlink" xfId="5348" builtinId="9" hidden="1"/>
    <cellStyle name="Followed Hyperlink" xfId="5350" builtinId="9" hidden="1"/>
    <cellStyle name="Followed Hyperlink" xfId="5352" builtinId="9" hidden="1"/>
    <cellStyle name="Followed Hyperlink" xfId="5354" builtinId="9" hidden="1"/>
    <cellStyle name="Followed Hyperlink" xfId="5356" builtinId="9" hidden="1"/>
    <cellStyle name="Followed Hyperlink" xfId="5358" builtinId="9" hidden="1"/>
    <cellStyle name="Followed Hyperlink" xfId="5360" builtinId="9" hidden="1"/>
    <cellStyle name="Followed Hyperlink" xfId="5362" builtinId="9" hidden="1"/>
    <cellStyle name="Followed Hyperlink" xfId="5364" builtinId="9" hidden="1"/>
    <cellStyle name="Followed Hyperlink" xfId="5366" builtinId="9" hidden="1"/>
    <cellStyle name="Followed Hyperlink" xfId="5368" builtinId="9" hidden="1"/>
    <cellStyle name="Followed Hyperlink" xfId="5370" builtinId="9" hidden="1"/>
    <cellStyle name="Followed Hyperlink" xfId="5372" builtinId="9" hidden="1"/>
    <cellStyle name="Followed Hyperlink" xfId="5374" builtinId="9" hidden="1"/>
    <cellStyle name="Followed Hyperlink" xfId="5376" builtinId="9" hidden="1"/>
    <cellStyle name="Followed Hyperlink" xfId="5378" builtinId="9" hidden="1"/>
    <cellStyle name="Followed Hyperlink" xfId="5380" builtinId="9" hidden="1"/>
    <cellStyle name="Followed Hyperlink" xfId="5382" builtinId="9" hidden="1"/>
    <cellStyle name="Followed Hyperlink" xfId="5384" builtinId="9" hidden="1"/>
    <cellStyle name="Followed Hyperlink" xfId="5386" builtinId="9" hidden="1"/>
    <cellStyle name="Followed Hyperlink" xfId="5388" builtinId="9" hidden="1"/>
    <cellStyle name="Followed Hyperlink" xfId="5390" builtinId="9" hidden="1"/>
    <cellStyle name="Followed Hyperlink" xfId="5392" builtinId="9" hidden="1"/>
    <cellStyle name="Followed Hyperlink" xfId="5394" builtinId="9" hidden="1"/>
    <cellStyle name="Followed Hyperlink" xfId="5396" builtinId="9" hidden="1"/>
    <cellStyle name="Followed Hyperlink" xfId="5398" builtinId="9" hidden="1"/>
    <cellStyle name="Followed Hyperlink" xfId="5400" builtinId="9" hidden="1"/>
    <cellStyle name="Followed Hyperlink" xfId="5402" builtinId="9" hidden="1"/>
    <cellStyle name="Followed Hyperlink" xfId="5404" builtinId="9" hidden="1"/>
    <cellStyle name="Followed Hyperlink" xfId="5406" builtinId="9" hidden="1"/>
    <cellStyle name="Followed Hyperlink" xfId="5408" builtinId="9" hidden="1"/>
    <cellStyle name="Followed Hyperlink" xfId="5410" builtinId="9" hidden="1"/>
    <cellStyle name="Followed Hyperlink" xfId="5412" builtinId="9" hidden="1"/>
    <cellStyle name="Followed Hyperlink" xfId="5414" builtinId="9" hidden="1"/>
    <cellStyle name="Followed Hyperlink" xfId="5416" builtinId="9" hidden="1"/>
    <cellStyle name="Followed Hyperlink" xfId="5418" builtinId="9" hidden="1"/>
    <cellStyle name="Followed Hyperlink" xfId="5420" builtinId="9" hidden="1"/>
    <cellStyle name="Followed Hyperlink" xfId="5422" builtinId="9" hidden="1"/>
    <cellStyle name="Followed Hyperlink" xfId="5424" builtinId="9" hidden="1"/>
    <cellStyle name="Followed Hyperlink" xfId="5426" builtinId="9" hidden="1"/>
    <cellStyle name="Followed Hyperlink" xfId="5428" builtinId="9" hidden="1"/>
    <cellStyle name="Followed Hyperlink" xfId="5430" builtinId="9" hidden="1"/>
    <cellStyle name="Followed Hyperlink" xfId="5432" builtinId="9" hidden="1"/>
    <cellStyle name="Followed Hyperlink" xfId="5434" builtinId="9" hidden="1"/>
    <cellStyle name="Followed Hyperlink" xfId="5436" builtinId="9" hidden="1"/>
    <cellStyle name="Followed Hyperlink" xfId="5438" builtinId="9" hidden="1"/>
    <cellStyle name="Followed Hyperlink" xfId="5440" builtinId="9" hidden="1"/>
    <cellStyle name="Followed Hyperlink" xfId="5442" builtinId="9" hidden="1"/>
    <cellStyle name="Followed Hyperlink" xfId="5444" builtinId="9" hidden="1"/>
    <cellStyle name="Followed Hyperlink" xfId="5446" builtinId="9" hidden="1"/>
    <cellStyle name="Followed Hyperlink" xfId="5448" builtinId="9" hidden="1"/>
    <cellStyle name="Followed Hyperlink" xfId="5450" builtinId="9" hidden="1"/>
    <cellStyle name="Followed Hyperlink" xfId="5452" builtinId="9" hidden="1"/>
    <cellStyle name="Followed Hyperlink" xfId="5454" builtinId="9" hidden="1"/>
    <cellStyle name="Followed Hyperlink" xfId="5456" builtinId="9" hidden="1"/>
    <cellStyle name="Followed Hyperlink" xfId="5458" builtinId="9" hidden="1"/>
    <cellStyle name="Followed Hyperlink" xfId="5460" builtinId="9" hidden="1"/>
    <cellStyle name="Followed Hyperlink" xfId="5462" builtinId="9" hidden="1"/>
    <cellStyle name="Followed Hyperlink" xfId="5464" builtinId="9" hidden="1"/>
    <cellStyle name="Followed Hyperlink" xfId="5466" builtinId="9" hidden="1"/>
    <cellStyle name="Followed Hyperlink" xfId="5468" builtinId="9" hidden="1"/>
    <cellStyle name="Followed Hyperlink" xfId="5470" builtinId="9" hidden="1"/>
    <cellStyle name="Followed Hyperlink" xfId="5472" builtinId="9" hidden="1"/>
    <cellStyle name="Followed Hyperlink" xfId="5474" builtinId="9" hidden="1"/>
    <cellStyle name="Followed Hyperlink" xfId="5476" builtinId="9" hidden="1"/>
    <cellStyle name="Followed Hyperlink" xfId="5478" builtinId="9" hidden="1"/>
    <cellStyle name="Followed Hyperlink" xfId="5480" builtinId="9" hidden="1"/>
    <cellStyle name="Followed Hyperlink" xfId="5482" builtinId="9" hidden="1"/>
    <cellStyle name="Followed Hyperlink" xfId="5484" builtinId="9" hidden="1"/>
    <cellStyle name="Followed Hyperlink" xfId="5486" builtinId="9" hidden="1"/>
    <cellStyle name="Followed Hyperlink" xfId="5488" builtinId="9" hidden="1"/>
    <cellStyle name="Followed Hyperlink" xfId="5490" builtinId="9" hidden="1"/>
    <cellStyle name="Followed Hyperlink" xfId="5492" builtinId="9" hidden="1"/>
    <cellStyle name="Followed Hyperlink" xfId="5494" builtinId="9" hidden="1"/>
    <cellStyle name="Followed Hyperlink" xfId="5496" builtinId="9" hidden="1"/>
    <cellStyle name="Followed Hyperlink" xfId="5498" builtinId="9" hidden="1"/>
    <cellStyle name="Followed Hyperlink" xfId="5500" builtinId="9" hidden="1"/>
    <cellStyle name="Followed Hyperlink" xfId="5502" builtinId="9" hidden="1"/>
    <cellStyle name="Followed Hyperlink" xfId="5504" builtinId="9" hidden="1"/>
    <cellStyle name="Followed Hyperlink" xfId="5506" builtinId="9" hidden="1"/>
    <cellStyle name="Followed Hyperlink" xfId="5508" builtinId="9" hidden="1"/>
    <cellStyle name="Followed Hyperlink" xfId="5510" builtinId="9" hidden="1"/>
    <cellStyle name="Followed Hyperlink" xfId="5512" builtinId="9" hidden="1"/>
    <cellStyle name="Followed Hyperlink" xfId="5514" builtinId="9" hidden="1"/>
    <cellStyle name="Followed Hyperlink" xfId="5516" builtinId="9" hidden="1"/>
    <cellStyle name="Followed Hyperlink" xfId="5518" builtinId="9" hidden="1"/>
    <cellStyle name="Followed Hyperlink" xfId="5520" builtinId="9" hidden="1"/>
    <cellStyle name="Followed Hyperlink" xfId="5522" builtinId="9" hidden="1"/>
    <cellStyle name="Followed Hyperlink" xfId="5524" builtinId="9" hidden="1"/>
    <cellStyle name="Followed Hyperlink" xfId="5526" builtinId="9" hidden="1"/>
    <cellStyle name="Followed Hyperlink" xfId="5528" builtinId="9" hidden="1"/>
    <cellStyle name="Followed Hyperlink" xfId="5530" builtinId="9" hidden="1"/>
    <cellStyle name="Followed Hyperlink" xfId="5532" builtinId="9" hidden="1"/>
    <cellStyle name="Followed Hyperlink" xfId="5534" builtinId="9" hidden="1"/>
    <cellStyle name="Followed Hyperlink" xfId="5536" builtinId="9" hidden="1"/>
    <cellStyle name="Followed Hyperlink" xfId="5538" builtinId="9" hidden="1"/>
    <cellStyle name="Followed Hyperlink" xfId="5540" builtinId="9" hidden="1"/>
    <cellStyle name="Followed Hyperlink" xfId="5542" builtinId="9" hidden="1"/>
    <cellStyle name="Followed Hyperlink" xfId="5544" builtinId="9" hidden="1"/>
    <cellStyle name="Followed Hyperlink" xfId="5546" builtinId="9" hidden="1"/>
    <cellStyle name="Followed Hyperlink" xfId="5548" builtinId="9" hidden="1"/>
    <cellStyle name="Followed Hyperlink" xfId="5550" builtinId="9" hidden="1"/>
    <cellStyle name="Followed Hyperlink" xfId="5552" builtinId="9" hidden="1"/>
    <cellStyle name="Followed Hyperlink" xfId="5554" builtinId="9" hidden="1"/>
    <cellStyle name="Followed Hyperlink" xfId="5556" builtinId="9" hidden="1"/>
    <cellStyle name="Followed Hyperlink" xfId="5558" builtinId="9" hidden="1"/>
    <cellStyle name="Followed Hyperlink" xfId="5560" builtinId="9" hidden="1"/>
    <cellStyle name="Followed Hyperlink" xfId="5562" builtinId="9" hidden="1"/>
    <cellStyle name="Followed Hyperlink" xfId="5564" builtinId="9" hidden="1"/>
    <cellStyle name="Followed Hyperlink" xfId="5566" builtinId="9" hidden="1"/>
    <cellStyle name="Followed Hyperlink" xfId="5568" builtinId="9" hidden="1"/>
    <cellStyle name="Followed Hyperlink" xfId="5570" builtinId="9" hidden="1"/>
    <cellStyle name="Followed Hyperlink" xfId="5572" builtinId="9" hidden="1"/>
    <cellStyle name="Followed Hyperlink" xfId="5574" builtinId="9" hidden="1"/>
    <cellStyle name="Followed Hyperlink" xfId="5576" builtinId="9" hidden="1"/>
    <cellStyle name="Followed Hyperlink" xfId="5578" builtinId="9" hidden="1"/>
    <cellStyle name="Followed Hyperlink" xfId="5580" builtinId="9" hidden="1"/>
    <cellStyle name="Followed Hyperlink" xfId="5582" builtinId="9" hidden="1"/>
    <cellStyle name="Followed Hyperlink" xfId="5584" builtinId="9" hidden="1"/>
    <cellStyle name="Followed Hyperlink" xfId="5586" builtinId="9" hidden="1"/>
    <cellStyle name="Followed Hyperlink" xfId="5588" builtinId="9" hidden="1"/>
    <cellStyle name="Followed Hyperlink" xfId="5590" builtinId="9" hidden="1"/>
    <cellStyle name="Followed Hyperlink" xfId="5592" builtinId="9" hidden="1"/>
    <cellStyle name="Followed Hyperlink" xfId="5594" builtinId="9" hidden="1"/>
    <cellStyle name="Followed Hyperlink" xfId="5596" builtinId="9" hidden="1"/>
    <cellStyle name="Followed Hyperlink" xfId="5598" builtinId="9" hidden="1"/>
    <cellStyle name="Followed Hyperlink" xfId="5600" builtinId="9" hidden="1"/>
    <cellStyle name="Followed Hyperlink" xfId="5602" builtinId="9" hidden="1"/>
    <cellStyle name="Followed Hyperlink" xfId="5604" builtinId="9" hidden="1"/>
    <cellStyle name="Followed Hyperlink" xfId="5606" builtinId="9" hidden="1"/>
    <cellStyle name="Followed Hyperlink" xfId="5608" builtinId="9" hidden="1"/>
    <cellStyle name="Followed Hyperlink" xfId="5610" builtinId="9" hidden="1"/>
    <cellStyle name="Followed Hyperlink" xfId="5612" builtinId="9" hidden="1"/>
    <cellStyle name="Followed Hyperlink" xfId="5614" builtinId="9" hidden="1"/>
    <cellStyle name="Followed Hyperlink" xfId="5616" builtinId="9" hidden="1"/>
    <cellStyle name="Followed Hyperlink" xfId="5618" builtinId="9" hidden="1"/>
    <cellStyle name="Followed Hyperlink" xfId="5620" builtinId="9" hidden="1"/>
    <cellStyle name="Followed Hyperlink" xfId="5622" builtinId="9" hidden="1"/>
    <cellStyle name="Followed Hyperlink" xfId="5624" builtinId="9" hidden="1"/>
    <cellStyle name="Followed Hyperlink" xfId="5626" builtinId="9" hidden="1"/>
    <cellStyle name="Followed Hyperlink" xfId="5628" builtinId="9" hidden="1"/>
    <cellStyle name="Followed Hyperlink" xfId="5630" builtinId="9" hidden="1"/>
    <cellStyle name="Followed Hyperlink" xfId="5632" builtinId="9" hidden="1"/>
    <cellStyle name="Followed Hyperlink" xfId="5634" builtinId="9" hidden="1"/>
    <cellStyle name="Followed Hyperlink" xfId="5636" builtinId="9" hidden="1"/>
    <cellStyle name="Followed Hyperlink" xfId="5638" builtinId="9" hidden="1"/>
    <cellStyle name="Followed Hyperlink" xfId="5640" builtinId="9" hidden="1"/>
    <cellStyle name="Followed Hyperlink" xfId="5642" builtinId="9" hidden="1"/>
    <cellStyle name="Followed Hyperlink" xfId="5644" builtinId="9" hidden="1"/>
    <cellStyle name="Followed Hyperlink" xfId="5646" builtinId="9" hidden="1"/>
    <cellStyle name="Followed Hyperlink" xfId="5648" builtinId="9" hidden="1"/>
    <cellStyle name="Followed Hyperlink" xfId="5650" builtinId="9" hidden="1"/>
    <cellStyle name="Followed Hyperlink" xfId="5652" builtinId="9" hidden="1"/>
    <cellStyle name="Followed Hyperlink" xfId="5654" builtinId="9" hidden="1"/>
    <cellStyle name="Followed Hyperlink" xfId="5656" builtinId="9" hidden="1"/>
    <cellStyle name="Followed Hyperlink" xfId="5658" builtinId="9" hidden="1"/>
    <cellStyle name="Followed Hyperlink" xfId="5660" builtinId="9" hidden="1"/>
    <cellStyle name="Followed Hyperlink" xfId="5662" builtinId="9" hidden="1"/>
    <cellStyle name="Followed Hyperlink" xfId="5664" builtinId="9" hidden="1"/>
    <cellStyle name="Followed Hyperlink" xfId="5666" builtinId="9" hidden="1"/>
    <cellStyle name="Followed Hyperlink" xfId="5668" builtinId="9" hidden="1"/>
    <cellStyle name="Followed Hyperlink" xfId="5670" builtinId="9" hidden="1"/>
    <cellStyle name="Followed Hyperlink" xfId="5672" builtinId="9" hidden="1"/>
    <cellStyle name="Followed Hyperlink" xfId="5674" builtinId="9" hidden="1"/>
    <cellStyle name="Followed Hyperlink" xfId="5676" builtinId="9" hidden="1"/>
    <cellStyle name="Followed Hyperlink" xfId="5678" builtinId="9" hidden="1"/>
    <cellStyle name="Followed Hyperlink" xfId="5680" builtinId="9" hidden="1"/>
    <cellStyle name="Followed Hyperlink" xfId="5682" builtinId="9" hidden="1"/>
    <cellStyle name="Followed Hyperlink" xfId="5684" builtinId="9" hidden="1"/>
    <cellStyle name="Followed Hyperlink" xfId="5686" builtinId="9" hidden="1"/>
    <cellStyle name="Followed Hyperlink" xfId="5688" builtinId="9" hidden="1"/>
    <cellStyle name="Followed Hyperlink" xfId="5690" builtinId="9" hidden="1"/>
    <cellStyle name="Followed Hyperlink" xfId="5692" builtinId="9" hidden="1"/>
    <cellStyle name="Followed Hyperlink" xfId="5694" builtinId="9" hidden="1"/>
    <cellStyle name="Followed Hyperlink" xfId="5696" builtinId="9" hidden="1"/>
    <cellStyle name="Followed Hyperlink" xfId="5698" builtinId="9" hidden="1"/>
    <cellStyle name="Followed Hyperlink" xfId="5700" builtinId="9" hidden="1"/>
    <cellStyle name="Followed Hyperlink" xfId="5702" builtinId="9" hidden="1"/>
    <cellStyle name="Followed Hyperlink" xfId="5704" builtinId="9" hidden="1"/>
    <cellStyle name="Followed Hyperlink" xfId="5706" builtinId="9" hidden="1"/>
    <cellStyle name="Followed Hyperlink" xfId="5708" builtinId="9" hidden="1"/>
    <cellStyle name="Followed Hyperlink" xfId="5710" builtinId="9" hidden="1"/>
    <cellStyle name="Followed Hyperlink" xfId="5712" builtinId="9" hidden="1"/>
    <cellStyle name="Followed Hyperlink" xfId="5714" builtinId="9" hidden="1"/>
    <cellStyle name="Followed Hyperlink" xfId="5716" builtinId="9" hidden="1"/>
    <cellStyle name="Followed Hyperlink" xfId="5718" builtinId="9" hidden="1"/>
    <cellStyle name="Followed Hyperlink" xfId="5720" builtinId="9" hidden="1"/>
    <cellStyle name="Followed Hyperlink" xfId="5722" builtinId="9" hidden="1"/>
    <cellStyle name="Followed Hyperlink" xfId="5724" builtinId="9" hidden="1"/>
    <cellStyle name="Followed Hyperlink" xfId="5726" builtinId="9" hidden="1"/>
    <cellStyle name="Followed Hyperlink" xfId="5728" builtinId="9" hidden="1"/>
    <cellStyle name="Followed Hyperlink" xfId="5730" builtinId="9" hidden="1"/>
    <cellStyle name="Followed Hyperlink" xfId="5732" builtinId="9" hidden="1"/>
    <cellStyle name="Followed Hyperlink" xfId="5734" builtinId="9" hidden="1"/>
    <cellStyle name="Followed Hyperlink" xfId="5736" builtinId="9" hidden="1"/>
    <cellStyle name="Followed Hyperlink" xfId="5738" builtinId="9" hidden="1"/>
    <cellStyle name="Followed Hyperlink" xfId="5740" builtinId="9" hidden="1"/>
    <cellStyle name="Followed Hyperlink" xfId="5742" builtinId="9" hidden="1"/>
    <cellStyle name="Followed Hyperlink" xfId="5744" builtinId="9" hidden="1"/>
    <cellStyle name="Followed Hyperlink" xfId="5746" builtinId="9" hidden="1"/>
    <cellStyle name="Followed Hyperlink" xfId="5748" builtinId="9" hidden="1"/>
    <cellStyle name="Followed Hyperlink" xfId="5750" builtinId="9" hidden="1"/>
    <cellStyle name="Followed Hyperlink" xfId="5752" builtinId="9" hidden="1"/>
    <cellStyle name="Followed Hyperlink" xfId="5754" builtinId="9" hidden="1"/>
    <cellStyle name="Followed Hyperlink" xfId="5756" builtinId="9" hidden="1"/>
    <cellStyle name="Followed Hyperlink" xfId="5758" builtinId="9" hidden="1"/>
    <cellStyle name="Followed Hyperlink" xfId="5760" builtinId="9" hidden="1"/>
    <cellStyle name="Followed Hyperlink" xfId="5762" builtinId="9" hidden="1"/>
    <cellStyle name="Followed Hyperlink" xfId="5764" builtinId="9" hidden="1"/>
    <cellStyle name="Followed Hyperlink" xfId="5766" builtinId="9" hidden="1"/>
    <cellStyle name="Followed Hyperlink" xfId="5768" builtinId="9" hidden="1"/>
    <cellStyle name="Followed Hyperlink" xfId="5770" builtinId="9" hidden="1"/>
    <cellStyle name="Followed Hyperlink" xfId="5772" builtinId="9" hidden="1"/>
    <cellStyle name="Followed Hyperlink" xfId="5774" builtinId="9" hidden="1"/>
    <cellStyle name="Followed Hyperlink" xfId="5776" builtinId="9" hidden="1"/>
    <cellStyle name="Followed Hyperlink" xfId="5778" builtinId="9" hidden="1"/>
    <cellStyle name="Followed Hyperlink" xfId="5780" builtinId="9" hidden="1"/>
    <cellStyle name="Followed Hyperlink" xfId="5782" builtinId="9" hidden="1"/>
    <cellStyle name="Followed Hyperlink" xfId="5784" builtinId="9" hidden="1"/>
    <cellStyle name="Followed Hyperlink" xfId="5786" builtinId="9" hidden="1"/>
    <cellStyle name="Followed Hyperlink" xfId="5788" builtinId="9" hidden="1"/>
    <cellStyle name="Followed Hyperlink" xfId="5790" builtinId="9" hidden="1"/>
    <cellStyle name="Followed Hyperlink" xfId="5792" builtinId="9" hidden="1"/>
    <cellStyle name="Followed Hyperlink" xfId="5794" builtinId="9" hidden="1"/>
    <cellStyle name="Followed Hyperlink" xfId="5796" builtinId="9" hidden="1"/>
    <cellStyle name="Followed Hyperlink" xfId="5798" builtinId="9" hidden="1"/>
    <cellStyle name="Followed Hyperlink" xfId="5800" builtinId="9" hidden="1"/>
    <cellStyle name="Followed Hyperlink" xfId="5802" builtinId="9" hidden="1"/>
    <cellStyle name="Followed Hyperlink" xfId="5804" builtinId="9" hidden="1"/>
    <cellStyle name="Followed Hyperlink" xfId="5806" builtinId="9" hidden="1"/>
    <cellStyle name="Followed Hyperlink" xfId="5808" builtinId="9" hidden="1"/>
    <cellStyle name="Followed Hyperlink" xfId="5810" builtinId="9" hidden="1"/>
    <cellStyle name="Followed Hyperlink" xfId="5812" builtinId="9" hidden="1"/>
    <cellStyle name="Followed Hyperlink" xfId="5814" builtinId="9" hidden="1"/>
    <cellStyle name="Followed Hyperlink" xfId="5816" builtinId="9" hidden="1"/>
    <cellStyle name="Followed Hyperlink" xfId="5818" builtinId="9" hidden="1"/>
    <cellStyle name="Followed Hyperlink" xfId="5820" builtinId="9" hidden="1"/>
    <cellStyle name="Followed Hyperlink" xfId="5822" builtinId="9" hidden="1"/>
    <cellStyle name="Followed Hyperlink" xfId="5824" builtinId="9" hidden="1"/>
    <cellStyle name="Followed Hyperlink" xfId="5826" builtinId="9" hidden="1"/>
    <cellStyle name="Followed Hyperlink" xfId="5828" builtinId="9" hidden="1"/>
    <cellStyle name="Followed Hyperlink" xfId="5830" builtinId="9" hidden="1"/>
    <cellStyle name="Followed Hyperlink" xfId="5832" builtinId="9" hidden="1"/>
    <cellStyle name="Followed Hyperlink" xfId="5834" builtinId="9" hidden="1"/>
    <cellStyle name="Followed Hyperlink" xfId="5836" builtinId="9" hidden="1"/>
    <cellStyle name="Followed Hyperlink" xfId="5838" builtinId="9" hidden="1"/>
    <cellStyle name="Followed Hyperlink" xfId="5840" builtinId="9" hidden="1"/>
    <cellStyle name="Followed Hyperlink" xfId="5842" builtinId="9" hidden="1"/>
    <cellStyle name="Followed Hyperlink" xfId="5844" builtinId="9" hidden="1"/>
    <cellStyle name="Followed Hyperlink" xfId="5846" builtinId="9" hidden="1"/>
    <cellStyle name="Followed Hyperlink" xfId="5848" builtinId="9" hidden="1"/>
    <cellStyle name="Followed Hyperlink" xfId="5850" builtinId="9" hidden="1"/>
    <cellStyle name="Followed Hyperlink" xfId="5852" builtinId="9" hidden="1"/>
    <cellStyle name="Followed Hyperlink" xfId="5854" builtinId="9" hidden="1"/>
    <cellStyle name="Followed Hyperlink" xfId="5856" builtinId="9" hidden="1"/>
    <cellStyle name="Followed Hyperlink" xfId="5858" builtinId="9" hidden="1"/>
    <cellStyle name="Followed Hyperlink" xfId="5860" builtinId="9" hidden="1"/>
    <cellStyle name="Followed Hyperlink" xfId="5862" builtinId="9" hidden="1"/>
    <cellStyle name="Followed Hyperlink" xfId="5864" builtinId="9" hidden="1"/>
    <cellStyle name="Followed Hyperlink" xfId="5866" builtinId="9" hidden="1"/>
    <cellStyle name="Followed Hyperlink" xfId="5868" builtinId="9" hidden="1"/>
    <cellStyle name="Followed Hyperlink" xfId="5870" builtinId="9" hidden="1"/>
    <cellStyle name="Followed Hyperlink" xfId="5872" builtinId="9" hidden="1"/>
    <cellStyle name="Followed Hyperlink" xfId="5874" builtinId="9" hidden="1"/>
    <cellStyle name="Followed Hyperlink" xfId="5876" builtinId="9" hidden="1"/>
    <cellStyle name="Followed Hyperlink" xfId="5878" builtinId="9" hidden="1"/>
    <cellStyle name="Followed Hyperlink" xfId="5880" builtinId="9" hidden="1"/>
    <cellStyle name="Followed Hyperlink" xfId="5882" builtinId="9" hidden="1"/>
    <cellStyle name="Followed Hyperlink" xfId="5884" builtinId="9" hidden="1"/>
    <cellStyle name="Followed Hyperlink" xfId="5886" builtinId="9" hidden="1"/>
    <cellStyle name="Followed Hyperlink" xfId="5888" builtinId="9" hidden="1"/>
    <cellStyle name="Followed Hyperlink" xfId="5890" builtinId="9" hidden="1"/>
    <cellStyle name="Followed Hyperlink" xfId="5892" builtinId="9" hidden="1"/>
    <cellStyle name="Followed Hyperlink" xfId="5894" builtinId="9" hidden="1"/>
    <cellStyle name="Followed Hyperlink" xfId="5896" builtinId="9" hidden="1"/>
    <cellStyle name="Followed Hyperlink" xfId="5898" builtinId="9" hidden="1"/>
    <cellStyle name="Followed Hyperlink" xfId="5900" builtinId="9" hidden="1"/>
    <cellStyle name="Followed Hyperlink" xfId="5902" builtinId="9" hidden="1"/>
    <cellStyle name="Followed Hyperlink" xfId="5904" builtinId="9" hidden="1"/>
    <cellStyle name="Followed Hyperlink" xfId="5906" builtinId="9" hidden="1"/>
    <cellStyle name="Followed Hyperlink" xfId="5908" builtinId="9" hidden="1"/>
    <cellStyle name="Followed Hyperlink" xfId="5910" builtinId="9" hidden="1"/>
    <cellStyle name="Followed Hyperlink" xfId="5912" builtinId="9" hidden="1"/>
    <cellStyle name="Followed Hyperlink" xfId="5914" builtinId="9" hidden="1"/>
    <cellStyle name="Followed Hyperlink" xfId="5916" builtinId="9" hidden="1"/>
    <cellStyle name="Followed Hyperlink" xfId="5918" builtinId="9" hidden="1"/>
    <cellStyle name="Followed Hyperlink" xfId="5920" builtinId="9" hidden="1"/>
    <cellStyle name="Followed Hyperlink" xfId="5922" builtinId="9" hidden="1"/>
    <cellStyle name="Followed Hyperlink" xfId="5924" builtinId="9" hidden="1"/>
    <cellStyle name="Followed Hyperlink" xfId="5926" builtinId="9" hidden="1"/>
    <cellStyle name="Followed Hyperlink" xfId="5928" builtinId="9" hidden="1"/>
    <cellStyle name="Followed Hyperlink" xfId="5930" builtinId="9" hidden="1"/>
    <cellStyle name="Followed Hyperlink" xfId="5932" builtinId="9" hidden="1"/>
    <cellStyle name="Followed Hyperlink" xfId="5934" builtinId="9" hidden="1"/>
    <cellStyle name="Followed Hyperlink" xfId="5936" builtinId="9" hidden="1"/>
    <cellStyle name="Followed Hyperlink" xfId="5938" builtinId="9" hidden="1"/>
    <cellStyle name="Followed Hyperlink" xfId="5940" builtinId="9" hidden="1"/>
    <cellStyle name="Followed Hyperlink" xfId="5942" builtinId="9" hidden="1"/>
    <cellStyle name="Followed Hyperlink" xfId="5944" builtinId="9" hidden="1"/>
    <cellStyle name="Followed Hyperlink" xfId="5946" builtinId="9" hidden="1"/>
    <cellStyle name="Followed Hyperlink" xfId="5948" builtinId="9" hidden="1"/>
    <cellStyle name="Followed Hyperlink" xfId="5950" builtinId="9" hidden="1"/>
    <cellStyle name="Followed Hyperlink" xfId="5952" builtinId="9" hidden="1"/>
    <cellStyle name="Followed Hyperlink" xfId="5954" builtinId="9" hidden="1"/>
    <cellStyle name="Followed Hyperlink" xfId="5956" builtinId="9" hidden="1"/>
    <cellStyle name="Followed Hyperlink" xfId="5958" builtinId="9" hidden="1"/>
    <cellStyle name="Followed Hyperlink" xfId="5960" builtinId="9" hidden="1"/>
    <cellStyle name="Followed Hyperlink" xfId="5962" builtinId="9" hidden="1"/>
    <cellStyle name="Followed Hyperlink" xfId="5964" builtinId="9" hidden="1"/>
    <cellStyle name="Followed Hyperlink" xfId="5966" builtinId="9" hidden="1"/>
    <cellStyle name="Followed Hyperlink" xfId="5968" builtinId="9" hidden="1"/>
    <cellStyle name="Followed Hyperlink" xfId="5970" builtinId="9" hidden="1"/>
    <cellStyle name="Followed Hyperlink" xfId="5972" builtinId="9" hidden="1"/>
    <cellStyle name="Followed Hyperlink" xfId="5974" builtinId="9" hidden="1"/>
    <cellStyle name="Followed Hyperlink" xfId="5976" builtinId="9" hidden="1"/>
    <cellStyle name="Followed Hyperlink" xfId="5978" builtinId="9" hidden="1"/>
    <cellStyle name="Followed Hyperlink" xfId="5980" builtinId="9" hidden="1"/>
    <cellStyle name="Followed Hyperlink" xfId="5982" builtinId="9" hidden="1"/>
    <cellStyle name="Followed Hyperlink" xfId="5984" builtinId="9" hidden="1"/>
    <cellStyle name="Followed Hyperlink" xfId="5986" builtinId="9" hidden="1"/>
    <cellStyle name="Followed Hyperlink" xfId="5988" builtinId="9" hidden="1"/>
    <cellStyle name="Followed Hyperlink" xfId="5990" builtinId="9" hidden="1"/>
    <cellStyle name="Followed Hyperlink" xfId="5992" builtinId="9" hidden="1"/>
    <cellStyle name="Followed Hyperlink" xfId="5994" builtinId="9" hidden="1"/>
    <cellStyle name="Followed Hyperlink" xfId="5996" builtinId="9" hidden="1"/>
    <cellStyle name="Followed Hyperlink" xfId="5998" builtinId="9" hidden="1"/>
    <cellStyle name="Followed Hyperlink" xfId="6000" builtinId="9" hidden="1"/>
    <cellStyle name="Followed Hyperlink" xfId="6002" builtinId="9" hidden="1"/>
    <cellStyle name="Followed Hyperlink" xfId="6004" builtinId="9" hidden="1"/>
    <cellStyle name="Followed Hyperlink" xfId="6006" builtinId="9" hidden="1"/>
    <cellStyle name="Followed Hyperlink" xfId="6008" builtinId="9" hidden="1"/>
    <cellStyle name="Followed Hyperlink" xfId="6010" builtinId="9" hidden="1"/>
    <cellStyle name="Followed Hyperlink" xfId="6012" builtinId="9" hidden="1"/>
    <cellStyle name="Followed Hyperlink" xfId="6014" builtinId="9" hidden="1"/>
    <cellStyle name="Followed Hyperlink" xfId="6016" builtinId="9" hidden="1"/>
    <cellStyle name="Followed Hyperlink" xfId="6018" builtinId="9" hidden="1"/>
    <cellStyle name="Followed Hyperlink" xfId="6020" builtinId="9" hidden="1"/>
    <cellStyle name="Followed Hyperlink" xfId="6022" builtinId="9" hidden="1"/>
    <cellStyle name="Followed Hyperlink" xfId="6024" builtinId="9" hidden="1"/>
    <cellStyle name="Followed Hyperlink" xfId="6026" builtinId="9" hidden="1"/>
    <cellStyle name="Followed Hyperlink" xfId="6028" builtinId="9" hidden="1"/>
    <cellStyle name="Followed Hyperlink" xfId="6030" builtinId="9" hidden="1"/>
    <cellStyle name="Followed Hyperlink" xfId="6032" builtinId="9" hidden="1"/>
    <cellStyle name="Followed Hyperlink" xfId="6034" builtinId="9" hidden="1"/>
    <cellStyle name="Followed Hyperlink" xfId="6036" builtinId="9" hidden="1"/>
    <cellStyle name="Followed Hyperlink" xfId="6038" builtinId="9" hidden="1"/>
    <cellStyle name="Followed Hyperlink" xfId="6040" builtinId="9" hidden="1"/>
    <cellStyle name="Followed Hyperlink" xfId="6042" builtinId="9" hidden="1"/>
    <cellStyle name="Followed Hyperlink" xfId="6044" builtinId="9" hidden="1"/>
    <cellStyle name="Followed Hyperlink" xfId="6046" builtinId="9" hidden="1"/>
    <cellStyle name="Followed Hyperlink" xfId="6048" builtinId="9" hidden="1"/>
    <cellStyle name="Followed Hyperlink" xfId="6050" builtinId="9" hidden="1"/>
    <cellStyle name="Followed Hyperlink" xfId="6052" builtinId="9" hidden="1"/>
    <cellStyle name="Followed Hyperlink" xfId="6054" builtinId="9" hidden="1"/>
    <cellStyle name="Followed Hyperlink" xfId="6056" builtinId="9" hidden="1"/>
    <cellStyle name="Followed Hyperlink" xfId="6058" builtinId="9" hidden="1"/>
    <cellStyle name="Followed Hyperlink" xfId="6060" builtinId="9" hidden="1"/>
    <cellStyle name="Followed Hyperlink" xfId="6062" builtinId="9" hidden="1"/>
    <cellStyle name="Followed Hyperlink" xfId="6064" builtinId="9" hidden="1"/>
    <cellStyle name="Followed Hyperlink" xfId="6066" builtinId="9" hidden="1"/>
    <cellStyle name="Followed Hyperlink" xfId="6068" builtinId="9" hidden="1"/>
    <cellStyle name="Followed Hyperlink" xfId="6070" builtinId="9" hidden="1"/>
    <cellStyle name="Followed Hyperlink" xfId="6072" builtinId="9" hidden="1"/>
    <cellStyle name="Followed Hyperlink" xfId="6074" builtinId="9" hidden="1"/>
    <cellStyle name="Followed Hyperlink" xfId="6076" builtinId="9" hidden="1"/>
    <cellStyle name="Followed Hyperlink" xfId="6078" builtinId="9" hidden="1"/>
    <cellStyle name="Followed Hyperlink" xfId="6080" builtinId="9" hidden="1"/>
    <cellStyle name="Followed Hyperlink" xfId="6082" builtinId="9" hidden="1"/>
    <cellStyle name="Followed Hyperlink" xfId="6084" builtinId="9" hidden="1"/>
    <cellStyle name="Followed Hyperlink" xfId="6086" builtinId="9" hidden="1"/>
    <cellStyle name="Followed Hyperlink" xfId="6088" builtinId="9" hidden="1"/>
    <cellStyle name="Followed Hyperlink" xfId="6090" builtinId="9" hidden="1"/>
    <cellStyle name="Followed Hyperlink" xfId="6092" builtinId="9" hidden="1"/>
    <cellStyle name="Followed Hyperlink" xfId="6094" builtinId="9" hidden="1"/>
    <cellStyle name="Followed Hyperlink" xfId="6096" builtinId="9" hidden="1"/>
    <cellStyle name="Followed Hyperlink" xfId="6098" builtinId="9" hidden="1"/>
    <cellStyle name="Followed Hyperlink" xfId="6100" builtinId="9" hidden="1"/>
    <cellStyle name="Followed Hyperlink" xfId="6102" builtinId="9" hidden="1"/>
    <cellStyle name="Followed Hyperlink" xfId="6104" builtinId="9" hidden="1"/>
    <cellStyle name="Followed Hyperlink" xfId="6106" builtinId="9" hidden="1"/>
    <cellStyle name="Followed Hyperlink" xfId="6108" builtinId="9" hidden="1"/>
    <cellStyle name="Followed Hyperlink" xfId="6110" builtinId="9" hidden="1"/>
    <cellStyle name="Followed Hyperlink" xfId="6112" builtinId="9" hidden="1"/>
    <cellStyle name="Followed Hyperlink" xfId="6114" builtinId="9" hidden="1"/>
    <cellStyle name="Followed Hyperlink" xfId="6116" builtinId="9" hidden="1"/>
    <cellStyle name="Followed Hyperlink" xfId="6118" builtinId="9" hidden="1"/>
    <cellStyle name="Followed Hyperlink" xfId="6120" builtinId="9" hidden="1"/>
    <cellStyle name="Followed Hyperlink" xfId="6122" builtinId="9" hidden="1"/>
    <cellStyle name="Followed Hyperlink" xfId="6124" builtinId="9" hidden="1"/>
    <cellStyle name="Followed Hyperlink" xfId="6126" builtinId="9" hidden="1"/>
    <cellStyle name="Followed Hyperlink" xfId="6128" builtinId="9" hidden="1"/>
    <cellStyle name="Followed Hyperlink" xfId="6130" builtinId="9" hidden="1"/>
    <cellStyle name="Followed Hyperlink" xfId="6132" builtinId="9" hidden="1"/>
    <cellStyle name="Followed Hyperlink" xfId="6134" builtinId="9" hidden="1"/>
    <cellStyle name="Followed Hyperlink" xfId="6136" builtinId="9" hidden="1"/>
    <cellStyle name="Followed Hyperlink" xfId="6138" builtinId="9" hidden="1"/>
    <cellStyle name="Followed Hyperlink" xfId="6140" builtinId="9" hidden="1"/>
    <cellStyle name="Followed Hyperlink" xfId="6142" builtinId="9" hidden="1"/>
    <cellStyle name="Followed Hyperlink" xfId="6144" builtinId="9" hidden="1"/>
    <cellStyle name="Followed Hyperlink" xfId="6146" builtinId="9" hidden="1"/>
    <cellStyle name="Followed Hyperlink" xfId="6148" builtinId="9" hidden="1"/>
    <cellStyle name="Followed Hyperlink" xfId="6150" builtinId="9" hidden="1"/>
    <cellStyle name="Followed Hyperlink" xfId="6152" builtinId="9" hidden="1"/>
    <cellStyle name="Followed Hyperlink" xfId="6154" builtinId="9" hidden="1"/>
    <cellStyle name="Followed Hyperlink" xfId="6156" builtinId="9" hidden="1"/>
    <cellStyle name="Followed Hyperlink" xfId="6158" builtinId="9" hidden="1"/>
    <cellStyle name="Followed Hyperlink" xfId="6160" builtinId="9" hidden="1"/>
    <cellStyle name="Followed Hyperlink" xfId="6162" builtinId="9" hidden="1"/>
    <cellStyle name="Followed Hyperlink" xfId="6164" builtinId="9" hidden="1"/>
    <cellStyle name="Followed Hyperlink" xfId="6166" builtinId="9" hidden="1"/>
    <cellStyle name="Followed Hyperlink" xfId="6168" builtinId="9" hidden="1"/>
    <cellStyle name="Followed Hyperlink" xfId="6170" builtinId="9" hidden="1"/>
    <cellStyle name="Followed Hyperlink" xfId="6172" builtinId="9" hidden="1"/>
    <cellStyle name="Followed Hyperlink" xfId="6174" builtinId="9" hidden="1"/>
    <cellStyle name="Followed Hyperlink" xfId="6176" builtinId="9" hidden="1"/>
    <cellStyle name="Followed Hyperlink" xfId="6178" builtinId="9" hidden="1"/>
    <cellStyle name="Followed Hyperlink" xfId="6180" builtinId="9" hidden="1"/>
    <cellStyle name="Followed Hyperlink" xfId="6182" builtinId="9" hidden="1"/>
    <cellStyle name="Followed Hyperlink" xfId="6184" builtinId="9" hidden="1"/>
    <cellStyle name="Followed Hyperlink" xfId="6186" builtinId="9" hidden="1"/>
    <cellStyle name="Followed Hyperlink" xfId="6188" builtinId="9" hidden="1"/>
    <cellStyle name="Followed Hyperlink" xfId="6190" builtinId="9" hidden="1"/>
    <cellStyle name="Followed Hyperlink" xfId="6192" builtinId="9" hidden="1"/>
    <cellStyle name="Followed Hyperlink" xfId="6194" builtinId="9" hidden="1"/>
    <cellStyle name="Followed Hyperlink" xfId="6196" builtinId="9" hidden="1"/>
    <cellStyle name="Followed Hyperlink" xfId="6198" builtinId="9" hidden="1"/>
    <cellStyle name="Followed Hyperlink" xfId="6200" builtinId="9" hidden="1"/>
    <cellStyle name="Followed Hyperlink" xfId="6202" builtinId="9" hidden="1"/>
    <cellStyle name="Followed Hyperlink" xfId="6204" builtinId="9" hidden="1"/>
    <cellStyle name="Followed Hyperlink" xfId="6206" builtinId="9" hidden="1"/>
    <cellStyle name="Followed Hyperlink" xfId="6208" builtinId="9" hidden="1"/>
    <cellStyle name="Followed Hyperlink" xfId="6210" builtinId="9" hidden="1"/>
    <cellStyle name="Followed Hyperlink" xfId="6212" builtinId="9" hidden="1"/>
    <cellStyle name="Followed Hyperlink" xfId="6214" builtinId="9" hidden="1"/>
    <cellStyle name="Followed Hyperlink" xfId="6216" builtinId="9" hidden="1"/>
    <cellStyle name="Followed Hyperlink" xfId="6218" builtinId="9" hidden="1"/>
    <cellStyle name="Followed Hyperlink" xfId="6220" builtinId="9" hidden="1"/>
    <cellStyle name="Followed Hyperlink" xfId="6222" builtinId="9" hidden="1"/>
    <cellStyle name="Followed Hyperlink" xfId="6224" builtinId="9" hidden="1"/>
    <cellStyle name="Followed Hyperlink" xfId="6226" builtinId="9" hidden="1"/>
    <cellStyle name="Followed Hyperlink" xfId="6228" builtinId="9" hidden="1"/>
    <cellStyle name="Followed Hyperlink" xfId="6230" builtinId="9" hidden="1"/>
    <cellStyle name="Followed Hyperlink" xfId="6232" builtinId="9" hidden="1"/>
    <cellStyle name="Followed Hyperlink" xfId="6234" builtinId="9" hidden="1"/>
    <cellStyle name="Followed Hyperlink" xfId="6236" builtinId="9" hidden="1"/>
    <cellStyle name="Followed Hyperlink" xfId="6238" builtinId="9" hidden="1"/>
    <cellStyle name="Followed Hyperlink" xfId="6240" builtinId="9" hidden="1"/>
    <cellStyle name="Followed Hyperlink" xfId="6242" builtinId="9" hidden="1"/>
    <cellStyle name="Followed Hyperlink" xfId="6244" builtinId="9" hidden="1"/>
    <cellStyle name="Followed Hyperlink" xfId="6246" builtinId="9" hidden="1"/>
    <cellStyle name="Followed Hyperlink" xfId="6248" builtinId="9" hidden="1"/>
    <cellStyle name="Followed Hyperlink" xfId="6250" builtinId="9" hidden="1"/>
    <cellStyle name="Followed Hyperlink" xfId="6252" builtinId="9" hidden="1"/>
    <cellStyle name="Followed Hyperlink" xfId="6254" builtinId="9" hidden="1"/>
    <cellStyle name="Followed Hyperlink" xfId="6256" builtinId="9" hidden="1"/>
    <cellStyle name="Followed Hyperlink" xfId="6258" builtinId="9" hidden="1"/>
    <cellStyle name="Followed Hyperlink" xfId="6260" builtinId="9" hidden="1"/>
    <cellStyle name="Followed Hyperlink" xfId="6262" builtinId="9" hidden="1"/>
    <cellStyle name="Followed Hyperlink" xfId="6264" builtinId="9" hidden="1"/>
    <cellStyle name="Followed Hyperlink" xfId="6266" builtinId="9" hidden="1"/>
    <cellStyle name="Followed Hyperlink" xfId="6268" builtinId="9" hidden="1"/>
    <cellStyle name="Followed Hyperlink" xfId="6270" builtinId="9" hidden="1"/>
    <cellStyle name="Followed Hyperlink" xfId="6272" builtinId="9" hidden="1"/>
    <cellStyle name="Followed Hyperlink" xfId="6274" builtinId="9" hidden="1"/>
    <cellStyle name="Followed Hyperlink" xfId="6276" builtinId="9" hidden="1"/>
    <cellStyle name="Followed Hyperlink" xfId="6278" builtinId="9" hidden="1"/>
    <cellStyle name="Followed Hyperlink" xfId="6280" builtinId="9" hidden="1"/>
    <cellStyle name="Followed Hyperlink" xfId="6282" builtinId="9" hidden="1"/>
    <cellStyle name="Followed Hyperlink" xfId="6284" builtinId="9" hidden="1"/>
    <cellStyle name="Followed Hyperlink" xfId="6286" builtinId="9" hidden="1"/>
    <cellStyle name="Followed Hyperlink" xfId="6288" builtinId="9" hidden="1"/>
    <cellStyle name="Followed Hyperlink" xfId="6290" builtinId="9" hidden="1"/>
    <cellStyle name="Followed Hyperlink" xfId="6292" builtinId="9" hidden="1"/>
    <cellStyle name="Followed Hyperlink" xfId="6294" builtinId="9" hidden="1"/>
    <cellStyle name="Followed Hyperlink" xfId="6296" builtinId="9" hidden="1"/>
    <cellStyle name="Followed Hyperlink" xfId="6298" builtinId="9" hidden="1"/>
    <cellStyle name="Followed Hyperlink" xfId="6300" builtinId="9" hidden="1"/>
    <cellStyle name="Followed Hyperlink" xfId="6302" builtinId="9" hidden="1"/>
    <cellStyle name="Followed Hyperlink" xfId="6304" builtinId="9" hidden="1"/>
    <cellStyle name="Followed Hyperlink" xfId="6306" builtinId="9" hidden="1"/>
    <cellStyle name="Followed Hyperlink" xfId="6308" builtinId="9" hidden="1"/>
    <cellStyle name="Followed Hyperlink" xfId="6310" builtinId="9" hidden="1"/>
    <cellStyle name="Followed Hyperlink" xfId="6312" builtinId="9" hidden="1"/>
    <cellStyle name="Followed Hyperlink" xfId="6314" builtinId="9" hidden="1"/>
    <cellStyle name="Followed Hyperlink" xfId="6316" builtinId="9" hidden="1"/>
    <cellStyle name="Followed Hyperlink" xfId="6318" builtinId="9" hidden="1"/>
    <cellStyle name="Followed Hyperlink" xfId="6320" builtinId="9" hidden="1"/>
    <cellStyle name="Followed Hyperlink" xfId="6322" builtinId="9" hidden="1"/>
    <cellStyle name="Followed Hyperlink" xfId="6324" builtinId="9" hidden="1"/>
    <cellStyle name="Followed Hyperlink" xfId="6326" builtinId="9" hidden="1"/>
    <cellStyle name="Followed Hyperlink" xfId="6328" builtinId="9" hidden="1"/>
    <cellStyle name="Followed Hyperlink" xfId="6330" builtinId="9" hidden="1"/>
    <cellStyle name="Followed Hyperlink" xfId="6332" builtinId="9" hidden="1"/>
    <cellStyle name="Followed Hyperlink" xfId="6334" builtinId="9" hidden="1"/>
    <cellStyle name="Followed Hyperlink" xfId="6336" builtinId="9" hidden="1"/>
    <cellStyle name="Followed Hyperlink" xfId="6338" builtinId="9" hidden="1"/>
    <cellStyle name="Followed Hyperlink" xfId="6340" builtinId="9" hidden="1"/>
    <cellStyle name="Followed Hyperlink" xfId="6342" builtinId="9" hidden="1"/>
    <cellStyle name="Followed Hyperlink" xfId="6344" builtinId="9" hidden="1"/>
    <cellStyle name="Followed Hyperlink" xfId="6346" builtinId="9" hidden="1"/>
    <cellStyle name="Followed Hyperlink" xfId="6348" builtinId="9" hidden="1"/>
    <cellStyle name="Followed Hyperlink" xfId="6350" builtinId="9" hidden="1"/>
    <cellStyle name="Followed Hyperlink" xfId="6352" builtinId="9" hidden="1"/>
    <cellStyle name="Followed Hyperlink" xfId="6354" builtinId="9" hidden="1"/>
    <cellStyle name="Followed Hyperlink" xfId="6356" builtinId="9" hidden="1"/>
    <cellStyle name="Followed Hyperlink" xfId="6358" builtinId="9" hidden="1"/>
    <cellStyle name="Followed Hyperlink" xfId="6360" builtinId="9" hidden="1"/>
    <cellStyle name="Followed Hyperlink" xfId="6362" builtinId="9" hidden="1"/>
    <cellStyle name="Followed Hyperlink" xfId="6364" builtinId="9" hidden="1"/>
    <cellStyle name="Followed Hyperlink" xfId="6366" builtinId="9" hidden="1"/>
    <cellStyle name="Followed Hyperlink" xfId="6368" builtinId="9" hidden="1"/>
    <cellStyle name="Followed Hyperlink" xfId="6370" builtinId="9" hidden="1"/>
    <cellStyle name="Followed Hyperlink" xfId="6372" builtinId="9" hidden="1"/>
    <cellStyle name="Followed Hyperlink" xfId="6374" builtinId="9" hidden="1"/>
    <cellStyle name="Followed Hyperlink" xfId="6376" builtinId="9" hidden="1"/>
    <cellStyle name="Followed Hyperlink" xfId="6378" builtinId="9" hidden="1"/>
    <cellStyle name="Followed Hyperlink" xfId="6380" builtinId="9" hidden="1"/>
    <cellStyle name="Followed Hyperlink" xfId="6382" builtinId="9" hidden="1"/>
    <cellStyle name="Followed Hyperlink" xfId="6384" builtinId="9" hidden="1"/>
    <cellStyle name="Followed Hyperlink" xfId="6386" builtinId="9" hidden="1"/>
    <cellStyle name="Followed Hyperlink" xfId="6388" builtinId="9" hidden="1"/>
    <cellStyle name="Followed Hyperlink" xfId="6390" builtinId="9" hidden="1"/>
    <cellStyle name="Followed Hyperlink" xfId="6392" builtinId="9" hidden="1"/>
    <cellStyle name="Followed Hyperlink" xfId="6394" builtinId="9" hidden="1"/>
    <cellStyle name="Followed Hyperlink" xfId="6396" builtinId="9" hidden="1"/>
    <cellStyle name="Followed Hyperlink" xfId="6398" builtinId="9" hidden="1"/>
    <cellStyle name="Followed Hyperlink" xfId="6400" builtinId="9" hidden="1"/>
    <cellStyle name="Followed Hyperlink" xfId="6402" builtinId="9" hidden="1"/>
    <cellStyle name="Followed Hyperlink" xfId="6404" builtinId="9" hidden="1"/>
    <cellStyle name="Followed Hyperlink" xfId="6406" builtinId="9" hidden="1"/>
    <cellStyle name="Followed Hyperlink" xfId="6408" builtinId="9" hidden="1"/>
    <cellStyle name="Followed Hyperlink" xfId="6410" builtinId="9" hidden="1"/>
    <cellStyle name="Followed Hyperlink" xfId="6412" builtinId="9" hidden="1"/>
    <cellStyle name="Followed Hyperlink" xfId="6414" builtinId="9" hidden="1"/>
    <cellStyle name="Followed Hyperlink" xfId="6416" builtinId="9" hidden="1"/>
    <cellStyle name="Followed Hyperlink" xfId="6418" builtinId="9" hidden="1"/>
    <cellStyle name="Followed Hyperlink" xfId="6420" builtinId="9" hidden="1"/>
    <cellStyle name="Followed Hyperlink" xfId="6422" builtinId="9" hidden="1"/>
    <cellStyle name="Followed Hyperlink" xfId="6424" builtinId="9" hidden="1"/>
    <cellStyle name="Followed Hyperlink" xfId="6426" builtinId="9" hidden="1"/>
    <cellStyle name="Followed Hyperlink" xfId="6428" builtinId="9" hidden="1"/>
    <cellStyle name="Followed Hyperlink" xfId="6430" builtinId="9" hidden="1"/>
    <cellStyle name="Followed Hyperlink" xfId="6432" builtinId="9" hidden="1"/>
    <cellStyle name="Followed Hyperlink" xfId="6434" builtinId="9" hidden="1"/>
    <cellStyle name="Followed Hyperlink" xfId="6436" builtinId="9" hidden="1"/>
    <cellStyle name="Followed Hyperlink" xfId="6438" builtinId="9" hidden="1"/>
    <cellStyle name="Followed Hyperlink" xfId="6440" builtinId="9" hidden="1"/>
    <cellStyle name="Followed Hyperlink" xfId="6442" builtinId="9" hidden="1"/>
    <cellStyle name="Followed Hyperlink" xfId="6444" builtinId="9" hidden="1"/>
    <cellStyle name="Followed Hyperlink" xfId="6446" builtinId="9" hidden="1"/>
    <cellStyle name="Followed Hyperlink" xfId="6448" builtinId="9" hidden="1"/>
    <cellStyle name="Followed Hyperlink" xfId="6450" builtinId="9" hidden="1"/>
    <cellStyle name="Followed Hyperlink" xfId="6452" builtinId="9" hidden="1"/>
    <cellStyle name="Followed Hyperlink" xfId="6454" builtinId="9" hidden="1"/>
    <cellStyle name="Followed Hyperlink" xfId="6456" builtinId="9" hidden="1"/>
    <cellStyle name="Followed Hyperlink" xfId="6458" builtinId="9" hidden="1"/>
    <cellStyle name="Followed Hyperlink" xfId="6460" builtinId="9" hidden="1"/>
    <cellStyle name="Followed Hyperlink" xfId="6462" builtinId="9" hidden="1"/>
    <cellStyle name="Followed Hyperlink" xfId="6464" builtinId="9" hidden="1"/>
    <cellStyle name="Followed Hyperlink" xfId="6466" builtinId="9" hidden="1"/>
    <cellStyle name="Followed Hyperlink" xfId="6468" builtinId="9" hidden="1"/>
    <cellStyle name="Followed Hyperlink" xfId="6470" builtinId="9" hidden="1"/>
    <cellStyle name="Followed Hyperlink" xfId="6472" builtinId="9" hidden="1"/>
    <cellStyle name="Followed Hyperlink" xfId="6474" builtinId="9" hidden="1"/>
    <cellStyle name="Followed Hyperlink" xfId="6476" builtinId="9" hidden="1"/>
    <cellStyle name="Followed Hyperlink" xfId="6478" builtinId="9" hidden="1"/>
    <cellStyle name="Followed Hyperlink" xfId="6480" builtinId="9" hidden="1"/>
    <cellStyle name="Followed Hyperlink" xfId="6482" builtinId="9" hidden="1"/>
    <cellStyle name="Followed Hyperlink" xfId="6484" builtinId="9" hidden="1"/>
    <cellStyle name="Followed Hyperlink" xfId="6486" builtinId="9" hidden="1"/>
    <cellStyle name="Followed Hyperlink" xfId="6488" builtinId="9" hidden="1"/>
    <cellStyle name="Followed Hyperlink" xfId="6490" builtinId="9" hidden="1"/>
    <cellStyle name="Followed Hyperlink" xfId="6492" builtinId="9" hidden="1"/>
    <cellStyle name="Followed Hyperlink" xfId="6494" builtinId="9" hidden="1"/>
    <cellStyle name="Followed Hyperlink" xfId="6496" builtinId="9" hidden="1"/>
    <cellStyle name="Followed Hyperlink" xfId="6498" builtinId="9" hidden="1"/>
    <cellStyle name="Followed Hyperlink" xfId="6500" builtinId="9" hidden="1"/>
    <cellStyle name="Followed Hyperlink" xfId="6502" builtinId="9" hidden="1"/>
    <cellStyle name="Followed Hyperlink" xfId="6504" builtinId="9" hidden="1"/>
    <cellStyle name="Followed Hyperlink" xfId="6506" builtinId="9" hidden="1"/>
    <cellStyle name="Followed Hyperlink" xfId="6508" builtinId="9" hidden="1"/>
    <cellStyle name="Followed Hyperlink" xfId="6510" builtinId="9" hidden="1"/>
    <cellStyle name="Followed Hyperlink" xfId="6512" builtinId="9" hidden="1"/>
    <cellStyle name="Followed Hyperlink" xfId="6514" builtinId="9" hidden="1"/>
    <cellStyle name="Followed Hyperlink" xfId="6516" builtinId="9" hidden="1"/>
    <cellStyle name="Followed Hyperlink" xfId="6518" builtinId="9" hidden="1"/>
    <cellStyle name="Followed Hyperlink" xfId="6520" builtinId="9" hidden="1"/>
    <cellStyle name="Followed Hyperlink" xfId="6522" builtinId="9" hidden="1"/>
    <cellStyle name="Followed Hyperlink" xfId="6524" builtinId="9" hidden="1"/>
    <cellStyle name="Followed Hyperlink" xfId="6526" builtinId="9" hidden="1"/>
    <cellStyle name="Followed Hyperlink" xfId="6528" builtinId="9" hidden="1"/>
    <cellStyle name="Followed Hyperlink" xfId="6530" builtinId="9" hidden="1"/>
    <cellStyle name="Followed Hyperlink" xfId="6532" builtinId="9" hidden="1"/>
    <cellStyle name="Followed Hyperlink" xfId="6534" builtinId="9" hidden="1"/>
    <cellStyle name="Followed Hyperlink" xfId="6536" builtinId="9" hidden="1"/>
    <cellStyle name="Followed Hyperlink" xfId="6538" builtinId="9" hidden="1"/>
    <cellStyle name="Followed Hyperlink" xfId="6540" builtinId="9" hidden="1"/>
    <cellStyle name="Followed Hyperlink" xfId="6542" builtinId="9" hidden="1"/>
    <cellStyle name="Followed Hyperlink" xfId="6544" builtinId="9" hidden="1"/>
    <cellStyle name="Followed Hyperlink" xfId="6546" builtinId="9" hidden="1"/>
    <cellStyle name="Followed Hyperlink" xfId="6548" builtinId="9" hidden="1"/>
    <cellStyle name="Followed Hyperlink" xfId="6550" builtinId="9" hidden="1"/>
    <cellStyle name="Followed Hyperlink" xfId="6552" builtinId="9" hidden="1"/>
    <cellStyle name="Followed Hyperlink" xfId="6554" builtinId="9" hidden="1"/>
    <cellStyle name="Followed Hyperlink" xfId="6556" builtinId="9" hidden="1"/>
    <cellStyle name="Followed Hyperlink" xfId="6558" builtinId="9" hidden="1"/>
    <cellStyle name="Followed Hyperlink" xfId="6560" builtinId="9" hidden="1"/>
    <cellStyle name="Followed Hyperlink" xfId="6562" builtinId="9" hidden="1"/>
    <cellStyle name="Followed Hyperlink" xfId="6564" builtinId="9" hidden="1"/>
    <cellStyle name="Followed Hyperlink" xfId="6566" builtinId="9" hidden="1"/>
    <cellStyle name="Followed Hyperlink" xfId="6568" builtinId="9" hidden="1"/>
    <cellStyle name="Followed Hyperlink" xfId="6570" builtinId="9" hidden="1"/>
    <cellStyle name="Followed Hyperlink" xfId="6572" builtinId="9" hidden="1"/>
    <cellStyle name="Followed Hyperlink" xfId="6574" builtinId="9" hidden="1"/>
    <cellStyle name="Followed Hyperlink" xfId="6576" builtinId="9" hidden="1"/>
    <cellStyle name="Followed Hyperlink" xfId="6578" builtinId="9" hidden="1"/>
    <cellStyle name="Followed Hyperlink" xfId="6580" builtinId="9" hidden="1"/>
    <cellStyle name="Followed Hyperlink" xfId="6582" builtinId="9" hidden="1"/>
    <cellStyle name="Followed Hyperlink" xfId="6584" builtinId="9" hidden="1"/>
    <cellStyle name="Followed Hyperlink" xfId="6586" builtinId="9" hidden="1"/>
    <cellStyle name="Followed Hyperlink" xfId="6588" builtinId="9" hidden="1"/>
    <cellStyle name="Followed Hyperlink" xfId="6590" builtinId="9" hidden="1"/>
    <cellStyle name="Followed Hyperlink" xfId="6592" builtinId="9" hidden="1"/>
    <cellStyle name="Followed Hyperlink" xfId="6594" builtinId="9" hidden="1"/>
    <cellStyle name="Followed Hyperlink" xfId="6596" builtinId="9" hidden="1"/>
    <cellStyle name="Followed Hyperlink" xfId="6598" builtinId="9" hidden="1"/>
    <cellStyle name="Followed Hyperlink" xfId="6600" builtinId="9" hidden="1"/>
    <cellStyle name="Followed Hyperlink" xfId="6602" builtinId="9" hidden="1"/>
    <cellStyle name="Followed Hyperlink" xfId="6604" builtinId="9" hidden="1"/>
    <cellStyle name="Followed Hyperlink" xfId="6606" builtinId="9" hidden="1"/>
    <cellStyle name="Followed Hyperlink" xfId="6608" builtinId="9" hidden="1"/>
    <cellStyle name="Followed Hyperlink" xfId="6610" builtinId="9" hidden="1"/>
    <cellStyle name="Followed Hyperlink" xfId="6612" builtinId="9" hidden="1"/>
    <cellStyle name="Followed Hyperlink" xfId="6614" builtinId="9" hidden="1"/>
    <cellStyle name="Followed Hyperlink" xfId="6616" builtinId="9" hidden="1"/>
    <cellStyle name="Followed Hyperlink" xfId="6618" builtinId="9" hidden="1"/>
    <cellStyle name="Followed Hyperlink" xfId="6620" builtinId="9" hidden="1"/>
    <cellStyle name="Followed Hyperlink" xfId="6622" builtinId="9" hidden="1"/>
    <cellStyle name="Followed Hyperlink" xfId="6624" builtinId="9" hidden="1"/>
    <cellStyle name="Followed Hyperlink" xfId="6626" builtinId="9" hidden="1"/>
    <cellStyle name="Followed Hyperlink" xfId="6628" builtinId="9" hidden="1"/>
    <cellStyle name="Followed Hyperlink" xfId="6630" builtinId="9" hidden="1"/>
    <cellStyle name="Followed Hyperlink" xfId="6632" builtinId="9" hidden="1"/>
    <cellStyle name="Followed Hyperlink" xfId="6634" builtinId="9" hidden="1"/>
    <cellStyle name="Followed Hyperlink" xfId="6636" builtinId="9" hidden="1"/>
    <cellStyle name="Followed Hyperlink" xfId="6638" builtinId="9" hidden="1"/>
    <cellStyle name="Followed Hyperlink" xfId="6640" builtinId="9" hidden="1"/>
    <cellStyle name="Followed Hyperlink" xfId="6642" builtinId="9" hidden="1"/>
    <cellStyle name="Followed Hyperlink" xfId="6644" builtinId="9" hidden="1"/>
    <cellStyle name="Followed Hyperlink" xfId="6646" builtinId="9" hidden="1"/>
    <cellStyle name="Followed Hyperlink" xfId="6648" builtinId="9" hidden="1"/>
    <cellStyle name="Followed Hyperlink" xfId="6650" builtinId="9" hidden="1"/>
    <cellStyle name="Followed Hyperlink" xfId="6652" builtinId="9" hidden="1"/>
    <cellStyle name="Followed Hyperlink" xfId="6654" builtinId="9" hidden="1"/>
    <cellStyle name="Followed Hyperlink" xfId="6656" builtinId="9" hidden="1"/>
    <cellStyle name="Followed Hyperlink" xfId="6658" builtinId="9" hidden="1"/>
    <cellStyle name="Followed Hyperlink" xfId="6660" builtinId="9" hidden="1"/>
    <cellStyle name="Followed Hyperlink" xfId="6662" builtinId="9" hidden="1"/>
    <cellStyle name="Followed Hyperlink" xfId="6664" builtinId="9" hidden="1"/>
    <cellStyle name="Followed Hyperlink" xfId="6666" builtinId="9" hidden="1"/>
    <cellStyle name="Followed Hyperlink" xfId="6668" builtinId="9" hidden="1"/>
    <cellStyle name="Followed Hyperlink" xfId="6670" builtinId="9" hidden="1"/>
    <cellStyle name="Followed Hyperlink" xfId="6672" builtinId="9" hidden="1"/>
    <cellStyle name="Followed Hyperlink" xfId="6674" builtinId="9" hidden="1"/>
    <cellStyle name="Followed Hyperlink" xfId="6676" builtinId="9" hidden="1"/>
    <cellStyle name="Followed Hyperlink" xfId="6678" builtinId="9" hidden="1"/>
    <cellStyle name="Followed Hyperlink" xfId="6680" builtinId="9" hidden="1"/>
    <cellStyle name="Followed Hyperlink" xfId="6682" builtinId="9" hidden="1"/>
    <cellStyle name="Followed Hyperlink" xfId="6684" builtinId="9" hidden="1"/>
    <cellStyle name="Followed Hyperlink" xfId="6686" builtinId="9" hidden="1"/>
    <cellStyle name="Followed Hyperlink" xfId="6688" builtinId="9" hidden="1"/>
    <cellStyle name="Followed Hyperlink" xfId="6690" builtinId="9" hidden="1"/>
    <cellStyle name="Followed Hyperlink" xfId="6692" builtinId="9" hidden="1"/>
    <cellStyle name="Followed Hyperlink" xfId="6694" builtinId="9" hidden="1"/>
    <cellStyle name="Followed Hyperlink" xfId="6696" builtinId="9" hidden="1"/>
    <cellStyle name="Followed Hyperlink" xfId="6698" builtinId="9" hidden="1"/>
    <cellStyle name="Followed Hyperlink" xfId="6700" builtinId="9" hidden="1"/>
    <cellStyle name="Followed Hyperlink" xfId="6702" builtinId="9" hidden="1"/>
    <cellStyle name="Followed Hyperlink" xfId="6704" builtinId="9" hidden="1"/>
    <cellStyle name="Followed Hyperlink" xfId="6706" builtinId="9" hidden="1"/>
    <cellStyle name="Followed Hyperlink" xfId="6708" builtinId="9" hidden="1"/>
    <cellStyle name="Followed Hyperlink" xfId="6710" builtinId="9" hidden="1"/>
    <cellStyle name="Followed Hyperlink" xfId="6712" builtinId="9" hidden="1"/>
    <cellStyle name="Followed Hyperlink" xfId="6714" builtinId="9" hidden="1"/>
    <cellStyle name="Followed Hyperlink" xfId="6716" builtinId="9" hidden="1"/>
    <cellStyle name="Followed Hyperlink" xfId="6718" builtinId="9" hidden="1"/>
    <cellStyle name="Followed Hyperlink" xfId="6720" builtinId="9" hidden="1"/>
    <cellStyle name="Followed Hyperlink" xfId="6722" builtinId="9" hidden="1"/>
    <cellStyle name="Followed Hyperlink" xfId="6724" builtinId="9" hidden="1"/>
    <cellStyle name="Followed Hyperlink" xfId="6726" builtinId="9" hidden="1"/>
    <cellStyle name="Followed Hyperlink" xfId="6728" builtinId="9" hidden="1"/>
    <cellStyle name="Followed Hyperlink" xfId="6730" builtinId="9" hidden="1"/>
    <cellStyle name="Followed Hyperlink" xfId="6732" builtinId="9" hidden="1"/>
    <cellStyle name="Followed Hyperlink" xfId="6734" builtinId="9" hidden="1"/>
    <cellStyle name="Followed Hyperlink" xfId="6736" builtinId="9" hidden="1"/>
    <cellStyle name="Followed Hyperlink" xfId="6738" builtinId="9" hidden="1"/>
    <cellStyle name="Followed Hyperlink" xfId="6740" builtinId="9" hidden="1"/>
    <cellStyle name="Followed Hyperlink" xfId="6742" builtinId="9" hidden="1"/>
    <cellStyle name="Followed Hyperlink" xfId="6744" builtinId="9" hidden="1"/>
    <cellStyle name="Followed Hyperlink" xfId="6746" builtinId="9" hidden="1"/>
    <cellStyle name="Followed Hyperlink" xfId="6748" builtinId="9" hidden="1"/>
    <cellStyle name="Followed Hyperlink" xfId="6750" builtinId="9" hidden="1"/>
    <cellStyle name="Followed Hyperlink" xfId="6752" builtinId="9" hidden="1"/>
    <cellStyle name="Followed Hyperlink" xfId="6754" builtinId="9" hidden="1"/>
    <cellStyle name="Followed Hyperlink" xfId="6756" builtinId="9" hidden="1"/>
    <cellStyle name="Followed Hyperlink" xfId="6758" builtinId="9" hidden="1"/>
    <cellStyle name="Followed Hyperlink" xfId="6760" builtinId="9" hidden="1"/>
    <cellStyle name="Followed Hyperlink" xfId="6762" builtinId="9" hidden="1"/>
    <cellStyle name="Followed Hyperlink" xfId="6764" builtinId="9" hidden="1"/>
    <cellStyle name="Followed Hyperlink" xfId="6766" builtinId="9" hidden="1"/>
    <cellStyle name="Followed Hyperlink" xfId="6768" builtinId="9" hidden="1"/>
    <cellStyle name="Followed Hyperlink" xfId="6770" builtinId="9" hidden="1"/>
    <cellStyle name="Followed Hyperlink" xfId="6772" builtinId="9" hidden="1"/>
    <cellStyle name="Followed Hyperlink" xfId="6774" builtinId="9" hidden="1"/>
    <cellStyle name="Followed Hyperlink" xfId="6776" builtinId="9" hidden="1"/>
    <cellStyle name="Followed Hyperlink" xfId="6778" builtinId="9" hidden="1"/>
    <cellStyle name="Followed Hyperlink" xfId="6780" builtinId="9" hidden="1"/>
    <cellStyle name="Followed Hyperlink" xfId="6782" builtinId="9" hidden="1"/>
    <cellStyle name="Followed Hyperlink" xfId="6784" builtinId="9" hidden="1"/>
    <cellStyle name="Followed Hyperlink" xfId="6786" builtinId="9" hidden="1"/>
    <cellStyle name="Followed Hyperlink" xfId="6788" builtinId="9" hidden="1"/>
    <cellStyle name="Followed Hyperlink" xfId="6790" builtinId="9" hidden="1"/>
    <cellStyle name="Followed Hyperlink" xfId="6792" builtinId="9" hidden="1"/>
    <cellStyle name="Followed Hyperlink" xfId="6794" builtinId="9" hidden="1"/>
    <cellStyle name="Followed Hyperlink" xfId="6796" builtinId="9" hidden="1"/>
    <cellStyle name="Followed Hyperlink" xfId="6798" builtinId="9" hidden="1"/>
    <cellStyle name="Followed Hyperlink" xfId="6800" builtinId="9" hidden="1"/>
    <cellStyle name="Followed Hyperlink" xfId="6802" builtinId="9" hidden="1"/>
    <cellStyle name="Followed Hyperlink" xfId="6804" builtinId="9" hidden="1"/>
    <cellStyle name="Followed Hyperlink" xfId="6806" builtinId="9" hidden="1"/>
    <cellStyle name="Followed Hyperlink" xfId="6808" builtinId="9" hidden="1"/>
    <cellStyle name="Followed Hyperlink" xfId="6810" builtinId="9" hidden="1"/>
    <cellStyle name="Followed Hyperlink" xfId="6812" builtinId="9" hidden="1"/>
    <cellStyle name="Followed Hyperlink" xfId="6814" builtinId="9" hidden="1"/>
    <cellStyle name="Followed Hyperlink" xfId="6816" builtinId="9" hidden="1"/>
    <cellStyle name="Followed Hyperlink" xfId="6818" builtinId="9" hidden="1"/>
    <cellStyle name="Followed Hyperlink" xfId="6820" builtinId="9" hidden="1"/>
    <cellStyle name="Followed Hyperlink" xfId="6822" builtinId="9" hidden="1"/>
    <cellStyle name="Followed Hyperlink" xfId="6824" builtinId="9" hidden="1"/>
    <cellStyle name="Followed Hyperlink" xfId="6826" builtinId="9" hidden="1"/>
    <cellStyle name="Followed Hyperlink" xfId="6828" builtinId="9" hidden="1"/>
    <cellStyle name="Followed Hyperlink" xfId="6830" builtinId="9" hidden="1"/>
    <cellStyle name="Followed Hyperlink" xfId="6832" builtinId="9" hidden="1"/>
    <cellStyle name="Followed Hyperlink" xfId="6834" builtinId="9" hidden="1"/>
    <cellStyle name="Followed Hyperlink" xfId="6836" builtinId="9" hidden="1"/>
    <cellStyle name="Followed Hyperlink" xfId="6838" builtinId="9" hidden="1"/>
    <cellStyle name="Followed Hyperlink" xfId="6840" builtinId="9" hidden="1"/>
    <cellStyle name="Followed Hyperlink" xfId="6842" builtinId="9" hidden="1"/>
    <cellStyle name="Followed Hyperlink" xfId="6844" builtinId="9" hidden="1"/>
    <cellStyle name="Followed Hyperlink" xfId="6846" builtinId="9" hidden="1"/>
    <cellStyle name="Followed Hyperlink" xfId="6848" builtinId="9" hidden="1"/>
    <cellStyle name="Followed Hyperlink" xfId="6850" builtinId="9" hidden="1"/>
    <cellStyle name="Followed Hyperlink" xfId="6852" builtinId="9" hidden="1"/>
    <cellStyle name="Followed Hyperlink" xfId="6854" builtinId="9" hidden="1"/>
    <cellStyle name="Followed Hyperlink" xfId="6856" builtinId="9" hidden="1"/>
    <cellStyle name="Followed Hyperlink" xfId="6858" builtinId="9" hidden="1"/>
    <cellStyle name="Followed Hyperlink" xfId="6860" builtinId="9" hidden="1"/>
    <cellStyle name="Followed Hyperlink" xfId="6862" builtinId="9" hidden="1"/>
    <cellStyle name="Followed Hyperlink" xfId="6864" builtinId="9" hidden="1"/>
    <cellStyle name="Followed Hyperlink" xfId="6866" builtinId="9" hidden="1"/>
    <cellStyle name="Followed Hyperlink" xfId="6868" builtinId="9" hidden="1"/>
    <cellStyle name="Followed Hyperlink" xfId="6870" builtinId="9" hidden="1"/>
    <cellStyle name="Followed Hyperlink" xfId="6872" builtinId="9" hidden="1"/>
    <cellStyle name="Followed Hyperlink" xfId="6874" builtinId="9" hidden="1"/>
    <cellStyle name="Followed Hyperlink" xfId="6876" builtinId="9" hidden="1"/>
    <cellStyle name="Followed Hyperlink" xfId="6878" builtinId="9" hidden="1"/>
    <cellStyle name="Followed Hyperlink" xfId="6880" builtinId="9" hidden="1"/>
    <cellStyle name="Followed Hyperlink" xfId="6882" builtinId="9" hidden="1"/>
    <cellStyle name="Followed Hyperlink" xfId="6884" builtinId="9" hidden="1"/>
    <cellStyle name="Followed Hyperlink" xfId="6886" builtinId="9" hidden="1"/>
    <cellStyle name="Followed Hyperlink" xfId="6888" builtinId="9" hidden="1"/>
    <cellStyle name="Followed Hyperlink" xfId="6890" builtinId="9" hidden="1"/>
    <cellStyle name="Followed Hyperlink" xfId="6892" builtinId="9" hidden="1"/>
    <cellStyle name="Followed Hyperlink" xfId="6894" builtinId="9" hidden="1"/>
    <cellStyle name="Followed Hyperlink" xfId="6896" builtinId="9" hidden="1"/>
    <cellStyle name="Followed Hyperlink" xfId="6898" builtinId="9" hidden="1"/>
    <cellStyle name="Followed Hyperlink" xfId="6900" builtinId="9" hidden="1"/>
    <cellStyle name="Followed Hyperlink" xfId="6902" builtinId="9" hidden="1"/>
    <cellStyle name="Followed Hyperlink" xfId="6904" builtinId="9" hidden="1"/>
    <cellStyle name="Followed Hyperlink" xfId="6906" builtinId="9" hidden="1"/>
    <cellStyle name="Followed Hyperlink" xfId="6908" builtinId="9" hidden="1"/>
    <cellStyle name="Followed Hyperlink" xfId="6910" builtinId="9" hidden="1"/>
    <cellStyle name="Followed Hyperlink" xfId="6912" builtinId="9" hidden="1"/>
    <cellStyle name="Followed Hyperlink" xfId="6914" builtinId="9" hidden="1"/>
    <cellStyle name="Followed Hyperlink" xfId="6916" builtinId="9" hidden="1"/>
    <cellStyle name="Followed Hyperlink" xfId="6918" builtinId="9" hidden="1"/>
    <cellStyle name="Followed Hyperlink" xfId="6920" builtinId="9" hidden="1"/>
    <cellStyle name="Followed Hyperlink" xfId="6922" builtinId="9" hidden="1"/>
    <cellStyle name="Followed Hyperlink" xfId="6924" builtinId="9" hidden="1"/>
    <cellStyle name="Followed Hyperlink" xfId="6926" builtinId="9" hidden="1"/>
    <cellStyle name="Followed Hyperlink" xfId="6928" builtinId="9" hidden="1"/>
    <cellStyle name="Followed Hyperlink" xfId="6930" builtinId="9" hidden="1"/>
    <cellStyle name="Followed Hyperlink" xfId="6932" builtinId="9" hidden="1"/>
    <cellStyle name="Followed Hyperlink" xfId="6934" builtinId="9" hidden="1"/>
    <cellStyle name="Followed Hyperlink" xfId="6936" builtinId="9" hidden="1"/>
    <cellStyle name="Followed Hyperlink" xfId="6938" builtinId="9" hidden="1"/>
    <cellStyle name="Followed Hyperlink" xfId="6940" builtinId="9" hidden="1"/>
    <cellStyle name="Followed Hyperlink" xfId="6942" builtinId="9" hidden="1"/>
    <cellStyle name="Followed Hyperlink" xfId="6944" builtinId="9" hidden="1"/>
    <cellStyle name="Followed Hyperlink" xfId="6946" builtinId="9" hidden="1"/>
    <cellStyle name="Followed Hyperlink" xfId="6948" builtinId="9" hidden="1"/>
    <cellStyle name="Followed Hyperlink" xfId="6950" builtinId="9" hidden="1"/>
    <cellStyle name="Followed Hyperlink" xfId="6952" builtinId="9" hidden="1"/>
    <cellStyle name="Followed Hyperlink" xfId="6954" builtinId="9" hidden="1"/>
    <cellStyle name="Followed Hyperlink" xfId="6956" builtinId="9" hidden="1"/>
    <cellStyle name="Followed Hyperlink" xfId="6958" builtinId="9" hidden="1"/>
    <cellStyle name="Followed Hyperlink" xfId="6960" builtinId="9" hidden="1"/>
    <cellStyle name="Followed Hyperlink" xfId="6962" builtinId="9" hidden="1"/>
    <cellStyle name="Followed Hyperlink" xfId="6964" builtinId="9" hidden="1"/>
    <cellStyle name="Followed Hyperlink" xfId="6966" builtinId="9" hidden="1"/>
    <cellStyle name="Followed Hyperlink" xfId="6968" builtinId="9" hidden="1"/>
    <cellStyle name="Followed Hyperlink" xfId="6970" builtinId="9" hidden="1"/>
    <cellStyle name="Followed Hyperlink" xfId="6972" builtinId="9" hidden="1"/>
    <cellStyle name="Followed Hyperlink" xfId="6974" builtinId="9" hidden="1"/>
    <cellStyle name="Followed Hyperlink" xfId="6976" builtinId="9" hidden="1"/>
    <cellStyle name="Followed Hyperlink" xfId="6978" builtinId="9" hidden="1"/>
    <cellStyle name="Followed Hyperlink" xfId="6980" builtinId="9" hidden="1"/>
    <cellStyle name="Followed Hyperlink" xfId="6982" builtinId="9" hidden="1"/>
    <cellStyle name="Followed Hyperlink" xfId="6984" builtinId="9" hidden="1"/>
    <cellStyle name="Followed Hyperlink" xfId="6986" builtinId="9" hidden="1"/>
    <cellStyle name="Followed Hyperlink" xfId="6988" builtinId="9" hidden="1"/>
    <cellStyle name="Followed Hyperlink" xfId="6990" builtinId="9" hidden="1"/>
    <cellStyle name="Followed Hyperlink" xfId="6992" builtinId="9" hidden="1"/>
    <cellStyle name="Followed Hyperlink" xfId="6994" builtinId="9" hidden="1"/>
    <cellStyle name="Followed Hyperlink" xfId="6996" builtinId="9" hidden="1"/>
    <cellStyle name="Followed Hyperlink" xfId="6998" builtinId="9" hidden="1"/>
    <cellStyle name="Followed Hyperlink" xfId="7000" builtinId="9" hidden="1"/>
    <cellStyle name="Followed Hyperlink" xfId="7002" builtinId="9" hidden="1"/>
    <cellStyle name="Followed Hyperlink" xfId="7004" builtinId="9" hidden="1"/>
    <cellStyle name="Followed Hyperlink" xfId="7006" builtinId="9" hidden="1"/>
    <cellStyle name="Followed Hyperlink" xfId="7008" builtinId="9" hidden="1"/>
    <cellStyle name="Followed Hyperlink" xfId="7010" builtinId="9" hidden="1"/>
    <cellStyle name="Followed Hyperlink" xfId="7012" builtinId="9" hidden="1"/>
    <cellStyle name="Followed Hyperlink" xfId="7014" builtinId="9" hidden="1"/>
    <cellStyle name="Followed Hyperlink" xfId="7016" builtinId="9" hidden="1"/>
    <cellStyle name="Followed Hyperlink" xfId="7018" builtinId="9" hidden="1"/>
    <cellStyle name="Followed Hyperlink" xfId="7020" builtinId="9" hidden="1"/>
    <cellStyle name="Followed Hyperlink" xfId="7022" builtinId="9" hidden="1"/>
    <cellStyle name="Followed Hyperlink" xfId="7024" builtinId="9" hidden="1"/>
    <cellStyle name="Followed Hyperlink" xfId="7026" builtinId="9" hidden="1"/>
    <cellStyle name="Followed Hyperlink" xfId="7028" builtinId="9" hidden="1"/>
    <cellStyle name="Followed Hyperlink" xfId="7030" builtinId="9" hidden="1"/>
    <cellStyle name="Followed Hyperlink" xfId="7032" builtinId="9" hidden="1"/>
    <cellStyle name="Followed Hyperlink" xfId="7034" builtinId="9" hidden="1"/>
    <cellStyle name="Followed Hyperlink" xfId="7036" builtinId="9" hidden="1"/>
    <cellStyle name="Followed Hyperlink" xfId="7038" builtinId="9" hidden="1"/>
    <cellStyle name="Followed Hyperlink" xfId="7040" builtinId="9" hidden="1"/>
    <cellStyle name="Followed Hyperlink" xfId="7042" builtinId="9" hidden="1"/>
    <cellStyle name="Followed Hyperlink" xfId="7044" builtinId="9" hidden="1"/>
    <cellStyle name="Followed Hyperlink" xfId="7046" builtinId="9" hidden="1"/>
    <cellStyle name="Followed Hyperlink" xfId="7048" builtinId="9" hidden="1"/>
    <cellStyle name="Followed Hyperlink" xfId="7050" builtinId="9" hidden="1"/>
    <cellStyle name="Followed Hyperlink" xfId="7052" builtinId="9" hidden="1"/>
    <cellStyle name="Followed Hyperlink" xfId="7054" builtinId="9" hidden="1"/>
    <cellStyle name="Followed Hyperlink" xfId="7056" builtinId="9" hidden="1"/>
    <cellStyle name="Followed Hyperlink" xfId="7058" builtinId="9" hidden="1"/>
    <cellStyle name="Followed Hyperlink" xfId="7060" builtinId="9" hidden="1"/>
    <cellStyle name="Followed Hyperlink" xfId="7062" builtinId="9" hidden="1"/>
    <cellStyle name="Followed Hyperlink" xfId="7064" builtinId="9" hidden="1"/>
    <cellStyle name="Followed Hyperlink" xfId="7066" builtinId="9" hidden="1"/>
    <cellStyle name="Followed Hyperlink" xfId="7068" builtinId="9" hidden="1"/>
    <cellStyle name="Followed Hyperlink" xfId="7070" builtinId="9" hidden="1"/>
    <cellStyle name="Followed Hyperlink" xfId="7072" builtinId="9" hidden="1"/>
    <cellStyle name="Followed Hyperlink" xfId="7074" builtinId="9" hidden="1"/>
    <cellStyle name="Followed Hyperlink" xfId="7076" builtinId="9" hidden="1"/>
    <cellStyle name="Followed Hyperlink" xfId="7078" builtinId="9" hidden="1"/>
    <cellStyle name="Followed Hyperlink" xfId="7080" builtinId="9" hidden="1"/>
    <cellStyle name="Followed Hyperlink" xfId="7082" builtinId="9" hidden="1"/>
    <cellStyle name="Followed Hyperlink" xfId="7084" builtinId="9" hidden="1"/>
    <cellStyle name="Followed Hyperlink" xfId="7086" builtinId="9" hidden="1"/>
    <cellStyle name="Followed Hyperlink" xfId="7088" builtinId="9" hidden="1"/>
    <cellStyle name="Followed Hyperlink" xfId="7090" builtinId="9" hidden="1"/>
    <cellStyle name="Followed Hyperlink" xfId="7092" builtinId="9" hidden="1"/>
    <cellStyle name="Followed Hyperlink" xfId="7094" builtinId="9" hidden="1"/>
    <cellStyle name="Followed Hyperlink" xfId="7096" builtinId="9" hidden="1"/>
    <cellStyle name="Followed Hyperlink" xfId="7098" builtinId="9" hidden="1"/>
    <cellStyle name="Followed Hyperlink" xfId="7100" builtinId="9" hidden="1"/>
    <cellStyle name="Followed Hyperlink" xfId="7102" builtinId="9" hidden="1"/>
    <cellStyle name="Followed Hyperlink" xfId="7104" builtinId="9" hidden="1"/>
    <cellStyle name="Followed Hyperlink" xfId="7106" builtinId="9" hidden="1"/>
    <cellStyle name="Followed Hyperlink" xfId="7108" builtinId="9" hidden="1"/>
    <cellStyle name="Followed Hyperlink" xfId="7110" builtinId="9" hidden="1"/>
    <cellStyle name="Followed Hyperlink" xfId="7112" builtinId="9" hidden="1"/>
    <cellStyle name="Followed Hyperlink" xfId="7114" builtinId="9" hidden="1"/>
    <cellStyle name="Followed Hyperlink" xfId="7116" builtinId="9" hidden="1"/>
    <cellStyle name="Followed Hyperlink" xfId="7118" builtinId="9" hidden="1"/>
    <cellStyle name="Followed Hyperlink" xfId="7120" builtinId="9" hidden="1"/>
    <cellStyle name="Followed Hyperlink" xfId="7122" builtinId="9" hidden="1"/>
    <cellStyle name="Followed Hyperlink" xfId="7124" builtinId="9" hidden="1"/>
    <cellStyle name="Followed Hyperlink" xfId="7126" builtinId="9" hidden="1"/>
    <cellStyle name="Followed Hyperlink" xfId="7128" builtinId="9" hidden="1"/>
    <cellStyle name="Followed Hyperlink" xfId="7130" builtinId="9" hidden="1"/>
    <cellStyle name="Followed Hyperlink" xfId="7132" builtinId="9" hidden="1"/>
    <cellStyle name="Followed Hyperlink" xfId="7134" builtinId="9" hidden="1"/>
    <cellStyle name="Followed Hyperlink" xfId="7136" builtinId="9" hidden="1"/>
    <cellStyle name="Followed Hyperlink" xfId="7138" builtinId="9" hidden="1"/>
    <cellStyle name="Followed Hyperlink" xfId="7140" builtinId="9" hidden="1"/>
    <cellStyle name="Followed Hyperlink" xfId="7142" builtinId="9" hidden="1"/>
    <cellStyle name="Followed Hyperlink" xfId="7144" builtinId="9" hidden="1"/>
    <cellStyle name="Followed Hyperlink" xfId="7146" builtinId="9" hidden="1"/>
    <cellStyle name="Followed Hyperlink" xfId="7148" builtinId="9" hidden="1"/>
    <cellStyle name="Followed Hyperlink" xfId="7150" builtinId="9" hidden="1"/>
    <cellStyle name="Followed Hyperlink" xfId="7152" builtinId="9" hidden="1"/>
    <cellStyle name="Followed Hyperlink" xfId="7154" builtinId="9" hidden="1"/>
    <cellStyle name="Followed Hyperlink" xfId="7156" builtinId="9" hidden="1"/>
    <cellStyle name="Followed Hyperlink" xfId="7158" builtinId="9" hidden="1"/>
    <cellStyle name="Followed Hyperlink" xfId="7160" builtinId="9" hidden="1"/>
    <cellStyle name="Followed Hyperlink" xfId="7162" builtinId="9" hidden="1"/>
    <cellStyle name="Followed Hyperlink" xfId="7164" builtinId="9" hidden="1"/>
    <cellStyle name="Followed Hyperlink" xfId="7166" builtinId="9" hidden="1"/>
    <cellStyle name="Followed Hyperlink" xfId="7168" builtinId="9" hidden="1"/>
    <cellStyle name="Followed Hyperlink" xfId="7170" builtinId="9" hidden="1"/>
    <cellStyle name="Followed Hyperlink" xfId="7172" builtinId="9" hidden="1"/>
    <cellStyle name="Followed Hyperlink" xfId="7174" builtinId="9" hidden="1"/>
    <cellStyle name="Followed Hyperlink" xfId="7176" builtinId="9" hidden="1"/>
    <cellStyle name="Followed Hyperlink" xfId="7178" builtinId="9" hidden="1"/>
    <cellStyle name="Followed Hyperlink" xfId="7180" builtinId="9" hidden="1"/>
    <cellStyle name="Followed Hyperlink" xfId="7182" builtinId="9" hidden="1"/>
    <cellStyle name="Followed Hyperlink" xfId="7184" builtinId="9" hidden="1"/>
    <cellStyle name="Followed Hyperlink" xfId="7186" builtinId="9" hidden="1"/>
    <cellStyle name="Followed Hyperlink" xfId="7188" builtinId="9" hidden="1"/>
    <cellStyle name="Followed Hyperlink" xfId="7190" builtinId="9" hidden="1"/>
    <cellStyle name="Followed Hyperlink" xfId="7192" builtinId="9" hidden="1"/>
    <cellStyle name="Followed Hyperlink" xfId="7194" builtinId="9" hidden="1"/>
    <cellStyle name="Followed Hyperlink" xfId="7196" builtinId="9" hidden="1"/>
    <cellStyle name="Followed Hyperlink" xfId="7198" builtinId="9" hidden="1"/>
    <cellStyle name="Followed Hyperlink" xfId="7200" builtinId="9" hidden="1"/>
    <cellStyle name="Followed Hyperlink" xfId="7202" builtinId="9" hidden="1"/>
    <cellStyle name="Followed Hyperlink" xfId="7204" builtinId="9" hidden="1"/>
    <cellStyle name="Followed Hyperlink" xfId="7206" builtinId="9" hidden="1"/>
    <cellStyle name="Followed Hyperlink" xfId="7208" builtinId="9" hidden="1"/>
    <cellStyle name="Followed Hyperlink" xfId="7210" builtinId="9" hidden="1"/>
    <cellStyle name="Followed Hyperlink" xfId="7212" builtinId="9" hidden="1"/>
    <cellStyle name="Followed Hyperlink" xfId="7214" builtinId="9" hidden="1"/>
    <cellStyle name="Followed Hyperlink" xfId="7216" builtinId="9" hidden="1"/>
    <cellStyle name="Followed Hyperlink" xfId="7218" builtinId="9" hidden="1"/>
    <cellStyle name="Followed Hyperlink" xfId="7220" builtinId="9" hidden="1"/>
    <cellStyle name="Followed Hyperlink" xfId="7222" builtinId="9" hidden="1"/>
    <cellStyle name="Followed Hyperlink" xfId="7224" builtinId="9" hidden="1"/>
    <cellStyle name="Followed Hyperlink" xfId="7226" builtinId="9" hidden="1"/>
    <cellStyle name="Followed Hyperlink" xfId="7228" builtinId="9" hidden="1"/>
    <cellStyle name="Followed Hyperlink" xfId="7230" builtinId="9" hidden="1"/>
    <cellStyle name="Followed Hyperlink" xfId="7232" builtinId="9" hidden="1"/>
    <cellStyle name="Followed Hyperlink" xfId="7234" builtinId="9" hidden="1"/>
    <cellStyle name="Followed Hyperlink" xfId="7236" builtinId="9" hidden="1"/>
    <cellStyle name="Followed Hyperlink" xfId="7238" builtinId="9" hidden="1"/>
    <cellStyle name="Followed Hyperlink" xfId="7240" builtinId="9" hidden="1"/>
    <cellStyle name="Followed Hyperlink" xfId="7242" builtinId="9" hidden="1"/>
    <cellStyle name="Followed Hyperlink" xfId="7244" builtinId="9" hidden="1"/>
    <cellStyle name="Followed Hyperlink" xfId="7246" builtinId="9" hidden="1"/>
    <cellStyle name="Followed Hyperlink" xfId="7248" builtinId="9" hidden="1"/>
    <cellStyle name="Followed Hyperlink" xfId="7250" builtinId="9" hidden="1"/>
    <cellStyle name="Followed Hyperlink" xfId="7252" builtinId="9" hidden="1"/>
    <cellStyle name="Followed Hyperlink" xfId="7254" builtinId="9" hidden="1"/>
    <cellStyle name="Followed Hyperlink" xfId="7256" builtinId="9" hidden="1"/>
    <cellStyle name="Followed Hyperlink" xfId="7258" builtinId="9" hidden="1"/>
    <cellStyle name="Followed Hyperlink" xfId="7260" builtinId="9" hidden="1"/>
    <cellStyle name="Followed Hyperlink" xfId="7262" builtinId="9" hidden="1"/>
    <cellStyle name="Followed Hyperlink" xfId="7264" builtinId="9" hidden="1"/>
    <cellStyle name="Followed Hyperlink" xfId="7266" builtinId="9" hidden="1"/>
    <cellStyle name="Followed Hyperlink" xfId="7268" builtinId="9" hidden="1"/>
    <cellStyle name="Followed Hyperlink" xfId="7270" builtinId="9" hidden="1"/>
    <cellStyle name="Followed Hyperlink" xfId="7272" builtinId="9" hidden="1"/>
    <cellStyle name="Followed Hyperlink" xfId="7274" builtinId="9" hidden="1"/>
    <cellStyle name="Followed Hyperlink" xfId="7276" builtinId="9" hidden="1"/>
    <cellStyle name="Followed Hyperlink" xfId="7278" builtinId="9" hidden="1"/>
    <cellStyle name="Followed Hyperlink" xfId="7280" builtinId="9" hidden="1"/>
    <cellStyle name="Followed Hyperlink" xfId="7282" builtinId="9" hidden="1"/>
    <cellStyle name="Followed Hyperlink" xfId="7284" builtinId="9" hidden="1"/>
    <cellStyle name="Followed Hyperlink" xfId="7286" builtinId="9" hidden="1"/>
    <cellStyle name="Followed Hyperlink" xfId="7288" builtinId="9" hidden="1"/>
    <cellStyle name="Followed Hyperlink" xfId="7290" builtinId="9" hidden="1"/>
    <cellStyle name="Followed Hyperlink" xfId="7292" builtinId="9" hidden="1"/>
    <cellStyle name="Followed Hyperlink" xfId="7294" builtinId="9" hidden="1"/>
    <cellStyle name="Followed Hyperlink" xfId="7296" builtinId="9" hidden="1"/>
    <cellStyle name="Followed Hyperlink" xfId="7298" builtinId="9" hidden="1"/>
    <cellStyle name="Followed Hyperlink" xfId="7300" builtinId="9" hidden="1"/>
    <cellStyle name="Followed Hyperlink" xfId="7302" builtinId="9" hidden="1"/>
    <cellStyle name="Followed Hyperlink" xfId="7304" builtinId="9" hidden="1"/>
    <cellStyle name="Followed Hyperlink" xfId="7306" builtinId="9" hidden="1"/>
    <cellStyle name="Followed Hyperlink" xfId="7308" builtinId="9" hidden="1"/>
    <cellStyle name="Followed Hyperlink" xfId="7310" builtinId="9" hidden="1"/>
    <cellStyle name="Followed Hyperlink" xfId="7312" builtinId="9" hidden="1"/>
    <cellStyle name="Followed Hyperlink" xfId="7314" builtinId="9" hidden="1"/>
    <cellStyle name="Followed Hyperlink" xfId="7316" builtinId="9" hidden="1"/>
    <cellStyle name="Followed Hyperlink" xfId="7318" builtinId="9" hidden="1"/>
    <cellStyle name="Followed Hyperlink" xfId="7320" builtinId="9" hidden="1"/>
    <cellStyle name="Followed Hyperlink" xfId="7322" builtinId="9" hidden="1"/>
    <cellStyle name="Followed Hyperlink" xfId="7324" builtinId="9" hidden="1"/>
    <cellStyle name="Followed Hyperlink" xfId="7326" builtinId="9" hidden="1"/>
    <cellStyle name="Followed Hyperlink" xfId="7328" builtinId="9" hidden="1"/>
    <cellStyle name="Followed Hyperlink" xfId="7330" builtinId="9" hidden="1"/>
    <cellStyle name="Followed Hyperlink" xfId="7332" builtinId="9" hidden="1"/>
    <cellStyle name="Followed Hyperlink" xfId="7334" builtinId="9" hidden="1"/>
    <cellStyle name="Followed Hyperlink" xfId="7336" builtinId="9" hidden="1"/>
    <cellStyle name="Followed Hyperlink" xfId="7338" builtinId="9" hidden="1"/>
    <cellStyle name="Followed Hyperlink" xfId="7340" builtinId="9" hidden="1"/>
    <cellStyle name="Followed Hyperlink" xfId="7342" builtinId="9" hidden="1"/>
    <cellStyle name="Followed Hyperlink" xfId="7344" builtinId="9" hidden="1"/>
    <cellStyle name="Followed Hyperlink" xfId="7346" builtinId="9" hidden="1"/>
    <cellStyle name="Followed Hyperlink" xfId="7348" builtinId="9" hidden="1"/>
    <cellStyle name="Followed Hyperlink" xfId="7350" builtinId="9" hidden="1"/>
    <cellStyle name="Followed Hyperlink" xfId="7352" builtinId="9" hidden="1"/>
    <cellStyle name="Followed Hyperlink" xfId="7354" builtinId="9" hidden="1"/>
    <cellStyle name="Followed Hyperlink" xfId="7356" builtinId="9" hidden="1"/>
    <cellStyle name="Followed Hyperlink" xfId="7358" builtinId="9" hidden="1"/>
    <cellStyle name="Followed Hyperlink" xfId="7360" builtinId="9" hidden="1"/>
    <cellStyle name="Followed Hyperlink" xfId="7362" builtinId="9" hidden="1"/>
    <cellStyle name="Followed Hyperlink" xfId="7364" builtinId="9" hidden="1"/>
    <cellStyle name="Followed Hyperlink" xfId="7366" builtinId="9" hidden="1"/>
    <cellStyle name="Followed Hyperlink" xfId="7368" builtinId="9" hidden="1"/>
    <cellStyle name="Followed Hyperlink" xfId="7370" builtinId="9" hidden="1"/>
    <cellStyle name="Followed Hyperlink" xfId="7372" builtinId="9" hidden="1"/>
    <cellStyle name="Followed Hyperlink" xfId="7374" builtinId="9" hidden="1"/>
    <cellStyle name="Followed Hyperlink" xfId="7376" builtinId="9" hidden="1"/>
    <cellStyle name="Followed Hyperlink" xfId="7378" builtinId="9" hidden="1"/>
    <cellStyle name="Followed Hyperlink" xfId="7380" builtinId="9" hidden="1"/>
    <cellStyle name="Followed Hyperlink" xfId="7382" builtinId="9" hidden="1"/>
    <cellStyle name="Followed Hyperlink" xfId="7384" builtinId="9" hidden="1"/>
    <cellStyle name="Followed Hyperlink" xfId="7386" builtinId="9" hidden="1"/>
    <cellStyle name="Followed Hyperlink" xfId="7388" builtinId="9" hidden="1"/>
    <cellStyle name="Followed Hyperlink" xfId="7390" builtinId="9" hidden="1"/>
    <cellStyle name="Followed Hyperlink" xfId="7392" builtinId="9" hidden="1"/>
    <cellStyle name="Followed Hyperlink" xfId="7394" builtinId="9" hidden="1"/>
    <cellStyle name="Followed Hyperlink" xfId="7396" builtinId="9" hidden="1"/>
    <cellStyle name="Followed Hyperlink" xfId="7398" builtinId="9" hidden="1"/>
    <cellStyle name="Followed Hyperlink" xfId="7400" builtinId="9" hidden="1"/>
    <cellStyle name="Followed Hyperlink" xfId="7402" builtinId="9" hidden="1"/>
    <cellStyle name="Followed Hyperlink" xfId="7404" builtinId="9" hidden="1"/>
    <cellStyle name="Followed Hyperlink" xfId="7406" builtinId="9" hidden="1"/>
    <cellStyle name="Followed Hyperlink" xfId="7408" builtinId="9" hidden="1"/>
    <cellStyle name="Followed Hyperlink" xfId="7410" builtinId="9" hidden="1"/>
    <cellStyle name="Followed Hyperlink" xfId="7412" builtinId="9" hidden="1"/>
    <cellStyle name="Followed Hyperlink" xfId="7414" builtinId="9" hidden="1"/>
    <cellStyle name="Followed Hyperlink" xfId="7416" builtinId="9" hidden="1"/>
    <cellStyle name="Followed Hyperlink" xfId="7418" builtinId="9" hidden="1"/>
    <cellStyle name="Followed Hyperlink" xfId="7420" builtinId="9" hidden="1"/>
    <cellStyle name="Followed Hyperlink" xfId="7422" builtinId="9" hidden="1"/>
    <cellStyle name="Followed Hyperlink" xfId="7424" builtinId="9" hidden="1"/>
    <cellStyle name="Followed Hyperlink" xfId="7426" builtinId="9" hidden="1"/>
    <cellStyle name="Followed Hyperlink" xfId="7428" builtinId="9" hidden="1"/>
    <cellStyle name="Followed Hyperlink" xfId="7430" builtinId="9" hidden="1"/>
    <cellStyle name="Followed Hyperlink" xfId="7432" builtinId="9" hidden="1"/>
    <cellStyle name="Followed Hyperlink" xfId="7434" builtinId="9" hidden="1"/>
    <cellStyle name="Followed Hyperlink" xfId="7436" builtinId="9" hidden="1"/>
    <cellStyle name="Followed Hyperlink" xfId="7438" builtinId="9" hidden="1"/>
    <cellStyle name="Followed Hyperlink" xfId="7440" builtinId="9" hidden="1"/>
    <cellStyle name="Followed Hyperlink" xfId="7442" builtinId="9" hidden="1"/>
    <cellStyle name="Followed Hyperlink" xfId="7444" builtinId="9" hidden="1"/>
    <cellStyle name="Followed Hyperlink" xfId="7446" builtinId="9" hidden="1"/>
    <cellStyle name="Followed Hyperlink" xfId="7448" builtinId="9" hidden="1"/>
    <cellStyle name="Followed Hyperlink" xfId="7450" builtinId="9" hidden="1"/>
    <cellStyle name="Followed Hyperlink" xfId="7452" builtinId="9" hidden="1"/>
    <cellStyle name="Followed Hyperlink" xfId="7454" builtinId="9" hidden="1"/>
    <cellStyle name="Followed Hyperlink" xfId="7456" builtinId="9" hidden="1"/>
    <cellStyle name="Followed Hyperlink" xfId="7458" builtinId="9" hidden="1"/>
    <cellStyle name="Followed Hyperlink" xfId="7460" builtinId="9" hidden="1"/>
    <cellStyle name="Followed Hyperlink" xfId="7462" builtinId="9" hidden="1"/>
    <cellStyle name="Followed Hyperlink" xfId="7464" builtinId="9" hidden="1"/>
    <cellStyle name="Followed Hyperlink" xfId="7466" builtinId="9" hidden="1"/>
    <cellStyle name="Followed Hyperlink" xfId="7468" builtinId="9" hidden="1"/>
    <cellStyle name="Followed Hyperlink" xfId="7470" builtinId="9" hidden="1"/>
    <cellStyle name="Followed Hyperlink" xfId="7472" builtinId="9" hidden="1"/>
    <cellStyle name="Followed Hyperlink" xfId="7474" builtinId="9" hidden="1"/>
    <cellStyle name="Followed Hyperlink" xfId="7476" builtinId="9" hidden="1"/>
    <cellStyle name="Followed Hyperlink" xfId="7478" builtinId="9" hidden="1"/>
    <cellStyle name="Followed Hyperlink" xfId="7480" builtinId="9" hidden="1"/>
    <cellStyle name="Followed Hyperlink" xfId="7482" builtinId="9" hidden="1"/>
    <cellStyle name="Followed Hyperlink" xfId="7484" builtinId="9" hidden="1"/>
    <cellStyle name="Followed Hyperlink" xfId="7486" builtinId="9" hidden="1"/>
    <cellStyle name="Followed Hyperlink" xfId="7488" builtinId="9" hidden="1"/>
    <cellStyle name="Followed Hyperlink" xfId="7490" builtinId="9" hidden="1"/>
    <cellStyle name="Followed Hyperlink" xfId="7492" builtinId="9" hidden="1"/>
    <cellStyle name="Followed Hyperlink" xfId="7494" builtinId="9" hidden="1"/>
    <cellStyle name="Followed Hyperlink" xfId="7496" builtinId="9" hidden="1"/>
    <cellStyle name="Followed Hyperlink" xfId="7498" builtinId="9" hidden="1"/>
    <cellStyle name="Followed Hyperlink" xfId="7500" builtinId="9" hidden="1"/>
    <cellStyle name="Followed Hyperlink" xfId="7502" builtinId="9" hidden="1"/>
    <cellStyle name="Followed Hyperlink" xfId="7504" builtinId="9" hidden="1"/>
    <cellStyle name="Followed Hyperlink" xfId="7506" builtinId="9" hidden="1"/>
    <cellStyle name="Followed Hyperlink" xfId="7508" builtinId="9" hidden="1"/>
    <cellStyle name="Followed Hyperlink" xfId="7510" builtinId="9" hidden="1"/>
    <cellStyle name="Followed Hyperlink" xfId="7512" builtinId="9" hidden="1"/>
    <cellStyle name="Followed Hyperlink" xfId="7514" builtinId="9" hidden="1"/>
    <cellStyle name="Followed Hyperlink" xfId="7516" builtinId="9" hidden="1"/>
    <cellStyle name="Followed Hyperlink" xfId="7518" builtinId="9" hidden="1"/>
    <cellStyle name="Followed Hyperlink" xfId="7520" builtinId="9" hidden="1"/>
    <cellStyle name="Followed Hyperlink" xfId="7522" builtinId="9" hidden="1"/>
    <cellStyle name="Followed Hyperlink" xfId="7524" builtinId="9" hidden="1"/>
    <cellStyle name="Followed Hyperlink" xfId="7526" builtinId="9" hidden="1"/>
    <cellStyle name="Followed Hyperlink" xfId="7528" builtinId="9" hidden="1"/>
    <cellStyle name="Followed Hyperlink" xfId="7530" builtinId="9" hidden="1"/>
    <cellStyle name="Followed Hyperlink" xfId="7532" builtinId="9" hidden="1"/>
    <cellStyle name="Followed Hyperlink" xfId="7534" builtinId="9" hidden="1"/>
    <cellStyle name="Followed Hyperlink" xfId="7536" builtinId="9" hidden="1"/>
    <cellStyle name="Followed Hyperlink" xfId="7538" builtinId="9" hidden="1"/>
    <cellStyle name="Followed Hyperlink" xfId="7540" builtinId="9" hidden="1"/>
    <cellStyle name="Followed Hyperlink" xfId="7542" builtinId="9" hidden="1"/>
    <cellStyle name="Followed Hyperlink" xfId="7544" builtinId="9" hidden="1"/>
    <cellStyle name="Followed Hyperlink" xfId="7546" builtinId="9" hidden="1"/>
    <cellStyle name="Followed Hyperlink" xfId="7548" builtinId="9" hidden="1"/>
    <cellStyle name="Followed Hyperlink" xfId="7550" builtinId="9" hidden="1"/>
    <cellStyle name="Followed Hyperlink" xfId="7552" builtinId="9" hidden="1"/>
    <cellStyle name="Followed Hyperlink" xfId="7554" builtinId="9" hidden="1"/>
    <cellStyle name="Followed Hyperlink" xfId="7556" builtinId="9" hidden="1"/>
    <cellStyle name="Followed Hyperlink" xfId="7558" builtinId="9" hidden="1"/>
    <cellStyle name="Followed Hyperlink" xfId="7560" builtinId="9" hidden="1"/>
    <cellStyle name="Followed Hyperlink" xfId="7562" builtinId="9" hidden="1"/>
    <cellStyle name="Followed Hyperlink" xfId="7564" builtinId="9" hidden="1"/>
    <cellStyle name="Followed Hyperlink" xfId="7566" builtinId="9" hidden="1"/>
    <cellStyle name="Followed Hyperlink" xfId="7568" builtinId="9" hidden="1"/>
    <cellStyle name="Followed Hyperlink" xfId="7570" builtinId="9" hidden="1"/>
    <cellStyle name="Followed Hyperlink" xfId="7572" builtinId="9" hidden="1"/>
    <cellStyle name="Followed Hyperlink" xfId="7574" builtinId="9" hidden="1"/>
    <cellStyle name="Followed Hyperlink" xfId="7576" builtinId="9" hidden="1"/>
    <cellStyle name="Followed Hyperlink" xfId="7578" builtinId="9" hidden="1"/>
    <cellStyle name="Followed Hyperlink" xfId="7580" builtinId="9" hidden="1"/>
    <cellStyle name="Followed Hyperlink" xfId="7582" builtinId="9" hidden="1"/>
    <cellStyle name="Followed Hyperlink" xfId="7584" builtinId="9" hidden="1"/>
    <cellStyle name="Followed Hyperlink" xfId="7586" builtinId="9" hidden="1"/>
    <cellStyle name="Followed Hyperlink" xfId="7588" builtinId="9" hidden="1"/>
    <cellStyle name="Followed Hyperlink" xfId="7590" builtinId="9" hidden="1"/>
    <cellStyle name="Followed Hyperlink" xfId="7592" builtinId="9" hidden="1"/>
    <cellStyle name="Followed Hyperlink" xfId="7594" builtinId="9" hidden="1"/>
    <cellStyle name="Followed Hyperlink" xfId="7596" builtinId="9" hidden="1"/>
    <cellStyle name="Followed Hyperlink" xfId="7598" builtinId="9" hidden="1"/>
    <cellStyle name="Followed Hyperlink" xfId="7600" builtinId="9" hidden="1"/>
    <cellStyle name="Followed Hyperlink" xfId="7602" builtinId="9" hidden="1"/>
    <cellStyle name="Followed Hyperlink" xfId="7604" builtinId="9" hidden="1"/>
    <cellStyle name="Followed Hyperlink" xfId="7606" builtinId="9" hidden="1"/>
    <cellStyle name="Followed Hyperlink" xfId="7608" builtinId="9" hidden="1"/>
    <cellStyle name="Followed Hyperlink" xfId="7610" builtinId="9" hidden="1"/>
    <cellStyle name="Followed Hyperlink" xfId="7612" builtinId="9" hidden="1"/>
    <cellStyle name="Followed Hyperlink" xfId="7614" builtinId="9" hidden="1"/>
    <cellStyle name="Followed Hyperlink" xfId="7616" builtinId="9" hidden="1"/>
    <cellStyle name="Followed Hyperlink" xfId="7618" builtinId="9" hidden="1"/>
    <cellStyle name="Followed Hyperlink" xfId="7620" builtinId="9" hidden="1"/>
    <cellStyle name="Followed Hyperlink" xfId="7622" builtinId="9" hidden="1"/>
    <cellStyle name="Followed Hyperlink" xfId="7624" builtinId="9" hidden="1"/>
    <cellStyle name="Followed Hyperlink" xfId="7626" builtinId="9" hidden="1"/>
    <cellStyle name="Followed Hyperlink" xfId="7628" builtinId="9" hidden="1"/>
    <cellStyle name="Followed Hyperlink" xfId="7630" builtinId="9" hidden="1"/>
    <cellStyle name="Followed Hyperlink" xfId="7632" builtinId="9" hidden="1"/>
    <cellStyle name="Followed Hyperlink" xfId="7634" builtinId="9" hidden="1"/>
    <cellStyle name="Followed Hyperlink" xfId="7636" builtinId="9" hidden="1"/>
    <cellStyle name="Followed Hyperlink" xfId="7638" builtinId="9" hidden="1"/>
    <cellStyle name="Followed Hyperlink" xfId="7640" builtinId="9" hidden="1"/>
    <cellStyle name="Followed Hyperlink" xfId="7642" builtinId="9" hidden="1"/>
    <cellStyle name="Followed Hyperlink" xfId="7644" builtinId="9" hidden="1"/>
    <cellStyle name="Followed Hyperlink" xfId="7646" builtinId="9" hidden="1"/>
    <cellStyle name="Followed Hyperlink" xfId="7648" builtinId="9" hidden="1"/>
    <cellStyle name="Followed Hyperlink" xfId="7650" builtinId="9" hidden="1"/>
    <cellStyle name="Followed Hyperlink" xfId="7652" builtinId="9" hidden="1"/>
    <cellStyle name="Followed Hyperlink" xfId="7654" builtinId="9" hidden="1"/>
    <cellStyle name="Followed Hyperlink" xfId="7656" builtinId="9" hidden="1"/>
    <cellStyle name="Followed Hyperlink" xfId="7658" builtinId="9" hidden="1"/>
    <cellStyle name="Followed Hyperlink" xfId="7660" builtinId="9" hidden="1"/>
    <cellStyle name="Followed Hyperlink" xfId="7662" builtinId="9" hidden="1"/>
    <cellStyle name="Followed Hyperlink" xfId="7664" builtinId="9" hidden="1"/>
    <cellStyle name="Followed Hyperlink" xfId="7666" builtinId="9" hidden="1"/>
    <cellStyle name="Followed Hyperlink" xfId="7668" builtinId="9" hidden="1"/>
    <cellStyle name="Followed Hyperlink" xfId="7670" builtinId="9" hidden="1"/>
    <cellStyle name="Followed Hyperlink" xfId="7672" builtinId="9" hidden="1"/>
    <cellStyle name="Followed Hyperlink" xfId="7674" builtinId="9" hidden="1"/>
    <cellStyle name="Followed Hyperlink" xfId="7676" builtinId="9" hidden="1"/>
    <cellStyle name="Followed Hyperlink" xfId="7678" builtinId="9" hidden="1"/>
    <cellStyle name="Followed Hyperlink" xfId="7680" builtinId="9" hidden="1"/>
    <cellStyle name="Followed Hyperlink" xfId="7682" builtinId="9" hidden="1"/>
    <cellStyle name="Followed Hyperlink" xfId="7684" builtinId="9" hidden="1"/>
    <cellStyle name="Followed Hyperlink" xfId="7686" builtinId="9" hidden="1"/>
    <cellStyle name="Followed Hyperlink" xfId="7688" builtinId="9" hidden="1"/>
    <cellStyle name="Followed Hyperlink" xfId="7690" builtinId="9" hidden="1"/>
    <cellStyle name="Followed Hyperlink" xfId="7692" builtinId="9" hidden="1"/>
    <cellStyle name="Followed Hyperlink" xfId="7694" builtinId="9" hidden="1"/>
    <cellStyle name="Followed Hyperlink" xfId="7696" builtinId="9" hidden="1"/>
    <cellStyle name="Followed Hyperlink" xfId="7698" builtinId="9" hidden="1"/>
    <cellStyle name="Followed Hyperlink" xfId="7700" builtinId="9" hidden="1"/>
    <cellStyle name="Followed Hyperlink" xfId="7702" builtinId="9" hidden="1"/>
    <cellStyle name="Followed Hyperlink" xfId="7704" builtinId="9" hidden="1"/>
    <cellStyle name="Followed Hyperlink" xfId="7706" builtinId="9" hidden="1"/>
    <cellStyle name="Followed Hyperlink" xfId="7708" builtinId="9" hidden="1"/>
    <cellStyle name="Followed Hyperlink" xfId="7710" builtinId="9" hidden="1"/>
    <cellStyle name="Followed Hyperlink" xfId="7712" builtinId="9" hidden="1"/>
    <cellStyle name="Followed Hyperlink" xfId="7714" builtinId="9" hidden="1"/>
    <cellStyle name="Followed Hyperlink" xfId="7716" builtinId="9" hidden="1"/>
    <cellStyle name="Followed Hyperlink" xfId="7718" builtinId="9" hidden="1"/>
    <cellStyle name="Followed Hyperlink" xfId="7720" builtinId="9" hidden="1"/>
    <cellStyle name="Followed Hyperlink" xfId="7722" builtinId="9" hidden="1"/>
    <cellStyle name="Followed Hyperlink" xfId="7724" builtinId="9" hidden="1"/>
    <cellStyle name="Followed Hyperlink" xfId="7726" builtinId="9" hidden="1"/>
    <cellStyle name="Followed Hyperlink" xfId="7728" builtinId="9" hidden="1"/>
    <cellStyle name="Followed Hyperlink" xfId="7730" builtinId="9" hidden="1"/>
    <cellStyle name="Followed Hyperlink" xfId="7732" builtinId="9" hidden="1"/>
    <cellStyle name="Followed Hyperlink" xfId="7734" builtinId="9" hidden="1"/>
    <cellStyle name="Followed Hyperlink" xfId="7736" builtinId="9" hidden="1"/>
    <cellStyle name="Followed Hyperlink" xfId="7738" builtinId="9" hidden="1"/>
    <cellStyle name="Followed Hyperlink" xfId="7740" builtinId="9" hidden="1"/>
    <cellStyle name="Followed Hyperlink" xfId="7742" builtinId="9" hidden="1"/>
    <cellStyle name="Followed Hyperlink" xfId="7744" builtinId="9" hidden="1"/>
    <cellStyle name="Followed Hyperlink" xfId="7746" builtinId="9" hidden="1"/>
    <cellStyle name="Followed Hyperlink" xfId="7748" builtinId="9" hidden="1"/>
    <cellStyle name="Followed Hyperlink" xfId="7750" builtinId="9" hidden="1"/>
    <cellStyle name="Followed Hyperlink" xfId="7752" builtinId="9" hidden="1"/>
    <cellStyle name="Followed Hyperlink" xfId="7754" builtinId="9" hidden="1"/>
    <cellStyle name="Followed Hyperlink" xfId="7756" builtinId="9" hidden="1"/>
    <cellStyle name="Followed Hyperlink" xfId="7758" builtinId="9" hidden="1"/>
    <cellStyle name="Followed Hyperlink" xfId="7760" builtinId="9" hidden="1"/>
    <cellStyle name="Followed Hyperlink" xfId="7762" builtinId="9" hidden="1"/>
    <cellStyle name="Followed Hyperlink" xfId="7764" builtinId="9" hidden="1"/>
    <cellStyle name="Followed Hyperlink" xfId="7766" builtinId="9" hidden="1"/>
    <cellStyle name="Followed Hyperlink" xfId="7768" builtinId="9" hidden="1"/>
    <cellStyle name="Followed Hyperlink" xfId="7770" builtinId="9" hidden="1"/>
    <cellStyle name="Followed Hyperlink" xfId="7772" builtinId="9" hidden="1"/>
    <cellStyle name="Followed Hyperlink" xfId="7774" builtinId="9" hidden="1"/>
    <cellStyle name="Followed Hyperlink" xfId="7776" builtinId="9" hidden="1"/>
    <cellStyle name="Followed Hyperlink" xfId="7778" builtinId="9" hidden="1"/>
    <cellStyle name="Followed Hyperlink" xfId="7780" builtinId="9" hidden="1"/>
    <cellStyle name="Followed Hyperlink" xfId="7782" builtinId="9" hidden="1"/>
    <cellStyle name="Followed Hyperlink" xfId="7784" builtinId="9" hidden="1"/>
    <cellStyle name="Followed Hyperlink" xfId="7786" builtinId="9" hidden="1"/>
    <cellStyle name="Followed Hyperlink" xfId="7788" builtinId="9" hidden="1"/>
    <cellStyle name="Followed Hyperlink" xfId="7790" builtinId="9" hidden="1"/>
    <cellStyle name="Followed Hyperlink" xfId="7792" builtinId="9" hidden="1"/>
    <cellStyle name="Followed Hyperlink" xfId="7794" builtinId="9" hidden="1"/>
    <cellStyle name="Followed Hyperlink" xfId="7796" builtinId="9" hidden="1"/>
    <cellStyle name="Followed Hyperlink" xfId="7798" builtinId="9" hidden="1"/>
    <cellStyle name="Followed Hyperlink" xfId="7800" builtinId="9" hidden="1"/>
    <cellStyle name="Followed Hyperlink" xfId="7802" builtinId="9" hidden="1"/>
    <cellStyle name="Followed Hyperlink" xfId="7804" builtinId="9" hidden="1"/>
    <cellStyle name="Followed Hyperlink" xfId="7806" builtinId="9" hidden="1"/>
    <cellStyle name="Followed Hyperlink" xfId="7808" builtinId="9" hidden="1"/>
    <cellStyle name="Followed Hyperlink" xfId="7810" builtinId="9" hidden="1"/>
    <cellStyle name="Followed Hyperlink" xfId="7812" builtinId="9" hidden="1"/>
    <cellStyle name="Followed Hyperlink" xfId="7814" builtinId="9" hidden="1"/>
    <cellStyle name="Followed Hyperlink" xfId="7816" builtinId="9" hidden="1"/>
    <cellStyle name="Followed Hyperlink" xfId="7818" builtinId="9" hidden="1"/>
    <cellStyle name="Followed Hyperlink" xfId="7820" builtinId="9" hidden="1"/>
    <cellStyle name="Followed Hyperlink" xfId="7822" builtinId="9" hidden="1"/>
    <cellStyle name="Followed Hyperlink" xfId="7824" builtinId="9" hidden="1"/>
    <cellStyle name="Followed Hyperlink" xfId="7826" builtinId="9" hidden="1"/>
    <cellStyle name="Followed Hyperlink" xfId="7828" builtinId="9" hidden="1"/>
    <cellStyle name="Followed Hyperlink" xfId="7830" builtinId="9" hidden="1"/>
    <cellStyle name="Followed Hyperlink" xfId="7832" builtinId="9" hidden="1"/>
    <cellStyle name="Followed Hyperlink" xfId="7834" builtinId="9" hidden="1"/>
    <cellStyle name="Followed Hyperlink" xfId="7836" builtinId="9" hidden="1"/>
    <cellStyle name="Followed Hyperlink" xfId="7838" builtinId="9" hidden="1"/>
    <cellStyle name="Followed Hyperlink" xfId="7840" builtinId="9" hidden="1"/>
    <cellStyle name="Followed Hyperlink" xfId="7842" builtinId="9" hidden="1"/>
    <cellStyle name="Followed Hyperlink" xfId="7844" builtinId="9" hidden="1"/>
    <cellStyle name="Followed Hyperlink" xfId="7846" builtinId="9" hidden="1"/>
    <cellStyle name="Followed Hyperlink" xfId="7848" builtinId="9" hidden="1"/>
    <cellStyle name="Followed Hyperlink" xfId="7850" builtinId="9" hidden="1"/>
    <cellStyle name="Followed Hyperlink" xfId="7852" builtinId="9" hidden="1"/>
    <cellStyle name="Followed Hyperlink" xfId="7854" builtinId="9" hidden="1"/>
    <cellStyle name="Followed Hyperlink" xfId="7856" builtinId="9" hidden="1"/>
    <cellStyle name="Followed Hyperlink" xfId="7858" builtinId="9" hidden="1"/>
    <cellStyle name="Followed Hyperlink" xfId="7860" builtinId="9" hidden="1"/>
    <cellStyle name="Followed Hyperlink" xfId="7862" builtinId="9" hidden="1"/>
    <cellStyle name="Followed Hyperlink" xfId="7864" builtinId="9" hidden="1"/>
    <cellStyle name="Followed Hyperlink" xfId="7866" builtinId="9" hidden="1"/>
    <cellStyle name="Followed Hyperlink" xfId="7868" builtinId="9" hidden="1"/>
    <cellStyle name="Followed Hyperlink" xfId="7870" builtinId="9" hidden="1"/>
    <cellStyle name="Followed Hyperlink" xfId="7872" builtinId="9" hidden="1"/>
    <cellStyle name="Followed Hyperlink" xfId="7874" builtinId="9" hidden="1"/>
    <cellStyle name="Followed Hyperlink" xfId="7876" builtinId="9" hidden="1"/>
    <cellStyle name="Followed Hyperlink" xfId="7878" builtinId="9" hidden="1"/>
    <cellStyle name="Followed Hyperlink" xfId="7880" builtinId="9" hidden="1"/>
    <cellStyle name="Followed Hyperlink" xfId="7882" builtinId="9" hidden="1"/>
    <cellStyle name="Followed Hyperlink" xfId="7884" builtinId="9" hidden="1"/>
    <cellStyle name="Followed Hyperlink" xfId="7886" builtinId="9" hidden="1"/>
    <cellStyle name="Followed Hyperlink" xfId="7888" builtinId="9" hidden="1"/>
    <cellStyle name="Followed Hyperlink" xfId="7890" builtinId="9" hidden="1"/>
    <cellStyle name="Followed Hyperlink" xfId="7892" builtinId="9" hidden="1"/>
    <cellStyle name="Followed Hyperlink" xfId="7894" builtinId="9" hidden="1"/>
    <cellStyle name="Followed Hyperlink" xfId="7896" builtinId="9" hidden="1"/>
    <cellStyle name="Followed Hyperlink" xfId="7898" builtinId="9" hidden="1"/>
    <cellStyle name="Followed Hyperlink" xfId="7900" builtinId="9" hidden="1"/>
    <cellStyle name="Followed Hyperlink" xfId="7902" builtinId="9" hidden="1"/>
    <cellStyle name="Followed Hyperlink" xfId="7904" builtinId="9" hidden="1"/>
    <cellStyle name="Followed Hyperlink" xfId="7906" builtinId="9" hidden="1"/>
    <cellStyle name="Followed Hyperlink" xfId="7908" builtinId="9" hidden="1"/>
    <cellStyle name="Followed Hyperlink" xfId="7910" builtinId="9" hidden="1"/>
    <cellStyle name="Followed Hyperlink" xfId="7912" builtinId="9" hidden="1"/>
    <cellStyle name="Followed Hyperlink" xfId="7914" builtinId="9" hidden="1"/>
    <cellStyle name="Followed Hyperlink" xfId="7916" builtinId="9" hidden="1"/>
    <cellStyle name="Followed Hyperlink" xfId="7918" builtinId="9" hidden="1"/>
    <cellStyle name="Followed Hyperlink" xfId="7920" builtinId="9" hidden="1"/>
    <cellStyle name="Followed Hyperlink" xfId="7922" builtinId="9" hidden="1"/>
    <cellStyle name="Followed Hyperlink" xfId="7924" builtinId="9" hidden="1"/>
    <cellStyle name="Followed Hyperlink" xfId="7926" builtinId="9" hidden="1"/>
    <cellStyle name="Followed Hyperlink" xfId="7928" builtinId="9" hidden="1"/>
    <cellStyle name="Followed Hyperlink" xfId="7930" builtinId="9" hidden="1"/>
    <cellStyle name="Followed Hyperlink" xfId="7932" builtinId="9" hidden="1"/>
    <cellStyle name="Followed Hyperlink" xfId="7934" builtinId="9" hidden="1"/>
    <cellStyle name="Followed Hyperlink" xfId="7936" builtinId="9" hidden="1"/>
    <cellStyle name="Followed Hyperlink" xfId="7938" builtinId="9" hidden="1"/>
    <cellStyle name="Followed Hyperlink" xfId="7940" builtinId="9" hidden="1"/>
    <cellStyle name="Followed Hyperlink" xfId="7942" builtinId="9" hidden="1"/>
    <cellStyle name="Followed Hyperlink" xfId="7944" builtinId="9" hidden="1"/>
    <cellStyle name="Followed Hyperlink" xfId="7946" builtinId="9" hidden="1"/>
    <cellStyle name="Followed Hyperlink" xfId="7948" builtinId="9" hidden="1"/>
    <cellStyle name="Followed Hyperlink" xfId="7950" builtinId="9" hidden="1"/>
    <cellStyle name="Followed Hyperlink" xfId="7952" builtinId="9" hidden="1"/>
    <cellStyle name="Followed Hyperlink" xfId="7954" builtinId="9" hidden="1"/>
    <cellStyle name="Followed Hyperlink" xfId="7956" builtinId="9" hidden="1"/>
    <cellStyle name="Followed Hyperlink" xfId="7958" builtinId="9" hidden="1"/>
    <cellStyle name="Followed Hyperlink" xfId="7960" builtinId="9" hidden="1"/>
    <cellStyle name="Followed Hyperlink" xfId="7962" builtinId="9" hidden="1"/>
    <cellStyle name="Followed Hyperlink" xfId="7964" builtinId="9" hidden="1"/>
    <cellStyle name="Followed Hyperlink" xfId="7966" builtinId="9" hidden="1"/>
    <cellStyle name="Followed Hyperlink" xfId="7968" builtinId="9" hidden="1"/>
    <cellStyle name="Followed Hyperlink" xfId="7970" builtinId="9" hidden="1"/>
    <cellStyle name="Followed Hyperlink" xfId="7972" builtinId="9" hidden="1"/>
    <cellStyle name="Followed Hyperlink" xfId="7974" builtinId="9" hidden="1"/>
    <cellStyle name="Followed Hyperlink" xfId="7976" builtinId="9" hidden="1"/>
    <cellStyle name="Followed Hyperlink" xfId="7978" builtinId="9" hidden="1"/>
    <cellStyle name="Followed Hyperlink" xfId="7980" builtinId="9" hidden="1"/>
    <cellStyle name="Followed Hyperlink" xfId="7982" builtinId="9" hidden="1"/>
    <cellStyle name="Followed Hyperlink" xfId="7984" builtinId="9" hidden="1"/>
    <cellStyle name="Followed Hyperlink" xfId="7986" builtinId="9" hidden="1"/>
    <cellStyle name="Followed Hyperlink" xfId="7988" builtinId="9" hidden="1"/>
    <cellStyle name="Followed Hyperlink" xfId="7990" builtinId="9" hidden="1"/>
    <cellStyle name="Followed Hyperlink" xfId="7992" builtinId="9" hidden="1"/>
    <cellStyle name="Followed Hyperlink" xfId="7994" builtinId="9" hidden="1"/>
    <cellStyle name="Followed Hyperlink" xfId="7996" builtinId="9" hidden="1"/>
    <cellStyle name="Followed Hyperlink" xfId="7998" builtinId="9" hidden="1"/>
    <cellStyle name="Followed Hyperlink" xfId="8000" builtinId="9" hidden="1"/>
    <cellStyle name="Followed Hyperlink" xfId="8002" builtinId="9" hidden="1"/>
    <cellStyle name="Followed Hyperlink" xfId="8004" builtinId="9" hidden="1"/>
    <cellStyle name="Followed Hyperlink" xfId="8006" builtinId="9" hidden="1"/>
    <cellStyle name="Followed Hyperlink" xfId="8008" builtinId="9" hidden="1"/>
    <cellStyle name="Followed Hyperlink" xfId="8010" builtinId="9" hidden="1"/>
    <cellStyle name="Followed Hyperlink" xfId="8012" builtinId="9" hidden="1"/>
    <cellStyle name="Followed Hyperlink" xfId="8014" builtinId="9" hidden="1"/>
    <cellStyle name="Followed Hyperlink" xfId="8016" builtinId="9" hidden="1"/>
    <cellStyle name="Followed Hyperlink" xfId="8018" builtinId="9" hidden="1"/>
    <cellStyle name="Followed Hyperlink" xfId="8020" builtinId="9" hidden="1"/>
    <cellStyle name="Followed Hyperlink" xfId="8022" builtinId="9" hidden="1"/>
    <cellStyle name="Followed Hyperlink" xfId="8024" builtinId="9" hidden="1"/>
    <cellStyle name="Followed Hyperlink" xfId="8026" builtinId="9" hidden="1"/>
    <cellStyle name="Followed Hyperlink" xfId="8028" builtinId="9" hidden="1"/>
    <cellStyle name="Followed Hyperlink" xfId="8030" builtinId="9" hidden="1"/>
    <cellStyle name="Followed Hyperlink" xfId="8032" builtinId="9" hidden="1"/>
    <cellStyle name="Followed Hyperlink" xfId="8034" builtinId="9" hidden="1"/>
    <cellStyle name="Followed Hyperlink" xfId="8036" builtinId="9" hidden="1"/>
    <cellStyle name="Followed Hyperlink" xfId="8038" builtinId="9" hidden="1"/>
    <cellStyle name="Followed Hyperlink" xfId="8040" builtinId="9" hidden="1"/>
    <cellStyle name="Followed Hyperlink" xfId="8042" builtinId="9" hidden="1"/>
    <cellStyle name="Followed Hyperlink" xfId="8044" builtinId="9" hidden="1"/>
    <cellStyle name="Followed Hyperlink" xfId="8046" builtinId="9" hidden="1"/>
    <cellStyle name="Followed Hyperlink" xfId="8048" builtinId="9" hidden="1"/>
    <cellStyle name="Followed Hyperlink" xfId="8050" builtinId="9" hidden="1"/>
    <cellStyle name="Followed Hyperlink" xfId="8052" builtinId="9" hidden="1"/>
    <cellStyle name="Followed Hyperlink" xfId="8054" builtinId="9" hidden="1"/>
    <cellStyle name="Followed Hyperlink" xfId="8056" builtinId="9" hidden="1"/>
    <cellStyle name="Followed Hyperlink" xfId="8058" builtinId="9" hidden="1"/>
    <cellStyle name="Followed Hyperlink" xfId="8060" builtinId="9" hidden="1"/>
    <cellStyle name="Followed Hyperlink" xfId="8062" builtinId="9" hidden="1"/>
    <cellStyle name="Followed Hyperlink" xfId="8064" builtinId="9" hidden="1"/>
    <cellStyle name="Followed Hyperlink" xfId="8066" builtinId="9" hidden="1"/>
    <cellStyle name="Followed Hyperlink" xfId="8068" builtinId="9" hidden="1"/>
    <cellStyle name="Followed Hyperlink" xfId="8070" builtinId="9" hidden="1"/>
    <cellStyle name="Followed Hyperlink" xfId="8072" builtinId="9" hidden="1"/>
    <cellStyle name="Followed Hyperlink" xfId="8074" builtinId="9" hidden="1"/>
    <cellStyle name="Followed Hyperlink" xfId="8076" builtinId="9" hidden="1"/>
    <cellStyle name="Followed Hyperlink" xfId="8078" builtinId="9" hidden="1"/>
    <cellStyle name="Followed Hyperlink" xfId="8080" builtinId="9" hidden="1"/>
    <cellStyle name="Followed Hyperlink" xfId="8082" builtinId="9" hidden="1"/>
    <cellStyle name="Followed Hyperlink" xfId="8084" builtinId="9" hidden="1"/>
    <cellStyle name="Followed Hyperlink" xfId="8086" builtinId="9" hidden="1"/>
    <cellStyle name="Followed Hyperlink" xfId="8088" builtinId="9" hidden="1"/>
    <cellStyle name="Followed Hyperlink" xfId="8090" builtinId="9" hidden="1"/>
    <cellStyle name="Followed Hyperlink" xfId="8092" builtinId="9" hidden="1"/>
    <cellStyle name="Followed Hyperlink" xfId="8094" builtinId="9" hidden="1"/>
    <cellStyle name="Followed Hyperlink" xfId="8096" builtinId="9" hidden="1"/>
    <cellStyle name="Followed Hyperlink" xfId="8098" builtinId="9" hidden="1"/>
    <cellStyle name="Followed Hyperlink" xfId="8100" builtinId="9" hidden="1"/>
    <cellStyle name="Followed Hyperlink" xfId="8102" builtinId="9" hidden="1"/>
    <cellStyle name="Followed Hyperlink" xfId="8104" builtinId="9" hidden="1"/>
    <cellStyle name="Followed Hyperlink" xfId="8106" builtinId="9" hidden="1"/>
    <cellStyle name="Followed Hyperlink" xfId="8108" builtinId="9" hidden="1"/>
    <cellStyle name="Followed Hyperlink" xfId="8110" builtinId="9" hidden="1"/>
    <cellStyle name="Followed Hyperlink" xfId="8112" builtinId="9" hidden="1"/>
    <cellStyle name="Followed Hyperlink" xfId="8114" builtinId="9" hidden="1"/>
    <cellStyle name="Followed Hyperlink" xfId="8116" builtinId="9" hidden="1"/>
    <cellStyle name="Followed Hyperlink" xfId="8118" builtinId="9" hidden="1"/>
    <cellStyle name="Followed Hyperlink" xfId="8120" builtinId="9" hidden="1"/>
    <cellStyle name="Followed Hyperlink" xfId="8122" builtinId="9" hidden="1"/>
    <cellStyle name="Followed Hyperlink" xfId="8124" builtinId="9" hidden="1"/>
    <cellStyle name="Followed Hyperlink" xfId="8126" builtinId="9" hidden="1"/>
    <cellStyle name="Followed Hyperlink" xfId="8128" builtinId="9" hidden="1"/>
    <cellStyle name="Followed Hyperlink" xfId="8130" builtinId="9" hidden="1"/>
    <cellStyle name="Followed Hyperlink" xfId="8132" builtinId="9" hidden="1"/>
    <cellStyle name="Followed Hyperlink" xfId="8134" builtinId="9" hidden="1"/>
    <cellStyle name="Followed Hyperlink" xfId="8136" builtinId="9" hidden="1"/>
    <cellStyle name="Followed Hyperlink" xfId="8138" builtinId="9" hidden="1"/>
    <cellStyle name="Followed Hyperlink" xfId="8140" builtinId="9" hidden="1"/>
    <cellStyle name="Followed Hyperlink" xfId="8142" builtinId="9" hidden="1"/>
    <cellStyle name="Followed Hyperlink" xfId="8144" builtinId="9" hidden="1"/>
    <cellStyle name="Followed Hyperlink" xfId="8146" builtinId="9" hidden="1"/>
    <cellStyle name="Followed Hyperlink" xfId="8148" builtinId="9" hidden="1"/>
    <cellStyle name="Followed Hyperlink" xfId="8150" builtinId="9" hidden="1"/>
    <cellStyle name="Followed Hyperlink" xfId="8152" builtinId="9" hidden="1"/>
    <cellStyle name="Followed Hyperlink" xfId="8154" builtinId="9" hidden="1"/>
    <cellStyle name="Followed Hyperlink" xfId="8156" builtinId="9" hidden="1"/>
    <cellStyle name="Followed Hyperlink" xfId="8158" builtinId="9" hidden="1"/>
    <cellStyle name="Followed Hyperlink" xfId="8160" builtinId="9" hidden="1"/>
    <cellStyle name="Followed Hyperlink" xfId="8162" builtinId="9" hidden="1"/>
    <cellStyle name="Followed Hyperlink" xfId="8164" builtinId="9" hidden="1"/>
    <cellStyle name="Followed Hyperlink" xfId="8166" builtinId="9" hidden="1"/>
    <cellStyle name="Followed Hyperlink" xfId="8168" builtinId="9" hidden="1"/>
    <cellStyle name="Followed Hyperlink" xfId="8170" builtinId="9" hidden="1"/>
    <cellStyle name="Followed Hyperlink" xfId="8172" builtinId="9" hidden="1"/>
    <cellStyle name="Followed Hyperlink" xfId="8174" builtinId="9" hidden="1"/>
    <cellStyle name="Followed Hyperlink" xfId="8176" builtinId="9" hidden="1"/>
    <cellStyle name="Followed Hyperlink" xfId="8178" builtinId="9" hidden="1"/>
    <cellStyle name="Followed Hyperlink" xfId="8180" builtinId="9" hidden="1"/>
    <cellStyle name="Followed Hyperlink" xfId="8182" builtinId="9" hidden="1"/>
    <cellStyle name="Followed Hyperlink" xfId="8184" builtinId="9" hidden="1"/>
    <cellStyle name="Followed Hyperlink" xfId="8186" builtinId="9" hidden="1"/>
    <cellStyle name="Followed Hyperlink" xfId="8188" builtinId="9" hidden="1"/>
    <cellStyle name="Followed Hyperlink" xfId="8190" builtinId="9" hidden="1"/>
    <cellStyle name="Followed Hyperlink" xfId="8192" builtinId="9" hidden="1"/>
    <cellStyle name="Followed Hyperlink" xfId="8194" builtinId="9" hidden="1"/>
    <cellStyle name="Followed Hyperlink" xfId="8196" builtinId="9" hidden="1"/>
    <cellStyle name="Followed Hyperlink" xfId="8198" builtinId="9" hidden="1"/>
    <cellStyle name="Followed Hyperlink" xfId="8200" builtinId="9" hidden="1"/>
    <cellStyle name="Followed Hyperlink" xfId="8202" builtinId="9" hidden="1"/>
    <cellStyle name="Followed Hyperlink" xfId="8204" builtinId="9" hidden="1"/>
    <cellStyle name="Followed Hyperlink" xfId="8206" builtinId="9" hidden="1"/>
    <cellStyle name="Followed Hyperlink" xfId="8208" builtinId="9" hidden="1"/>
    <cellStyle name="Followed Hyperlink" xfId="8210" builtinId="9" hidden="1"/>
    <cellStyle name="Followed Hyperlink" xfId="8212" builtinId="9" hidden="1"/>
    <cellStyle name="Followed Hyperlink" xfId="8214" builtinId="9" hidden="1"/>
    <cellStyle name="Followed Hyperlink" xfId="8216" builtinId="9" hidden="1"/>
    <cellStyle name="Followed Hyperlink" xfId="8218" builtinId="9" hidden="1"/>
    <cellStyle name="Followed Hyperlink" xfId="8220" builtinId="9" hidden="1"/>
    <cellStyle name="Followed Hyperlink" xfId="8222" builtinId="9" hidden="1"/>
    <cellStyle name="Followed Hyperlink" xfId="8224" builtinId="9" hidden="1"/>
    <cellStyle name="Followed Hyperlink" xfId="8226" builtinId="9" hidden="1"/>
    <cellStyle name="Followed Hyperlink" xfId="8228" builtinId="9" hidden="1"/>
    <cellStyle name="Followed Hyperlink" xfId="8230" builtinId="9" hidden="1"/>
    <cellStyle name="Followed Hyperlink" xfId="8232" builtinId="9" hidden="1"/>
    <cellStyle name="Followed Hyperlink" xfId="8234" builtinId="9" hidden="1"/>
    <cellStyle name="Followed Hyperlink" xfId="8236" builtinId="9" hidden="1"/>
    <cellStyle name="Followed Hyperlink" xfId="8238" builtinId="9" hidden="1"/>
    <cellStyle name="Followed Hyperlink" xfId="8240" builtinId="9" hidden="1"/>
    <cellStyle name="Followed Hyperlink" xfId="8242" builtinId="9" hidden="1"/>
    <cellStyle name="Followed Hyperlink" xfId="8244" builtinId="9" hidden="1"/>
    <cellStyle name="Followed Hyperlink" xfId="8246" builtinId="9" hidden="1"/>
    <cellStyle name="Followed Hyperlink" xfId="8248" builtinId="9" hidden="1"/>
    <cellStyle name="Followed Hyperlink" xfId="8250" builtinId="9" hidden="1"/>
    <cellStyle name="Followed Hyperlink" xfId="8252" builtinId="9" hidden="1"/>
    <cellStyle name="Followed Hyperlink" xfId="8254" builtinId="9" hidden="1"/>
    <cellStyle name="Followed Hyperlink" xfId="8256" builtinId="9" hidden="1"/>
    <cellStyle name="Followed Hyperlink" xfId="8258" builtinId="9" hidden="1"/>
    <cellStyle name="Followed Hyperlink" xfId="8260" builtinId="9" hidden="1"/>
    <cellStyle name="Followed Hyperlink" xfId="8262" builtinId="9" hidden="1"/>
    <cellStyle name="Followed Hyperlink" xfId="8264" builtinId="9" hidden="1"/>
    <cellStyle name="Followed Hyperlink" xfId="8266" builtinId="9" hidden="1"/>
    <cellStyle name="Followed Hyperlink" xfId="8268" builtinId="9" hidden="1"/>
    <cellStyle name="Followed Hyperlink" xfId="8270" builtinId="9" hidden="1"/>
    <cellStyle name="Followed Hyperlink" xfId="8272" builtinId="9" hidden="1"/>
    <cellStyle name="Followed Hyperlink" xfId="8274" builtinId="9" hidden="1"/>
    <cellStyle name="Followed Hyperlink" xfId="8276" builtinId="9" hidden="1"/>
    <cellStyle name="Followed Hyperlink" xfId="8278" builtinId="9" hidden="1"/>
    <cellStyle name="Followed Hyperlink" xfId="8280" builtinId="9" hidden="1"/>
    <cellStyle name="Followed Hyperlink" xfId="8282" builtinId="9" hidden="1"/>
    <cellStyle name="Followed Hyperlink" xfId="8284" builtinId="9" hidden="1"/>
    <cellStyle name="Followed Hyperlink" xfId="8286" builtinId="9" hidden="1"/>
    <cellStyle name="Followed Hyperlink" xfId="8288" builtinId="9" hidden="1"/>
    <cellStyle name="Followed Hyperlink" xfId="8290" builtinId="9" hidden="1"/>
    <cellStyle name="Followed Hyperlink" xfId="8292" builtinId="9" hidden="1"/>
    <cellStyle name="Followed Hyperlink" xfId="8294" builtinId="9" hidden="1"/>
    <cellStyle name="Followed Hyperlink" xfId="8296" builtinId="9" hidden="1"/>
    <cellStyle name="Followed Hyperlink" xfId="8298" builtinId="9" hidden="1"/>
    <cellStyle name="Followed Hyperlink" xfId="8300" builtinId="9" hidden="1"/>
    <cellStyle name="Followed Hyperlink" xfId="8302" builtinId="9" hidden="1"/>
    <cellStyle name="Followed Hyperlink" xfId="8304" builtinId="9" hidden="1"/>
    <cellStyle name="Followed Hyperlink" xfId="8306" builtinId="9" hidden="1"/>
    <cellStyle name="Followed Hyperlink" xfId="8308" builtinId="9" hidden="1"/>
    <cellStyle name="Followed Hyperlink" xfId="8310" builtinId="9" hidden="1"/>
    <cellStyle name="Followed Hyperlink" xfId="8312" builtinId="9" hidden="1"/>
    <cellStyle name="Followed Hyperlink" xfId="8314" builtinId="9" hidden="1"/>
    <cellStyle name="Followed Hyperlink" xfId="8316" builtinId="9" hidden="1"/>
    <cellStyle name="Followed Hyperlink" xfId="8318" builtinId="9" hidden="1"/>
    <cellStyle name="Followed Hyperlink" xfId="8320" builtinId="9" hidden="1"/>
    <cellStyle name="Followed Hyperlink" xfId="8322" builtinId="9" hidden="1"/>
    <cellStyle name="Followed Hyperlink" xfId="8324" builtinId="9" hidden="1"/>
    <cellStyle name="Followed Hyperlink" xfId="8326" builtinId="9" hidden="1"/>
    <cellStyle name="Followed Hyperlink" xfId="8328" builtinId="9" hidden="1"/>
    <cellStyle name="Followed Hyperlink" xfId="8330" builtinId="9" hidden="1"/>
    <cellStyle name="Followed Hyperlink" xfId="8332" builtinId="9" hidden="1"/>
    <cellStyle name="Followed Hyperlink" xfId="8334" builtinId="9" hidden="1"/>
    <cellStyle name="Followed Hyperlink" xfId="8336" builtinId="9" hidden="1"/>
    <cellStyle name="Followed Hyperlink" xfId="8338" builtinId="9" hidden="1"/>
    <cellStyle name="Followed Hyperlink" xfId="8340" builtinId="9" hidden="1"/>
    <cellStyle name="Followed Hyperlink" xfId="8342" builtinId="9" hidden="1"/>
    <cellStyle name="Followed Hyperlink" xfId="8344" builtinId="9" hidden="1"/>
    <cellStyle name="Followed Hyperlink" xfId="8346" builtinId="9" hidden="1"/>
    <cellStyle name="Followed Hyperlink" xfId="8348" builtinId="9" hidden="1"/>
    <cellStyle name="Followed Hyperlink" xfId="8350" builtinId="9" hidden="1"/>
    <cellStyle name="Followed Hyperlink" xfId="8352" builtinId="9" hidden="1"/>
    <cellStyle name="Followed Hyperlink" xfId="8354" builtinId="9" hidden="1"/>
    <cellStyle name="Followed Hyperlink" xfId="8356" builtinId="9" hidden="1"/>
    <cellStyle name="Followed Hyperlink" xfId="8358" builtinId="9" hidden="1"/>
    <cellStyle name="Followed Hyperlink" xfId="8360" builtinId="9" hidden="1"/>
    <cellStyle name="Followed Hyperlink" xfId="8362" builtinId="9" hidden="1"/>
    <cellStyle name="Followed Hyperlink" xfId="8364" builtinId="9" hidden="1"/>
    <cellStyle name="Followed Hyperlink" xfId="8366" builtinId="9" hidden="1"/>
    <cellStyle name="Followed Hyperlink" xfId="8368" builtinId="9" hidden="1"/>
    <cellStyle name="Followed Hyperlink" xfId="8370" builtinId="9" hidden="1"/>
    <cellStyle name="Followed Hyperlink" xfId="8372" builtinId="9" hidden="1"/>
    <cellStyle name="Followed Hyperlink" xfId="8374" builtinId="9" hidden="1"/>
    <cellStyle name="Followed Hyperlink" xfId="8376" builtinId="9" hidden="1"/>
    <cellStyle name="Followed Hyperlink" xfId="8378" builtinId="9" hidden="1"/>
    <cellStyle name="Followed Hyperlink" xfId="8380" builtinId="9" hidden="1"/>
    <cellStyle name="Followed Hyperlink" xfId="8382" builtinId="9" hidden="1"/>
    <cellStyle name="Followed Hyperlink" xfId="8384" builtinId="9" hidden="1"/>
    <cellStyle name="Followed Hyperlink" xfId="8386" builtinId="9" hidden="1"/>
    <cellStyle name="Followed Hyperlink" xfId="8388" builtinId="9" hidden="1"/>
    <cellStyle name="Followed Hyperlink" xfId="8390" builtinId="9" hidden="1"/>
    <cellStyle name="Followed Hyperlink" xfId="8392" builtinId="9" hidden="1"/>
    <cellStyle name="Followed Hyperlink" xfId="8394" builtinId="9" hidden="1"/>
    <cellStyle name="Followed Hyperlink" xfId="8396" builtinId="9" hidden="1"/>
    <cellStyle name="Followed Hyperlink" xfId="8398" builtinId="9" hidden="1"/>
    <cellStyle name="Followed Hyperlink" xfId="8400" builtinId="9" hidden="1"/>
    <cellStyle name="Followed Hyperlink" xfId="8402" builtinId="9" hidden="1"/>
    <cellStyle name="Followed Hyperlink" xfId="8404" builtinId="9" hidden="1"/>
    <cellStyle name="Followed Hyperlink" xfId="8406" builtinId="9" hidden="1"/>
    <cellStyle name="Followed Hyperlink" xfId="8408" builtinId="9" hidden="1"/>
    <cellStyle name="Followed Hyperlink" xfId="8410" builtinId="9" hidden="1"/>
    <cellStyle name="Followed Hyperlink" xfId="8412" builtinId="9" hidden="1"/>
    <cellStyle name="Followed Hyperlink" xfId="8414" builtinId="9" hidden="1"/>
    <cellStyle name="Followed Hyperlink" xfId="8416" builtinId="9" hidden="1"/>
    <cellStyle name="Followed Hyperlink" xfId="8418" builtinId="9" hidden="1"/>
    <cellStyle name="Followed Hyperlink" xfId="8420" builtinId="9" hidden="1"/>
    <cellStyle name="Followed Hyperlink" xfId="8422" builtinId="9" hidden="1"/>
    <cellStyle name="Followed Hyperlink" xfId="8424" builtinId="9" hidden="1"/>
    <cellStyle name="Followed Hyperlink" xfId="8426" builtinId="9" hidden="1"/>
    <cellStyle name="Followed Hyperlink" xfId="8428" builtinId="9" hidden="1"/>
    <cellStyle name="Followed Hyperlink" xfId="8430" builtinId="9" hidden="1"/>
    <cellStyle name="Followed Hyperlink" xfId="8432" builtinId="9" hidden="1"/>
    <cellStyle name="Followed Hyperlink" xfId="8434" builtinId="9" hidden="1"/>
    <cellStyle name="Followed Hyperlink" xfId="8436" builtinId="9" hidden="1"/>
    <cellStyle name="Followed Hyperlink" xfId="8438" builtinId="9" hidden="1"/>
    <cellStyle name="Followed Hyperlink" xfId="8440" builtinId="9" hidden="1"/>
    <cellStyle name="Followed Hyperlink" xfId="8442" builtinId="9" hidden="1"/>
    <cellStyle name="Followed Hyperlink" xfId="8444" builtinId="9" hidden="1"/>
    <cellStyle name="Followed Hyperlink" xfId="8446" builtinId="9" hidden="1"/>
    <cellStyle name="Followed Hyperlink" xfId="8448" builtinId="9" hidden="1"/>
    <cellStyle name="Followed Hyperlink" xfId="8450" builtinId="9" hidden="1"/>
    <cellStyle name="Followed Hyperlink" xfId="8452" builtinId="9" hidden="1"/>
    <cellStyle name="Followed Hyperlink" xfId="8454" builtinId="9" hidden="1"/>
    <cellStyle name="Followed Hyperlink" xfId="8456" builtinId="9" hidden="1"/>
    <cellStyle name="Followed Hyperlink" xfId="8458" builtinId="9" hidden="1"/>
    <cellStyle name="Followed Hyperlink" xfId="8460" builtinId="9" hidden="1"/>
    <cellStyle name="Followed Hyperlink" xfId="8462" builtinId="9" hidden="1"/>
    <cellStyle name="Followed Hyperlink" xfId="8464" builtinId="9" hidden="1"/>
    <cellStyle name="Followed Hyperlink" xfId="8466" builtinId="9" hidden="1"/>
    <cellStyle name="Followed Hyperlink" xfId="8468" builtinId="9" hidden="1"/>
    <cellStyle name="Followed Hyperlink" xfId="8470" builtinId="9" hidden="1"/>
    <cellStyle name="Followed Hyperlink" xfId="8472" builtinId="9" hidden="1"/>
    <cellStyle name="Followed Hyperlink" xfId="8474" builtinId="9" hidden="1"/>
    <cellStyle name="Followed Hyperlink" xfId="8476" builtinId="9" hidden="1"/>
    <cellStyle name="Followed Hyperlink" xfId="8478" builtinId="9" hidden="1"/>
    <cellStyle name="Followed Hyperlink" xfId="8480" builtinId="9" hidden="1"/>
    <cellStyle name="Followed Hyperlink" xfId="8482" builtinId="9" hidden="1"/>
    <cellStyle name="Followed Hyperlink" xfId="8484" builtinId="9" hidden="1"/>
    <cellStyle name="Followed Hyperlink" xfId="8486" builtinId="9" hidden="1"/>
    <cellStyle name="Followed Hyperlink" xfId="8488" builtinId="9" hidden="1"/>
    <cellStyle name="Followed Hyperlink" xfId="8490" builtinId="9" hidden="1"/>
    <cellStyle name="Followed Hyperlink" xfId="8492" builtinId="9" hidden="1"/>
    <cellStyle name="Followed Hyperlink" xfId="8494" builtinId="9" hidden="1"/>
    <cellStyle name="Followed Hyperlink" xfId="8496" builtinId="9" hidden="1"/>
    <cellStyle name="Followed Hyperlink" xfId="8498" builtinId="9" hidden="1"/>
    <cellStyle name="Followed Hyperlink" xfId="8500" builtinId="9" hidden="1"/>
    <cellStyle name="Followed Hyperlink" xfId="8502" builtinId="9" hidden="1"/>
    <cellStyle name="Followed Hyperlink" xfId="8504" builtinId="9" hidden="1"/>
    <cellStyle name="Followed Hyperlink" xfId="8506" builtinId="9" hidden="1"/>
    <cellStyle name="Followed Hyperlink" xfId="8508" builtinId="9" hidden="1"/>
    <cellStyle name="Followed Hyperlink" xfId="8510" builtinId="9" hidden="1"/>
    <cellStyle name="Followed Hyperlink" xfId="8512" builtinId="9" hidden="1"/>
    <cellStyle name="Followed Hyperlink" xfId="8514" builtinId="9" hidden="1"/>
    <cellStyle name="Followed Hyperlink" xfId="8516" builtinId="9" hidden="1"/>
    <cellStyle name="Followed Hyperlink" xfId="8518" builtinId="9" hidden="1"/>
    <cellStyle name="Followed Hyperlink" xfId="8520" builtinId="9" hidden="1"/>
    <cellStyle name="Followed Hyperlink" xfId="8522" builtinId="9" hidden="1"/>
    <cellStyle name="Followed Hyperlink" xfId="8524" builtinId="9" hidden="1"/>
    <cellStyle name="Followed Hyperlink" xfId="8526" builtinId="9" hidden="1"/>
    <cellStyle name="Followed Hyperlink" xfId="8528" builtinId="9" hidden="1"/>
    <cellStyle name="Followed Hyperlink" xfId="8530" builtinId="9" hidden="1"/>
    <cellStyle name="Followed Hyperlink" xfId="8532" builtinId="9" hidden="1"/>
    <cellStyle name="Followed Hyperlink" xfId="8534" builtinId="9" hidden="1"/>
    <cellStyle name="Followed Hyperlink" xfId="8536" builtinId="9" hidden="1"/>
    <cellStyle name="Followed Hyperlink" xfId="8538" builtinId="9" hidden="1"/>
    <cellStyle name="Followed Hyperlink" xfId="8540" builtinId="9" hidden="1"/>
    <cellStyle name="Followed Hyperlink" xfId="8542" builtinId="9" hidden="1"/>
    <cellStyle name="Followed Hyperlink" xfId="8544" builtinId="9" hidden="1"/>
    <cellStyle name="Followed Hyperlink" xfId="8546" builtinId="9" hidden="1"/>
    <cellStyle name="Followed Hyperlink" xfId="8548" builtinId="9" hidden="1"/>
    <cellStyle name="Followed Hyperlink" xfId="8550" builtinId="9" hidden="1"/>
    <cellStyle name="Followed Hyperlink" xfId="8552" builtinId="9" hidden="1"/>
    <cellStyle name="Followed Hyperlink" xfId="8554" builtinId="9" hidden="1"/>
    <cellStyle name="Followed Hyperlink" xfId="8556" builtinId="9" hidden="1"/>
    <cellStyle name="Followed Hyperlink" xfId="8558" builtinId="9" hidden="1"/>
    <cellStyle name="Followed Hyperlink" xfId="8560" builtinId="9" hidden="1"/>
    <cellStyle name="Followed Hyperlink" xfId="8562" builtinId="9" hidden="1"/>
    <cellStyle name="Followed Hyperlink" xfId="8564" builtinId="9" hidden="1"/>
    <cellStyle name="Followed Hyperlink" xfId="8566" builtinId="9" hidden="1"/>
    <cellStyle name="Followed Hyperlink" xfId="8568" builtinId="9" hidden="1"/>
    <cellStyle name="Followed Hyperlink" xfId="8570" builtinId="9" hidden="1"/>
    <cellStyle name="Followed Hyperlink" xfId="8572" builtinId="9" hidden="1"/>
    <cellStyle name="Followed Hyperlink" xfId="8574" builtinId="9" hidden="1"/>
    <cellStyle name="Followed Hyperlink" xfId="8576" builtinId="9" hidden="1"/>
    <cellStyle name="Followed Hyperlink" xfId="8578" builtinId="9" hidden="1"/>
    <cellStyle name="Followed Hyperlink" xfId="8580" builtinId="9" hidden="1"/>
    <cellStyle name="Followed Hyperlink" xfId="8582" builtinId="9" hidden="1"/>
    <cellStyle name="Followed Hyperlink" xfId="8584" builtinId="9" hidden="1"/>
    <cellStyle name="Followed Hyperlink" xfId="8586" builtinId="9" hidden="1"/>
    <cellStyle name="Followed Hyperlink" xfId="8588" builtinId="9" hidden="1"/>
    <cellStyle name="Followed Hyperlink" xfId="8590" builtinId="9" hidden="1"/>
    <cellStyle name="Followed Hyperlink" xfId="8592" builtinId="9" hidden="1"/>
    <cellStyle name="Followed Hyperlink" xfId="8594" builtinId="9" hidden="1"/>
    <cellStyle name="Followed Hyperlink" xfId="8596" builtinId="9" hidden="1"/>
    <cellStyle name="Followed Hyperlink" xfId="8598" builtinId="9" hidden="1"/>
    <cellStyle name="Followed Hyperlink" xfId="8600" builtinId="9" hidden="1"/>
    <cellStyle name="Followed Hyperlink" xfId="8602" builtinId="9" hidden="1"/>
    <cellStyle name="Followed Hyperlink" xfId="8604" builtinId="9" hidden="1"/>
    <cellStyle name="Followed Hyperlink" xfId="8606" builtinId="9" hidden="1"/>
    <cellStyle name="Followed Hyperlink" xfId="8608" builtinId="9" hidden="1"/>
    <cellStyle name="Followed Hyperlink" xfId="8610" builtinId="9" hidden="1"/>
    <cellStyle name="Followed Hyperlink" xfId="8612" builtinId="9" hidden="1"/>
    <cellStyle name="Followed Hyperlink" xfId="8614" builtinId="9" hidden="1"/>
    <cellStyle name="Followed Hyperlink" xfId="8616" builtinId="9" hidden="1"/>
    <cellStyle name="Followed Hyperlink" xfId="8618" builtinId="9" hidden="1"/>
    <cellStyle name="Followed Hyperlink" xfId="8620" builtinId="9" hidden="1"/>
    <cellStyle name="Followed Hyperlink" xfId="8622" builtinId="9" hidden="1"/>
    <cellStyle name="Followed Hyperlink" xfId="8624" builtinId="9" hidden="1"/>
    <cellStyle name="Followed Hyperlink" xfId="8626" builtinId="9" hidden="1"/>
    <cellStyle name="Followed Hyperlink" xfId="8628" builtinId="9" hidden="1"/>
    <cellStyle name="Followed Hyperlink" xfId="8630" builtinId="9" hidden="1"/>
    <cellStyle name="Followed Hyperlink" xfId="8632" builtinId="9" hidden="1"/>
    <cellStyle name="Followed Hyperlink" xfId="8634" builtinId="9" hidden="1"/>
    <cellStyle name="Followed Hyperlink" xfId="8636" builtinId="9" hidden="1"/>
    <cellStyle name="Followed Hyperlink" xfId="8638" builtinId="9" hidden="1"/>
    <cellStyle name="Followed Hyperlink" xfId="8640" builtinId="9" hidden="1"/>
    <cellStyle name="Followed Hyperlink" xfId="8642" builtinId="9" hidden="1"/>
    <cellStyle name="Followed Hyperlink" xfId="8644" builtinId="9" hidden="1"/>
    <cellStyle name="Followed Hyperlink" xfId="8646" builtinId="9" hidden="1"/>
    <cellStyle name="Followed Hyperlink" xfId="8648" builtinId="9" hidden="1"/>
    <cellStyle name="Followed Hyperlink" xfId="8650" builtinId="9" hidden="1"/>
    <cellStyle name="Followed Hyperlink" xfId="8652" builtinId="9" hidden="1"/>
    <cellStyle name="Followed Hyperlink" xfId="8654" builtinId="9" hidden="1"/>
    <cellStyle name="Followed Hyperlink" xfId="8656" builtinId="9" hidden="1"/>
    <cellStyle name="Followed Hyperlink" xfId="8658" builtinId="9" hidden="1"/>
    <cellStyle name="Followed Hyperlink" xfId="8660" builtinId="9" hidden="1"/>
    <cellStyle name="Followed Hyperlink" xfId="8662" builtinId="9" hidden="1"/>
    <cellStyle name="Followed Hyperlink" xfId="8664" builtinId="9" hidden="1"/>
    <cellStyle name="Followed Hyperlink" xfId="8666" builtinId="9" hidden="1"/>
    <cellStyle name="Followed Hyperlink" xfId="8668" builtinId="9" hidden="1"/>
    <cellStyle name="Followed Hyperlink" xfId="8670" builtinId="9" hidden="1"/>
    <cellStyle name="Followed Hyperlink" xfId="8672" builtinId="9" hidden="1"/>
    <cellStyle name="Followed Hyperlink" xfId="8674" builtinId="9" hidden="1"/>
    <cellStyle name="Followed Hyperlink" xfId="8676" builtinId="9" hidden="1"/>
    <cellStyle name="Followed Hyperlink" xfId="8678" builtinId="9" hidden="1"/>
    <cellStyle name="Followed Hyperlink" xfId="8680" builtinId="9" hidden="1"/>
    <cellStyle name="Followed Hyperlink" xfId="8682" builtinId="9" hidden="1"/>
    <cellStyle name="Followed Hyperlink" xfId="8684" builtinId="9" hidden="1"/>
    <cellStyle name="Followed Hyperlink" xfId="8686" builtinId="9" hidden="1"/>
    <cellStyle name="Followed Hyperlink" xfId="8688" builtinId="9" hidden="1"/>
    <cellStyle name="Followed Hyperlink" xfId="8690" builtinId="9" hidden="1"/>
    <cellStyle name="Followed Hyperlink" xfId="8692" builtinId="9" hidden="1"/>
    <cellStyle name="Followed Hyperlink" xfId="8694" builtinId="9" hidden="1"/>
    <cellStyle name="Followed Hyperlink" xfId="8696" builtinId="9" hidden="1"/>
    <cellStyle name="Followed Hyperlink" xfId="8698" builtinId="9" hidden="1"/>
    <cellStyle name="Followed Hyperlink" xfId="8700" builtinId="9" hidden="1"/>
    <cellStyle name="Followed Hyperlink" xfId="8702" builtinId="9" hidden="1"/>
    <cellStyle name="Followed Hyperlink" xfId="8704" builtinId="9" hidden="1"/>
    <cellStyle name="Followed Hyperlink" xfId="8706" builtinId="9" hidden="1"/>
    <cellStyle name="Followed Hyperlink" xfId="8708" builtinId="9" hidden="1"/>
    <cellStyle name="Followed Hyperlink" xfId="8710" builtinId="9" hidden="1"/>
    <cellStyle name="Followed Hyperlink" xfId="8712" builtinId="9" hidden="1"/>
    <cellStyle name="Followed Hyperlink" xfId="8714" builtinId="9" hidden="1"/>
    <cellStyle name="Followed Hyperlink" xfId="8716" builtinId="9" hidden="1"/>
    <cellStyle name="Followed Hyperlink" xfId="8718" builtinId="9" hidden="1"/>
    <cellStyle name="Followed Hyperlink" xfId="8720" builtinId="9" hidden="1"/>
    <cellStyle name="Followed Hyperlink" xfId="8722" builtinId="9" hidden="1"/>
    <cellStyle name="Followed Hyperlink" xfId="8724" builtinId="9" hidden="1"/>
    <cellStyle name="Followed Hyperlink" xfId="8726" builtinId="9" hidden="1"/>
    <cellStyle name="Followed Hyperlink" xfId="8728" builtinId="9" hidden="1"/>
    <cellStyle name="Followed Hyperlink" xfId="8730" builtinId="9" hidden="1"/>
    <cellStyle name="Followed Hyperlink" xfId="8732" builtinId="9" hidden="1"/>
    <cellStyle name="Followed Hyperlink" xfId="8734" builtinId="9" hidden="1"/>
    <cellStyle name="Followed Hyperlink" xfId="8736" builtinId="9" hidden="1"/>
    <cellStyle name="Followed Hyperlink" xfId="8738" builtinId="9" hidden="1"/>
    <cellStyle name="Followed Hyperlink" xfId="8740" builtinId="9" hidden="1"/>
    <cellStyle name="Followed Hyperlink" xfId="8742" builtinId="9" hidden="1"/>
    <cellStyle name="Followed Hyperlink" xfId="8744" builtinId="9" hidden="1"/>
    <cellStyle name="Followed Hyperlink" xfId="8746" builtinId="9" hidden="1"/>
    <cellStyle name="Followed Hyperlink" xfId="8748" builtinId="9" hidden="1"/>
    <cellStyle name="Followed Hyperlink" xfId="8750" builtinId="9" hidden="1"/>
    <cellStyle name="Followed Hyperlink" xfId="8752" builtinId="9" hidden="1"/>
    <cellStyle name="Followed Hyperlink" xfId="8754" builtinId="9" hidden="1"/>
    <cellStyle name="Followed Hyperlink" xfId="8756" builtinId="9" hidden="1"/>
    <cellStyle name="Followed Hyperlink" xfId="8758" builtinId="9" hidden="1"/>
    <cellStyle name="Followed Hyperlink" xfId="8760" builtinId="9" hidden="1"/>
    <cellStyle name="Followed Hyperlink" xfId="8762" builtinId="9" hidden="1"/>
    <cellStyle name="Followed Hyperlink" xfId="8764" builtinId="9" hidden="1"/>
    <cellStyle name="Followed Hyperlink" xfId="8766" builtinId="9" hidden="1"/>
    <cellStyle name="Followed Hyperlink" xfId="8768" builtinId="9" hidden="1"/>
    <cellStyle name="Followed Hyperlink" xfId="8770" builtinId="9" hidden="1"/>
    <cellStyle name="Followed Hyperlink" xfId="8772" builtinId="9" hidden="1"/>
    <cellStyle name="Followed Hyperlink" xfId="8774" builtinId="9" hidden="1"/>
    <cellStyle name="Followed Hyperlink" xfId="8776" builtinId="9" hidden="1"/>
    <cellStyle name="Followed Hyperlink" xfId="8778" builtinId="9" hidden="1"/>
    <cellStyle name="Followed Hyperlink" xfId="8780" builtinId="9" hidden="1"/>
    <cellStyle name="Followed Hyperlink" xfId="8782" builtinId="9" hidden="1"/>
    <cellStyle name="Followed Hyperlink" xfId="8784" builtinId="9" hidden="1"/>
    <cellStyle name="Followed Hyperlink" xfId="8786" builtinId="9" hidden="1"/>
    <cellStyle name="Followed Hyperlink" xfId="8788" builtinId="9" hidden="1"/>
    <cellStyle name="Followed Hyperlink" xfId="8790" builtinId="9" hidden="1"/>
    <cellStyle name="Followed Hyperlink" xfId="8792" builtinId="9" hidden="1"/>
    <cellStyle name="Followed Hyperlink" xfId="8794" builtinId="9" hidden="1"/>
    <cellStyle name="Followed Hyperlink" xfId="8796" builtinId="9" hidden="1"/>
    <cellStyle name="Followed Hyperlink" xfId="8798" builtinId="9" hidden="1"/>
    <cellStyle name="Followed Hyperlink" xfId="8800" builtinId="9" hidden="1"/>
    <cellStyle name="Followed Hyperlink" xfId="8802" builtinId="9" hidden="1"/>
    <cellStyle name="Followed Hyperlink" xfId="8804" builtinId="9" hidden="1"/>
    <cellStyle name="Followed Hyperlink" xfId="8806" builtinId="9" hidden="1"/>
    <cellStyle name="Followed Hyperlink" xfId="8808" builtinId="9" hidden="1"/>
    <cellStyle name="Followed Hyperlink" xfId="8810" builtinId="9" hidden="1"/>
    <cellStyle name="Followed Hyperlink" xfId="8812" builtinId="9" hidden="1"/>
    <cellStyle name="Followed Hyperlink" xfId="8814" builtinId="9" hidden="1"/>
    <cellStyle name="Followed Hyperlink" xfId="8816" builtinId="9" hidden="1"/>
    <cellStyle name="Followed Hyperlink" xfId="8818" builtinId="9" hidden="1"/>
    <cellStyle name="Followed Hyperlink" xfId="8820" builtinId="9" hidden="1"/>
    <cellStyle name="Followed Hyperlink" xfId="8822" builtinId="9" hidden="1"/>
    <cellStyle name="Followed Hyperlink" xfId="8824" builtinId="9" hidden="1"/>
    <cellStyle name="Followed Hyperlink" xfId="8826" builtinId="9" hidden="1"/>
    <cellStyle name="Followed Hyperlink" xfId="8828" builtinId="9" hidden="1"/>
    <cellStyle name="Followed Hyperlink" xfId="8830" builtinId="9" hidden="1"/>
    <cellStyle name="Followed Hyperlink" xfId="8832" builtinId="9" hidden="1"/>
    <cellStyle name="Followed Hyperlink" xfId="8834" builtinId="9" hidden="1"/>
    <cellStyle name="Followed Hyperlink" xfId="8836" builtinId="9" hidden="1"/>
    <cellStyle name="Followed Hyperlink" xfId="8838" builtinId="9" hidden="1"/>
    <cellStyle name="Followed Hyperlink" xfId="8840" builtinId="9" hidden="1"/>
    <cellStyle name="Followed Hyperlink" xfId="8842" builtinId="9" hidden="1"/>
    <cellStyle name="Followed Hyperlink" xfId="8844" builtinId="9" hidden="1"/>
    <cellStyle name="Followed Hyperlink" xfId="8846" builtinId="9" hidden="1"/>
    <cellStyle name="Followed Hyperlink" xfId="8848" builtinId="9" hidden="1"/>
    <cellStyle name="Followed Hyperlink" xfId="8850" builtinId="9" hidden="1"/>
    <cellStyle name="Followed Hyperlink" xfId="8852" builtinId="9" hidden="1"/>
    <cellStyle name="Followed Hyperlink" xfId="8854" builtinId="9" hidden="1"/>
    <cellStyle name="Followed Hyperlink" xfId="8856" builtinId="9" hidden="1"/>
    <cellStyle name="Followed Hyperlink" xfId="8858" builtinId="9" hidden="1"/>
    <cellStyle name="Followed Hyperlink" xfId="8860" builtinId="9" hidden="1"/>
    <cellStyle name="Followed Hyperlink" xfId="8862" builtinId="9" hidden="1"/>
    <cellStyle name="Followed Hyperlink" xfId="8864" builtinId="9" hidden="1"/>
    <cellStyle name="Followed Hyperlink" xfId="8866" builtinId="9" hidden="1"/>
    <cellStyle name="Followed Hyperlink" xfId="8868" builtinId="9" hidden="1"/>
    <cellStyle name="Followed Hyperlink" xfId="8870" builtinId="9" hidden="1"/>
    <cellStyle name="Followed Hyperlink" xfId="8872" builtinId="9" hidden="1"/>
    <cellStyle name="Followed Hyperlink" xfId="8874" builtinId="9" hidden="1"/>
    <cellStyle name="Followed Hyperlink" xfId="8876" builtinId="9" hidden="1"/>
    <cellStyle name="Followed Hyperlink" xfId="8878" builtinId="9" hidden="1"/>
    <cellStyle name="Followed Hyperlink" xfId="8880" builtinId="9" hidden="1"/>
    <cellStyle name="Followed Hyperlink" xfId="8882" builtinId="9" hidden="1"/>
    <cellStyle name="Followed Hyperlink" xfId="8884" builtinId="9" hidden="1"/>
    <cellStyle name="Followed Hyperlink" xfId="8886" builtinId="9" hidden="1"/>
    <cellStyle name="Followed Hyperlink" xfId="8888" builtinId="9" hidden="1"/>
    <cellStyle name="Followed Hyperlink" xfId="8890" builtinId="9" hidden="1"/>
    <cellStyle name="Followed Hyperlink" xfId="8892" builtinId="9" hidden="1"/>
    <cellStyle name="Followed Hyperlink" xfId="8894" builtinId="9" hidden="1"/>
    <cellStyle name="Followed Hyperlink" xfId="8896" builtinId="9" hidden="1"/>
    <cellStyle name="Followed Hyperlink" xfId="8898" builtinId="9" hidden="1"/>
    <cellStyle name="Followed Hyperlink" xfId="8900" builtinId="9" hidden="1"/>
    <cellStyle name="Followed Hyperlink" xfId="8902" builtinId="9" hidden="1"/>
    <cellStyle name="Followed Hyperlink" xfId="8904" builtinId="9" hidden="1"/>
    <cellStyle name="Followed Hyperlink" xfId="8906" builtinId="9" hidden="1"/>
    <cellStyle name="Followed Hyperlink" xfId="8908" builtinId="9" hidden="1"/>
    <cellStyle name="Followed Hyperlink" xfId="8910" builtinId="9" hidden="1"/>
    <cellStyle name="Followed Hyperlink" xfId="8912" builtinId="9" hidden="1"/>
    <cellStyle name="Followed Hyperlink" xfId="8914" builtinId="9" hidden="1"/>
    <cellStyle name="Followed Hyperlink" xfId="8916" builtinId="9" hidden="1"/>
    <cellStyle name="Followed Hyperlink" xfId="8918" builtinId="9" hidden="1"/>
    <cellStyle name="Followed Hyperlink" xfId="8920" builtinId="9" hidden="1"/>
    <cellStyle name="Followed Hyperlink" xfId="8922" builtinId="9" hidden="1"/>
    <cellStyle name="Followed Hyperlink" xfId="8924" builtinId="9" hidden="1"/>
    <cellStyle name="Followed Hyperlink" xfId="8926" builtinId="9" hidden="1"/>
    <cellStyle name="Followed Hyperlink" xfId="8928" builtinId="9" hidden="1"/>
    <cellStyle name="Followed Hyperlink" xfId="8930" builtinId="9" hidden="1"/>
    <cellStyle name="Followed Hyperlink" xfId="8932" builtinId="9" hidden="1"/>
    <cellStyle name="Followed Hyperlink" xfId="8934" builtinId="9" hidden="1"/>
    <cellStyle name="Followed Hyperlink" xfId="8936" builtinId="9" hidden="1"/>
    <cellStyle name="Followed Hyperlink" xfId="8938" builtinId="9" hidden="1"/>
    <cellStyle name="Followed Hyperlink" xfId="8940" builtinId="9" hidden="1"/>
    <cellStyle name="Followed Hyperlink" xfId="8942" builtinId="9" hidden="1"/>
    <cellStyle name="Followed Hyperlink" xfId="8944" builtinId="9" hidden="1"/>
    <cellStyle name="Followed Hyperlink" xfId="8946" builtinId="9" hidden="1"/>
    <cellStyle name="Followed Hyperlink" xfId="8948" builtinId="9" hidden="1"/>
    <cellStyle name="Followed Hyperlink" xfId="8950" builtinId="9" hidden="1"/>
    <cellStyle name="Followed Hyperlink" xfId="8952" builtinId="9" hidden="1"/>
    <cellStyle name="Followed Hyperlink" xfId="8954" builtinId="9" hidden="1"/>
    <cellStyle name="Followed Hyperlink" xfId="8956" builtinId="9" hidden="1"/>
    <cellStyle name="Followed Hyperlink" xfId="8958" builtinId="9" hidden="1"/>
    <cellStyle name="Followed Hyperlink" xfId="8960" builtinId="9" hidden="1"/>
    <cellStyle name="Followed Hyperlink" xfId="8962" builtinId="9" hidden="1"/>
    <cellStyle name="Followed Hyperlink" xfId="8964" builtinId="9" hidden="1"/>
    <cellStyle name="Followed Hyperlink" xfId="8966" builtinId="9" hidden="1"/>
    <cellStyle name="Followed Hyperlink" xfId="8968" builtinId="9" hidden="1"/>
    <cellStyle name="Followed Hyperlink" xfId="8970" builtinId="9" hidden="1"/>
    <cellStyle name="Followed Hyperlink" xfId="8972" builtinId="9" hidden="1"/>
    <cellStyle name="Followed Hyperlink" xfId="8974" builtinId="9" hidden="1"/>
    <cellStyle name="Followed Hyperlink" xfId="8976" builtinId="9" hidden="1"/>
    <cellStyle name="Followed Hyperlink" xfId="8978" builtinId="9" hidden="1"/>
    <cellStyle name="Followed Hyperlink" xfId="8980" builtinId="9" hidden="1"/>
    <cellStyle name="Followed Hyperlink" xfId="8982" builtinId="9" hidden="1"/>
    <cellStyle name="Followed Hyperlink" xfId="8984" builtinId="9" hidden="1"/>
    <cellStyle name="Followed Hyperlink" xfId="8986" builtinId="9" hidden="1"/>
    <cellStyle name="Followed Hyperlink" xfId="8988" builtinId="9" hidden="1"/>
    <cellStyle name="Followed Hyperlink" xfId="8990" builtinId="9" hidden="1"/>
    <cellStyle name="Followed Hyperlink" xfId="8992" builtinId="9" hidden="1"/>
    <cellStyle name="Followed Hyperlink" xfId="8994" builtinId="9" hidden="1"/>
    <cellStyle name="Followed Hyperlink" xfId="8996" builtinId="9" hidden="1"/>
    <cellStyle name="Followed Hyperlink" xfId="8998" builtinId="9" hidden="1"/>
    <cellStyle name="Followed Hyperlink" xfId="9000" builtinId="9" hidden="1"/>
    <cellStyle name="Followed Hyperlink" xfId="9002" builtinId="9" hidden="1"/>
    <cellStyle name="Followed Hyperlink" xfId="9004" builtinId="9" hidden="1"/>
    <cellStyle name="Followed Hyperlink" xfId="9006" builtinId="9" hidden="1"/>
    <cellStyle name="Followed Hyperlink" xfId="9008" builtinId="9" hidden="1"/>
    <cellStyle name="Followed Hyperlink" xfId="9010" builtinId="9" hidden="1"/>
    <cellStyle name="Followed Hyperlink" xfId="9012" builtinId="9" hidden="1"/>
    <cellStyle name="Followed Hyperlink" xfId="9014" builtinId="9" hidden="1"/>
    <cellStyle name="Followed Hyperlink" xfId="9016" builtinId="9" hidden="1"/>
    <cellStyle name="Followed Hyperlink" xfId="9018" builtinId="9" hidden="1"/>
    <cellStyle name="Followed Hyperlink" xfId="9020" builtinId="9" hidden="1"/>
    <cellStyle name="Followed Hyperlink" xfId="9022" builtinId="9" hidden="1"/>
    <cellStyle name="Followed Hyperlink" xfId="9024" builtinId="9" hidden="1"/>
    <cellStyle name="Followed Hyperlink" xfId="9026" builtinId="9" hidden="1"/>
    <cellStyle name="Followed Hyperlink" xfId="9028" builtinId="9" hidden="1"/>
    <cellStyle name="Followed Hyperlink" xfId="9030" builtinId="9" hidden="1"/>
    <cellStyle name="Followed Hyperlink" xfId="9032" builtinId="9" hidden="1"/>
    <cellStyle name="Followed Hyperlink" xfId="9034" builtinId="9" hidden="1"/>
    <cellStyle name="Followed Hyperlink" xfId="9036" builtinId="9" hidden="1"/>
    <cellStyle name="Followed Hyperlink" xfId="9038" builtinId="9" hidden="1"/>
    <cellStyle name="Followed Hyperlink" xfId="9040" builtinId="9" hidden="1"/>
    <cellStyle name="Followed Hyperlink" xfId="9042" builtinId="9" hidden="1"/>
    <cellStyle name="Followed Hyperlink" xfId="9044" builtinId="9" hidden="1"/>
    <cellStyle name="Followed Hyperlink" xfId="9046" builtinId="9" hidden="1"/>
    <cellStyle name="Followed Hyperlink" xfId="9048" builtinId="9" hidden="1"/>
    <cellStyle name="Followed Hyperlink" xfId="9050" builtinId="9" hidden="1"/>
    <cellStyle name="Followed Hyperlink" xfId="9052" builtinId="9" hidden="1"/>
    <cellStyle name="Followed Hyperlink" xfId="9054" builtinId="9" hidden="1"/>
    <cellStyle name="Followed Hyperlink" xfId="9056" builtinId="9" hidden="1"/>
    <cellStyle name="Followed Hyperlink" xfId="9058" builtinId="9" hidden="1"/>
    <cellStyle name="Followed Hyperlink" xfId="9060" builtinId="9" hidden="1"/>
    <cellStyle name="Followed Hyperlink" xfId="9062" builtinId="9" hidden="1"/>
    <cellStyle name="Followed Hyperlink" xfId="9064" builtinId="9" hidden="1"/>
    <cellStyle name="Followed Hyperlink" xfId="9066" builtinId="9" hidden="1"/>
    <cellStyle name="Followed Hyperlink" xfId="9068" builtinId="9" hidden="1"/>
    <cellStyle name="Followed Hyperlink" xfId="9070" builtinId="9" hidden="1"/>
    <cellStyle name="Followed Hyperlink" xfId="9072" builtinId="9" hidden="1"/>
    <cellStyle name="Followed Hyperlink" xfId="9074" builtinId="9" hidden="1"/>
    <cellStyle name="Followed Hyperlink" xfId="9076" builtinId="9" hidden="1"/>
    <cellStyle name="Followed Hyperlink" xfId="9078" builtinId="9" hidden="1"/>
    <cellStyle name="Followed Hyperlink" xfId="9080" builtinId="9" hidden="1"/>
    <cellStyle name="Followed Hyperlink" xfId="9082" builtinId="9" hidden="1"/>
    <cellStyle name="Followed Hyperlink" xfId="9084" builtinId="9" hidden="1"/>
    <cellStyle name="Followed Hyperlink" xfId="9086" builtinId="9" hidden="1"/>
    <cellStyle name="Followed Hyperlink" xfId="9088" builtinId="9" hidden="1"/>
    <cellStyle name="Followed Hyperlink" xfId="9090" builtinId="9" hidden="1"/>
    <cellStyle name="Followed Hyperlink" xfId="9092" builtinId="9" hidden="1"/>
    <cellStyle name="Followed Hyperlink" xfId="9094" builtinId="9" hidden="1"/>
    <cellStyle name="Followed Hyperlink" xfId="9096" builtinId="9" hidden="1"/>
    <cellStyle name="Followed Hyperlink" xfId="9098" builtinId="9" hidden="1"/>
    <cellStyle name="Followed Hyperlink" xfId="9100" builtinId="9" hidden="1"/>
    <cellStyle name="Followed Hyperlink" xfId="9102" builtinId="9" hidden="1"/>
    <cellStyle name="Followed Hyperlink" xfId="9104" builtinId="9" hidden="1"/>
    <cellStyle name="Followed Hyperlink" xfId="9106" builtinId="9" hidden="1"/>
    <cellStyle name="Followed Hyperlink" xfId="9108" builtinId="9" hidden="1"/>
    <cellStyle name="Followed Hyperlink" xfId="9110" builtinId="9" hidden="1"/>
    <cellStyle name="Followed Hyperlink" xfId="9112" builtinId="9" hidden="1"/>
    <cellStyle name="Followed Hyperlink" xfId="9114" builtinId="9" hidden="1"/>
    <cellStyle name="Followed Hyperlink" xfId="9116" builtinId="9" hidden="1"/>
    <cellStyle name="Followed Hyperlink" xfId="9118" builtinId="9" hidden="1"/>
    <cellStyle name="Followed Hyperlink" xfId="9120" builtinId="9" hidden="1"/>
    <cellStyle name="Followed Hyperlink" xfId="9122" builtinId="9" hidden="1"/>
    <cellStyle name="Followed Hyperlink" xfId="9124" builtinId="9" hidden="1"/>
    <cellStyle name="Followed Hyperlink" xfId="9126" builtinId="9" hidden="1"/>
    <cellStyle name="Followed Hyperlink" xfId="9128" builtinId="9" hidden="1"/>
    <cellStyle name="Followed Hyperlink" xfId="9130" builtinId="9" hidden="1"/>
    <cellStyle name="Followed Hyperlink" xfId="9132" builtinId="9" hidden="1"/>
    <cellStyle name="Followed Hyperlink" xfId="9134" builtinId="9" hidden="1"/>
    <cellStyle name="Followed Hyperlink" xfId="9136" builtinId="9" hidden="1"/>
    <cellStyle name="Followed Hyperlink" xfId="9138" builtinId="9" hidden="1"/>
    <cellStyle name="Followed Hyperlink" xfId="9140" builtinId="9" hidden="1"/>
    <cellStyle name="Followed Hyperlink" xfId="9142" builtinId="9" hidden="1"/>
    <cellStyle name="Followed Hyperlink" xfId="9144" builtinId="9" hidden="1"/>
    <cellStyle name="Followed Hyperlink" xfId="9146" builtinId="9" hidden="1"/>
    <cellStyle name="Followed Hyperlink" xfId="9148" builtinId="9" hidden="1"/>
    <cellStyle name="Followed Hyperlink" xfId="9150" builtinId="9" hidden="1"/>
    <cellStyle name="Followed Hyperlink" xfId="9152" builtinId="9" hidden="1"/>
    <cellStyle name="Followed Hyperlink" xfId="9154" builtinId="9" hidden="1"/>
    <cellStyle name="Followed Hyperlink" xfId="9156" builtinId="9" hidden="1"/>
    <cellStyle name="Followed Hyperlink" xfId="9158" builtinId="9" hidden="1"/>
    <cellStyle name="Followed Hyperlink" xfId="9160" builtinId="9" hidden="1"/>
    <cellStyle name="Followed Hyperlink" xfId="9162" builtinId="9" hidden="1"/>
    <cellStyle name="Followed Hyperlink" xfId="9164" builtinId="9" hidden="1"/>
    <cellStyle name="Followed Hyperlink" xfId="9166" builtinId="9" hidden="1"/>
    <cellStyle name="Followed Hyperlink" xfId="9168" builtinId="9" hidden="1"/>
    <cellStyle name="Followed Hyperlink" xfId="9170" builtinId="9" hidden="1"/>
    <cellStyle name="Followed Hyperlink" xfId="9172" builtinId="9" hidden="1"/>
    <cellStyle name="Followed Hyperlink" xfId="9174" builtinId="9" hidden="1"/>
    <cellStyle name="Followed Hyperlink" xfId="9176" builtinId="9" hidden="1"/>
    <cellStyle name="Followed Hyperlink" xfId="9178" builtinId="9" hidden="1"/>
    <cellStyle name="Followed Hyperlink" xfId="9180" builtinId="9" hidden="1"/>
    <cellStyle name="Followed Hyperlink" xfId="9182" builtinId="9" hidden="1"/>
    <cellStyle name="Followed Hyperlink" xfId="9184" builtinId="9" hidden="1"/>
    <cellStyle name="Followed Hyperlink" xfId="9186" builtinId="9" hidden="1"/>
    <cellStyle name="Followed Hyperlink" xfId="9188" builtinId="9" hidden="1"/>
    <cellStyle name="Followed Hyperlink" xfId="9190" builtinId="9" hidden="1"/>
    <cellStyle name="Followed Hyperlink" xfId="9192" builtinId="9" hidden="1"/>
    <cellStyle name="Followed Hyperlink" xfId="9194" builtinId="9" hidden="1"/>
    <cellStyle name="Followed Hyperlink" xfId="9196" builtinId="9" hidden="1"/>
    <cellStyle name="Followed Hyperlink" xfId="9198" builtinId="9" hidden="1"/>
    <cellStyle name="Followed Hyperlink" xfId="9200" builtinId="9" hidden="1"/>
    <cellStyle name="Followed Hyperlink" xfId="9202" builtinId="9" hidden="1"/>
    <cellStyle name="Followed Hyperlink" xfId="9204" builtinId="9" hidden="1"/>
    <cellStyle name="Followed Hyperlink" xfId="9206" builtinId="9" hidden="1"/>
    <cellStyle name="Followed Hyperlink" xfId="9208" builtinId="9" hidden="1"/>
    <cellStyle name="Followed Hyperlink" xfId="9210" builtinId="9" hidden="1"/>
    <cellStyle name="Followed Hyperlink" xfId="9212" builtinId="9" hidden="1"/>
    <cellStyle name="Followed Hyperlink" xfId="9214" builtinId="9" hidden="1"/>
    <cellStyle name="Followed Hyperlink" xfId="9216" builtinId="9" hidden="1"/>
    <cellStyle name="Followed Hyperlink" xfId="9218" builtinId="9" hidden="1"/>
    <cellStyle name="Followed Hyperlink" xfId="9220" builtinId="9" hidden="1"/>
    <cellStyle name="Followed Hyperlink" xfId="9222" builtinId="9" hidden="1"/>
    <cellStyle name="Followed Hyperlink" xfId="9224" builtinId="9" hidden="1"/>
    <cellStyle name="Followed Hyperlink" xfId="9226" builtinId="9" hidden="1"/>
    <cellStyle name="Followed Hyperlink" xfId="9228" builtinId="9" hidden="1"/>
    <cellStyle name="Followed Hyperlink" xfId="9230" builtinId="9" hidden="1"/>
    <cellStyle name="Followed Hyperlink" xfId="9232" builtinId="9" hidden="1"/>
    <cellStyle name="Followed Hyperlink" xfId="9234" builtinId="9" hidden="1"/>
    <cellStyle name="Followed Hyperlink" xfId="9236" builtinId="9" hidden="1"/>
    <cellStyle name="Followed Hyperlink" xfId="9238" builtinId="9" hidden="1"/>
    <cellStyle name="Followed Hyperlink" xfId="9240" builtinId="9" hidden="1"/>
    <cellStyle name="Followed Hyperlink" xfId="9242" builtinId="9" hidden="1"/>
    <cellStyle name="Followed Hyperlink" xfId="9244" builtinId="9" hidden="1"/>
    <cellStyle name="Followed Hyperlink" xfId="9246" builtinId="9" hidden="1"/>
    <cellStyle name="Followed Hyperlink" xfId="9248" builtinId="9" hidden="1"/>
    <cellStyle name="Followed Hyperlink" xfId="9250" builtinId="9" hidden="1"/>
    <cellStyle name="Followed Hyperlink" xfId="9252" builtinId="9" hidden="1"/>
    <cellStyle name="Followed Hyperlink" xfId="9254" builtinId="9" hidden="1"/>
    <cellStyle name="Followed Hyperlink" xfId="9256" builtinId="9" hidden="1"/>
    <cellStyle name="Followed Hyperlink" xfId="9258" builtinId="9" hidden="1"/>
    <cellStyle name="Followed Hyperlink" xfId="9260" builtinId="9" hidden="1"/>
    <cellStyle name="Followed Hyperlink" xfId="9262" builtinId="9" hidden="1"/>
    <cellStyle name="Followed Hyperlink" xfId="9264" builtinId="9" hidden="1"/>
    <cellStyle name="Followed Hyperlink" xfId="9266" builtinId="9" hidden="1"/>
    <cellStyle name="Followed Hyperlink" xfId="9268" builtinId="9" hidden="1"/>
    <cellStyle name="Followed Hyperlink" xfId="9270" builtinId="9" hidden="1"/>
    <cellStyle name="Followed Hyperlink" xfId="9272" builtinId="9" hidden="1"/>
    <cellStyle name="Followed Hyperlink" xfId="9274" builtinId="9" hidden="1"/>
    <cellStyle name="Followed Hyperlink" xfId="9276" builtinId="9" hidden="1"/>
    <cellStyle name="Followed Hyperlink" xfId="9278" builtinId="9" hidden="1"/>
    <cellStyle name="Followed Hyperlink" xfId="9280" builtinId="9" hidden="1"/>
    <cellStyle name="Followed Hyperlink" xfId="9282" builtinId="9" hidden="1"/>
    <cellStyle name="Followed Hyperlink" xfId="9284" builtinId="9" hidden="1"/>
    <cellStyle name="Followed Hyperlink" xfId="9286" builtinId="9" hidden="1"/>
    <cellStyle name="Followed Hyperlink" xfId="9288" builtinId="9" hidden="1"/>
    <cellStyle name="Followed Hyperlink" xfId="9290" builtinId="9" hidden="1"/>
    <cellStyle name="Followed Hyperlink" xfId="9292" builtinId="9" hidden="1"/>
    <cellStyle name="Followed Hyperlink" xfId="9294" builtinId="9" hidden="1"/>
    <cellStyle name="Followed Hyperlink" xfId="9296" builtinId="9" hidden="1"/>
    <cellStyle name="Followed Hyperlink" xfId="9298" builtinId="9" hidden="1"/>
    <cellStyle name="Followed Hyperlink" xfId="9300" builtinId="9" hidden="1"/>
    <cellStyle name="Followed Hyperlink" xfId="9302" builtinId="9" hidden="1"/>
    <cellStyle name="Followed Hyperlink" xfId="9304" builtinId="9" hidden="1"/>
    <cellStyle name="Followed Hyperlink" xfId="9306" builtinId="9" hidden="1"/>
    <cellStyle name="Followed Hyperlink" xfId="9308" builtinId="9" hidden="1"/>
    <cellStyle name="Followed Hyperlink" xfId="9310" builtinId="9" hidden="1"/>
    <cellStyle name="Followed Hyperlink" xfId="9312" builtinId="9" hidden="1"/>
    <cellStyle name="Followed Hyperlink" xfId="9314" builtinId="9" hidden="1"/>
    <cellStyle name="Followed Hyperlink" xfId="9316" builtinId="9" hidden="1"/>
    <cellStyle name="Followed Hyperlink" xfId="9318" builtinId="9" hidden="1"/>
    <cellStyle name="Followed Hyperlink" xfId="9320" builtinId="9" hidden="1"/>
    <cellStyle name="Followed Hyperlink" xfId="9322" builtinId="9" hidden="1"/>
    <cellStyle name="Followed Hyperlink" xfId="9324" builtinId="9" hidden="1"/>
    <cellStyle name="Followed Hyperlink" xfId="9326" builtinId="9" hidden="1"/>
    <cellStyle name="Followed Hyperlink" xfId="9328" builtinId="9" hidden="1"/>
    <cellStyle name="Followed Hyperlink" xfId="9330" builtinId="9" hidden="1"/>
    <cellStyle name="Followed Hyperlink" xfId="9332" builtinId="9" hidden="1"/>
    <cellStyle name="Followed Hyperlink" xfId="9334" builtinId="9" hidden="1"/>
    <cellStyle name="Followed Hyperlink" xfId="9336" builtinId="9" hidden="1"/>
    <cellStyle name="Followed Hyperlink" xfId="9338" builtinId="9" hidden="1"/>
    <cellStyle name="Followed Hyperlink" xfId="9340" builtinId="9" hidden="1"/>
    <cellStyle name="Followed Hyperlink" xfId="9342" builtinId="9" hidden="1"/>
    <cellStyle name="Followed Hyperlink" xfId="9344" builtinId="9" hidden="1"/>
    <cellStyle name="Followed Hyperlink" xfId="9346" builtinId="9" hidden="1"/>
    <cellStyle name="Followed Hyperlink" xfId="9348" builtinId="9" hidden="1"/>
    <cellStyle name="Followed Hyperlink" xfId="9350" builtinId="9" hidden="1"/>
    <cellStyle name="Followed Hyperlink" xfId="9352" builtinId="9" hidden="1"/>
    <cellStyle name="Followed Hyperlink" xfId="9354" builtinId="9" hidden="1"/>
    <cellStyle name="Followed Hyperlink" xfId="9356" builtinId="9" hidden="1"/>
    <cellStyle name="Followed Hyperlink" xfId="9358" builtinId="9" hidden="1"/>
    <cellStyle name="Followed Hyperlink" xfId="9360" builtinId="9" hidden="1"/>
    <cellStyle name="Followed Hyperlink" xfId="9362" builtinId="9" hidden="1"/>
    <cellStyle name="Followed Hyperlink" xfId="9364" builtinId="9" hidden="1"/>
    <cellStyle name="Followed Hyperlink" xfId="9366" builtinId="9" hidden="1"/>
    <cellStyle name="Followed Hyperlink" xfId="9368" builtinId="9" hidden="1"/>
    <cellStyle name="Followed Hyperlink" xfId="9370" builtinId="9" hidden="1"/>
    <cellStyle name="Followed Hyperlink" xfId="9372" builtinId="9" hidden="1"/>
    <cellStyle name="Followed Hyperlink" xfId="9374" builtinId="9" hidden="1"/>
    <cellStyle name="Followed Hyperlink" xfId="9376" builtinId="9" hidden="1"/>
    <cellStyle name="Followed Hyperlink" xfId="9378" builtinId="9" hidden="1"/>
    <cellStyle name="Followed Hyperlink" xfId="9380" builtinId="9" hidden="1"/>
    <cellStyle name="Followed Hyperlink" xfId="9382" builtinId="9" hidden="1"/>
    <cellStyle name="Followed Hyperlink" xfId="9384" builtinId="9" hidden="1"/>
    <cellStyle name="Followed Hyperlink" xfId="9386" builtinId="9" hidden="1"/>
    <cellStyle name="Followed Hyperlink" xfId="9388" builtinId="9" hidden="1"/>
    <cellStyle name="Followed Hyperlink" xfId="9390" builtinId="9" hidden="1"/>
    <cellStyle name="Followed Hyperlink" xfId="9392" builtinId="9" hidden="1"/>
    <cellStyle name="Followed Hyperlink" xfId="9394" builtinId="9" hidden="1"/>
    <cellStyle name="Followed Hyperlink" xfId="9396" builtinId="9" hidden="1"/>
    <cellStyle name="Followed Hyperlink" xfId="9398" builtinId="9" hidden="1"/>
    <cellStyle name="Followed Hyperlink" xfId="9400" builtinId="9" hidden="1"/>
    <cellStyle name="Followed Hyperlink" xfId="9402" builtinId="9" hidden="1"/>
    <cellStyle name="Followed Hyperlink" xfId="9404" builtinId="9" hidden="1"/>
    <cellStyle name="Followed Hyperlink" xfId="9406" builtinId="9" hidden="1"/>
    <cellStyle name="Followed Hyperlink" xfId="9408" builtinId="9" hidden="1"/>
    <cellStyle name="Followed Hyperlink" xfId="9410" builtinId="9" hidden="1"/>
    <cellStyle name="Followed Hyperlink" xfId="9412" builtinId="9" hidden="1"/>
    <cellStyle name="Followed Hyperlink" xfId="9414" builtinId="9" hidden="1"/>
    <cellStyle name="Followed Hyperlink" xfId="9416" builtinId="9" hidden="1"/>
    <cellStyle name="Followed Hyperlink" xfId="9418" builtinId="9" hidden="1"/>
    <cellStyle name="Followed Hyperlink" xfId="9420" builtinId="9" hidden="1"/>
    <cellStyle name="Followed Hyperlink" xfId="9422" builtinId="9" hidden="1"/>
    <cellStyle name="Followed Hyperlink" xfId="9424" builtinId="9" hidden="1"/>
    <cellStyle name="Followed Hyperlink" xfId="9426" builtinId="9" hidden="1"/>
    <cellStyle name="Followed Hyperlink" xfId="9428" builtinId="9" hidden="1"/>
    <cellStyle name="Followed Hyperlink" xfId="9430" builtinId="9" hidden="1"/>
    <cellStyle name="Followed Hyperlink" xfId="9432" builtinId="9" hidden="1"/>
    <cellStyle name="Followed Hyperlink" xfId="9434" builtinId="9" hidden="1"/>
    <cellStyle name="Followed Hyperlink" xfId="9436" builtinId="9" hidden="1"/>
    <cellStyle name="Followed Hyperlink" xfId="9438" builtinId="9" hidden="1"/>
    <cellStyle name="Followed Hyperlink" xfId="9440" builtinId="9" hidden="1"/>
    <cellStyle name="Followed Hyperlink" xfId="9442" builtinId="9" hidden="1"/>
    <cellStyle name="Followed Hyperlink" xfId="9444" builtinId="9" hidden="1"/>
    <cellStyle name="Followed Hyperlink" xfId="9446" builtinId="9" hidden="1"/>
    <cellStyle name="Followed Hyperlink" xfId="9448" builtinId="9" hidden="1"/>
    <cellStyle name="Followed Hyperlink" xfId="9450" builtinId="9" hidden="1"/>
    <cellStyle name="Followed Hyperlink" xfId="9452" builtinId="9" hidden="1"/>
    <cellStyle name="Followed Hyperlink" xfId="9454" builtinId="9" hidden="1"/>
    <cellStyle name="Followed Hyperlink" xfId="9456" builtinId="9" hidden="1"/>
    <cellStyle name="Followed Hyperlink" xfId="9458" builtinId="9" hidden="1"/>
    <cellStyle name="Followed Hyperlink" xfId="9460" builtinId="9" hidden="1"/>
    <cellStyle name="Followed Hyperlink" xfId="9462" builtinId="9" hidden="1"/>
    <cellStyle name="Followed Hyperlink" xfId="9464" builtinId="9" hidden="1"/>
    <cellStyle name="Followed Hyperlink" xfId="9466" builtinId="9" hidden="1"/>
    <cellStyle name="Followed Hyperlink" xfId="9468" builtinId="9" hidden="1"/>
    <cellStyle name="Followed Hyperlink" xfId="9470" builtinId="9" hidden="1"/>
    <cellStyle name="Followed Hyperlink" xfId="9472" builtinId="9" hidden="1"/>
    <cellStyle name="Followed Hyperlink" xfId="9474" builtinId="9" hidden="1"/>
    <cellStyle name="Followed Hyperlink" xfId="9476" builtinId="9" hidden="1"/>
    <cellStyle name="Followed Hyperlink" xfId="9478" builtinId="9" hidden="1"/>
    <cellStyle name="Followed Hyperlink" xfId="9480" builtinId="9" hidden="1"/>
    <cellStyle name="Followed Hyperlink" xfId="9482" builtinId="9" hidden="1"/>
    <cellStyle name="Followed Hyperlink" xfId="9484" builtinId="9" hidden="1"/>
    <cellStyle name="Followed Hyperlink" xfId="9486" builtinId="9" hidden="1"/>
    <cellStyle name="Followed Hyperlink" xfId="9488" builtinId="9" hidden="1"/>
    <cellStyle name="Followed Hyperlink" xfId="9490" builtinId="9" hidden="1"/>
    <cellStyle name="Followed Hyperlink" xfId="9492" builtinId="9" hidden="1"/>
    <cellStyle name="Followed Hyperlink" xfId="9494" builtinId="9" hidden="1"/>
    <cellStyle name="Followed Hyperlink" xfId="9496" builtinId="9" hidden="1"/>
    <cellStyle name="Followed Hyperlink" xfId="9498" builtinId="9" hidden="1"/>
    <cellStyle name="Followed Hyperlink" xfId="9500" builtinId="9" hidden="1"/>
    <cellStyle name="Followed Hyperlink" xfId="9502" builtinId="9" hidden="1"/>
    <cellStyle name="Followed Hyperlink" xfId="9504" builtinId="9" hidden="1"/>
    <cellStyle name="Followed Hyperlink" xfId="9506" builtinId="9" hidden="1"/>
    <cellStyle name="Followed Hyperlink" xfId="9508" builtinId="9" hidden="1"/>
    <cellStyle name="Followed Hyperlink" xfId="9510" builtinId="9" hidden="1"/>
    <cellStyle name="Followed Hyperlink" xfId="9512" builtinId="9" hidden="1"/>
    <cellStyle name="Followed Hyperlink" xfId="9514" builtinId="9" hidden="1"/>
    <cellStyle name="Followed Hyperlink" xfId="9516" builtinId="9" hidden="1"/>
    <cellStyle name="Followed Hyperlink" xfId="9518" builtinId="9" hidden="1"/>
    <cellStyle name="Followed Hyperlink" xfId="9520" builtinId="9" hidden="1"/>
    <cellStyle name="Followed Hyperlink" xfId="9522" builtinId="9" hidden="1"/>
    <cellStyle name="Followed Hyperlink" xfId="9524" builtinId="9" hidden="1"/>
    <cellStyle name="Followed Hyperlink" xfId="9526" builtinId="9" hidden="1"/>
    <cellStyle name="Followed Hyperlink" xfId="9528" builtinId="9" hidden="1"/>
    <cellStyle name="Followed Hyperlink" xfId="9530" builtinId="9" hidden="1"/>
    <cellStyle name="Followed Hyperlink" xfId="9532" builtinId="9" hidden="1"/>
    <cellStyle name="Followed Hyperlink" xfId="9534" builtinId="9" hidden="1"/>
    <cellStyle name="Followed Hyperlink" xfId="9536" builtinId="9" hidden="1"/>
    <cellStyle name="Followed Hyperlink" xfId="9538" builtinId="9" hidden="1"/>
    <cellStyle name="Followed Hyperlink" xfId="9540" builtinId="9" hidden="1"/>
    <cellStyle name="Followed Hyperlink" xfId="9542" builtinId="9" hidden="1"/>
    <cellStyle name="Followed Hyperlink" xfId="9544" builtinId="9" hidden="1"/>
    <cellStyle name="Followed Hyperlink" xfId="9546" builtinId="9" hidden="1"/>
    <cellStyle name="Followed Hyperlink" xfId="9548" builtinId="9" hidden="1"/>
    <cellStyle name="Followed Hyperlink" xfId="9550" builtinId="9" hidden="1"/>
    <cellStyle name="Followed Hyperlink" xfId="9552" builtinId="9" hidden="1"/>
    <cellStyle name="Followed Hyperlink" xfId="9554" builtinId="9" hidden="1"/>
    <cellStyle name="Followed Hyperlink" xfId="9556" builtinId="9" hidden="1"/>
    <cellStyle name="Followed Hyperlink" xfId="9558" builtinId="9" hidden="1"/>
    <cellStyle name="Followed Hyperlink" xfId="9560" builtinId="9" hidden="1"/>
    <cellStyle name="Followed Hyperlink" xfId="9562" builtinId="9" hidden="1"/>
    <cellStyle name="Followed Hyperlink" xfId="9564" builtinId="9" hidden="1"/>
    <cellStyle name="Followed Hyperlink" xfId="9566" builtinId="9" hidden="1"/>
    <cellStyle name="Followed Hyperlink" xfId="9568" builtinId="9" hidden="1"/>
    <cellStyle name="Followed Hyperlink" xfId="9570" builtinId="9" hidden="1"/>
    <cellStyle name="Followed Hyperlink" xfId="9572" builtinId="9" hidden="1"/>
    <cellStyle name="Followed Hyperlink" xfId="9574" builtinId="9" hidden="1"/>
    <cellStyle name="Followed Hyperlink" xfId="9576" builtinId="9" hidden="1"/>
    <cellStyle name="Followed Hyperlink" xfId="9578" builtinId="9" hidden="1"/>
    <cellStyle name="Followed Hyperlink" xfId="9580" builtinId="9" hidden="1"/>
    <cellStyle name="Followed Hyperlink" xfId="9582" builtinId="9" hidden="1"/>
    <cellStyle name="Followed Hyperlink" xfId="9584" builtinId="9" hidden="1"/>
    <cellStyle name="Followed Hyperlink" xfId="9586" builtinId="9" hidden="1"/>
    <cellStyle name="Followed Hyperlink" xfId="9588" builtinId="9" hidden="1"/>
    <cellStyle name="Followed Hyperlink" xfId="9590" builtinId="9" hidden="1"/>
    <cellStyle name="Followed Hyperlink" xfId="9592" builtinId="9" hidden="1"/>
    <cellStyle name="Followed Hyperlink" xfId="9594" builtinId="9" hidden="1"/>
    <cellStyle name="Followed Hyperlink" xfId="9596" builtinId="9" hidden="1"/>
    <cellStyle name="Followed Hyperlink" xfId="9598" builtinId="9" hidden="1"/>
    <cellStyle name="Followed Hyperlink" xfId="9600" builtinId="9" hidden="1"/>
    <cellStyle name="Followed Hyperlink" xfId="9602" builtinId="9" hidden="1"/>
    <cellStyle name="Followed Hyperlink" xfId="9604" builtinId="9" hidden="1"/>
    <cellStyle name="Followed Hyperlink" xfId="9606" builtinId="9" hidden="1"/>
    <cellStyle name="Followed Hyperlink" xfId="9608" builtinId="9" hidden="1"/>
    <cellStyle name="Followed Hyperlink" xfId="9610" builtinId="9" hidden="1"/>
    <cellStyle name="Followed Hyperlink" xfId="9612" builtinId="9" hidden="1"/>
    <cellStyle name="Followed Hyperlink" xfId="9614" builtinId="9" hidden="1"/>
    <cellStyle name="Followed Hyperlink" xfId="9616" builtinId="9" hidden="1"/>
    <cellStyle name="Followed Hyperlink" xfId="9618" builtinId="9" hidden="1"/>
    <cellStyle name="Followed Hyperlink" xfId="9620" builtinId="9" hidden="1"/>
    <cellStyle name="Followed Hyperlink" xfId="9622" builtinId="9" hidden="1"/>
    <cellStyle name="Followed Hyperlink" xfId="9624" builtinId="9" hidden="1"/>
    <cellStyle name="Followed Hyperlink" xfId="9626" builtinId="9" hidden="1"/>
    <cellStyle name="Followed Hyperlink" xfId="9628" builtinId="9" hidden="1"/>
    <cellStyle name="Followed Hyperlink" xfId="9630" builtinId="9" hidden="1"/>
    <cellStyle name="Followed Hyperlink" xfId="9632" builtinId="9" hidden="1"/>
    <cellStyle name="Followed Hyperlink" xfId="9634" builtinId="9" hidden="1"/>
    <cellStyle name="Followed Hyperlink" xfId="9636" builtinId="9" hidden="1"/>
    <cellStyle name="Followed Hyperlink" xfId="9638" builtinId="9" hidden="1"/>
    <cellStyle name="Followed Hyperlink" xfId="9640" builtinId="9" hidden="1"/>
    <cellStyle name="Followed Hyperlink" xfId="9642" builtinId="9" hidden="1"/>
    <cellStyle name="Followed Hyperlink" xfId="9644" builtinId="9" hidden="1"/>
    <cellStyle name="Followed Hyperlink" xfId="9646" builtinId="9" hidden="1"/>
    <cellStyle name="Followed Hyperlink" xfId="9648" builtinId="9" hidden="1"/>
    <cellStyle name="Followed Hyperlink" xfId="9650" builtinId="9" hidden="1"/>
    <cellStyle name="Followed Hyperlink" xfId="9652" builtinId="9" hidden="1"/>
    <cellStyle name="Followed Hyperlink" xfId="9654" builtinId="9" hidden="1"/>
    <cellStyle name="Followed Hyperlink" xfId="9656" builtinId="9" hidden="1"/>
    <cellStyle name="Followed Hyperlink" xfId="9658" builtinId="9" hidden="1"/>
    <cellStyle name="Followed Hyperlink" xfId="9660" builtinId="9" hidden="1"/>
    <cellStyle name="Followed Hyperlink" xfId="9662" builtinId="9" hidden="1"/>
    <cellStyle name="Followed Hyperlink" xfId="9664" builtinId="9" hidden="1"/>
    <cellStyle name="Followed Hyperlink" xfId="9666" builtinId="9" hidden="1"/>
    <cellStyle name="Followed Hyperlink" xfId="9668" builtinId="9" hidden="1"/>
    <cellStyle name="Followed Hyperlink" xfId="9670" builtinId="9" hidden="1"/>
    <cellStyle name="Followed Hyperlink" xfId="9672" builtinId="9" hidden="1"/>
    <cellStyle name="Followed Hyperlink" xfId="9674" builtinId="9" hidden="1"/>
    <cellStyle name="Followed Hyperlink" xfId="9676" builtinId="9" hidden="1"/>
    <cellStyle name="Followed Hyperlink" xfId="9678" builtinId="9" hidden="1"/>
    <cellStyle name="Followed Hyperlink" xfId="9680" builtinId="9" hidden="1"/>
    <cellStyle name="Followed Hyperlink" xfId="9682" builtinId="9" hidden="1"/>
    <cellStyle name="Followed Hyperlink" xfId="9684" builtinId="9" hidden="1"/>
    <cellStyle name="Followed Hyperlink" xfId="9686" builtinId="9" hidden="1"/>
    <cellStyle name="Followed Hyperlink" xfId="9688" builtinId="9" hidden="1"/>
    <cellStyle name="Followed Hyperlink" xfId="9690" builtinId="9" hidden="1"/>
    <cellStyle name="Followed Hyperlink" xfId="9692" builtinId="9" hidden="1"/>
    <cellStyle name="Followed Hyperlink" xfId="9694" builtinId="9" hidden="1"/>
    <cellStyle name="Followed Hyperlink" xfId="9696" builtinId="9" hidden="1"/>
    <cellStyle name="Followed Hyperlink" xfId="9698" builtinId="9" hidden="1"/>
    <cellStyle name="Followed Hyperlink" xfId="9700" builtinId="9" hidden="1"/>
    <cellStyle name="Followed Hyperlink" xfId="9702" builtinId="9" hidden="1"/>
    <cellStyle name="Followed Hyperlink" xfId="9704" builtinId="9" hidden="1"/>
    <cellStyle name="Followed Hyperlink" xfId="9706" builtinId="9" hidden="1"/>
    <cellStyle name="Followed Hyperlink" xfId="9708" builtinId="9" hidden="1"/>
    <cellStyle name="Followed Hyperlink" xfId="9710" builtinId="9" hidden="1"/>
    <cellStyle name="Followed Hyperlink" xfId="9712" builtinId="9" hidden="1"/>
    <cellStyle name="Followed Hyperlink" xfId="9714" builtinId="9" hidden="1"/>
    <cellStyle name="Followed Hyperlink" xfId="9716" builtinId="9" hidden="1"/>
    <cellStyle name="Followed Hyperlink" xfId="9718" builtinId="9" hidden="1"/>
    <cellStyle name="Followed Hyperlink" xfId="9720" builtinId="9" hidden="1"/>
    <cellStyle name="Followed Hyperlink" xfId="9722" builtinId="9" hidden="1"/>
    <cellStyle name="Followed Hyperlink" xfId="9724" builtinId="9" hidden="1"/>
    <cellStyle name="Followed Hyperlink" xfId="9726" builtinId="9" hidden="1"/>
    <cellStyle name="Followed Hyperlink" xfId="9728" builtinId="9" hidden="1"/>
    <cellStyle name="Followed Hyperlink" xfId="9730" builtinId="9" hidden="1"/>
    <cellStyle name="Followed Hyperlink" xfId="9732" builtinId="9" hidden="1"/>
    <cellStyle name="Followed Hyperlink" xfId="9734" builtinId="9" hidden="1"/>
    <cellStyle name="Followed Hyperlink" xfId="9736" builtinId="9" hidden="1"/>
    <cellStyle name="Followed Hyperlink" xfId="9738" builtinId="9" hidden="1"/>
    <cellStyle name="Followed Hyperlink" xfId="9740" builtinId="9" hidden="1"/>
    <cellStyle name="Followed Hyperlink" xfId="9742" builtinId="9" hidden="1"/>
    <cellStyle name="Followed Hyperlink" xfId="9744" builtinId="9" hidden="1"/>
    <cellStyle name="Followed Hyperlink" xfId="9746" builtinId="9" hidden="1"/>
    <cellStyle name="Followed Hyperlink" xfId="9748" builtinId="9" hidden="1"/>
    <cellStyle name="Followed Hyperlink" xfId="9750" builtinId="9" hidden="1"/>
    <cellStyle name="Followed Hyperlink" xfId="9752" builtinId="9" hidden="1"/>
    <cellStyle name="Followed Hyperlink" xfId="9754" builtinId="9" hidden="1"/>
    <cellStyle name="Followed Hyperlink" xfId="9756" builtinId="9" hidden="1"/>
    <cellStyle name="Followed Hyperlink" xfId="9758" builtinId="9" hidden="1"/>
    <cellStyle name="Followed Hyperlink" xfId="9760" builtinId="9" hidden="1"/>
    <cellStyle name="Followed Hyperlink" xfId="9762" builtinId="9" hidden="1"/>
    <cellStyle name="Followed Hyperlink" xfId="9764" builtinId="9" hidden="1"/>
    <cellStyle name="Followed Hyperlink" xfId="9766" builtinId="9" hidden="1"/>
    <cellStyle name="Followed Hyperlink" xfId="9768" builtinId="9" hidden="1"/>
    <cellStyle name="Followed Hyperlink" xfId="9770" builtinId="9" hidden="1"/>
    <cellStyle name="Followed Hyperlink" xfId="9772" builtinId="9" hidden="1"/>
    <cellStyle name="Followed Hyperlink" xfId="9774" builtinId="9" hidden="1"/>
    <cellStyle name="Followed Hyperlink" xfId="9776" builtinId="9" hidden="1"/>
    <cellStyle name="Followed Hyperlink" xfId="9778" builtinId="9" hidden="1"/>
    <cellStyle name="Followed Hyperlink" xfId="9780" builtinId="9" hidden="1"/>
    <cellStyle name="Followed Hyperlink" xfId="9782" builtinId="9" hidden="1"/>
    <cellStyle name="Followed Hyperlink" xfId="9784" builtinId="9" hidden="1"/>
    <cellStyle name="Followed Hyperlink" xfId="9786" builtinId="9" hidden="1"/>
    <cellStyle name="Followed Hyperlink" xfId="9788" builtinId="9" hidden="1"/>
    <cellStyle name="Followed Hyperlink" xfId="9790" builtinId="9" hidden="1"/>
    <cellStyle name="Followed Hyperlink" xfId="9792" builtinId="9" hidden="1"/>
    <cellStyle name="Followed Hyperlink" xfId="9794" builtinId="9" hidden="1"/>
    <cellStyle name="Followed Hyperlink" xfId="9796" builtinId="9" hidden="1"/>
    <cellStyle name="Followed Hyperlink" xfId="9798" builtinId="9" hidden="1"/>
    <cellStyle name="Followed Hyperlink" xfId="9800" builtinId="9" hidden="1"/>
    <cellStyle name="Followed Hyperlink" xfId="9802" builtinId="9" hidden="1"/>
    <cellStyle name="Followed Hyperlink" xfId="9804" builtinId="9" hidden="1"/>
    <cellStyle name="Followed Hyperlink" xfId="9806" builtinId="9" hidden="1"/>
    <cellStyle name="Followed Hyperlink" xfId="9808" builtinId="9" hidden="1"/>
    <cellStyle name="Followed Hyperlink" xfId="9810" builtinId="9" hidden="1"/>
    <cellStyle name="Followed Hyperlink" xfId="9812" builtinId="9" hidden="1"/>
    <cellStyle name="Followed Hyperlink" xfId="9814" builtinId="9" hidden="1"/>
    <cellStyle name="Followed Hyperlink" xfId="9816" builtinId="9" hidden="1"/>
    <cellStyle name="Followed Hyperlink" xfId="9818" builtinId="9" hidden="1"/>
    <cellStyle name="Followed Hyperlink" xfId="9820" builtinId="9" hidden="1"/>
    <cellStyle name="Followed Hyperlink" xfId="9822" builtinId="9" hidden="1"/>
    <cellStyle name="Followed Hyperlink" xfId="9824" builtinId="9" hidden="1"/>
    <cellStyle name="Followed Hyperlink" xfId="9826" builtinId="9" hidden="1"/>
    <cellStyle name="Followed Hyperlink" xfId="9828" builtinId="9" hidden="1"/>
    <cellStyle name="Followed Hyperlink" xfId="9830" builtinId="9" hidden="1"/>
    <cellStyle name="Followed Hyperlink" xfId="9832" builtinId="9" hidden="1"/>
    <cellStyle name="Followed Hyperlink" xfId="9834" builtinId="9" hidden="1"/>
    <cellStyle name="Followed Hyperlink" xfId="9836" builtinId="9" hidden="1"/>
    <cellStyle name="Followed Hyperlink" xfId="9838" builtinId="9" hidden="1"/>
    <cellStyle name="Followed Hyperlink" xfId="9840" builtinId="9" hidden="1"/>
    <cellStyle name="Followed Hyperlink" xfId="9842" builtinId="9" hidden="1"/>
    <cellStyle name="Followed Hyperlink" xfId="9844" builtinId="9" hidden="1"/>
    <cellStyle name="Followed Hyperlink" xfId="9846" builtinId="9" hidden="1"/>
    <cellStyle name="Followed Hyperlink" xfId="9848" builtinId="9" hidden="1"/>
    <cellStyle name="Followed Hyperlink" xfId="9850" builtinId="9" hidden="1"/>
    <cellStyle name="Followed Hyperlink" xfId="9852" builtinId="9" hidden="1"/>
    <cellStyle name="Followed Hyperlink" xfId="9854" builtinId="9" hidden="1"/>
    <cellStyle name="Followed Hyperlink" xfId="9856" builtinId="9" hidden="1"/>
    <cellStyle name="Followed Hyperlink" xfId="9858" builtinId="9" hidden="1"/>
    <cellStyle name="Followed Hyperlink" xfId="9860" builtinId="9" hidden="1"/>
    <cellStyle name="Followed Hyperlink" xfId="9862" builtinId="9" hidden="1"/>
    <cellStyle name="Followed Hyperlink" xfId="9864" builtinId="9" hidden="1"/>
    <cellStyle name="Followed Hyperlink" xfId="9866" builtinId="9" hidden="1"/>
    <cellStyle name="Followed Hyperlink" xfId="9868" builtinId="9" hidden="1"/>
    <cellStyle name="Followed Hyperlink" xfId="9870" builtinId="9" hidden="1"/>
    <cellStyle name="Followed Hyperlink" xfId="9872" builtinId="9" hidden="1"/>
    <cellStyle name="Followed Hyperlink" xfId="9874" builtinId="9" hidden="1"/>
    <cellStyle name="Followed Hyperlink" xfId="9876" builtinId="9" hidden="1"/>
    <cellStyle name="Followed Hyperlink" xfId="9878" builtinId="9" hidden="1"/>
    <cellStyle name="Followed Hyperlink" xfId="9880" builtinId="9" hidden="1"/>
    <cellStyle name="Followed Hyperlink" xfId="9882" builtinId="9" hidden="1"/>
    <cellStyle name="Followed Hyperlink" xfId="9884" builtinId="9" hidden="1"/>
    <cellStyle name="Followed Hyperlink" xfId="9886" builtinId="9" hidden="1"/>
    <cellStyle name="Followed Hyperlink" xfId="9888" builtinId="9" hidden="1"/>
    <cellStyle name="Followed Hyperlink" xfId="9890" builtinId="9" hidden="1"/>
    <cellStyle name="Followed Hyperlink" xfId="9892" builtinId="9" hidden="1"/>
    <cellStyle name="Followed Hyperlink" xfId="9894" builtinId="9" hidden="1"/>
    <cellStyle name="Followed Hyperlink" xfId="9896" builtinId="9" hidden="1"/>
    <cellStyle name="Followed Hyperlink" xfId="9898" builtinId="9" hidden="1"/>
    <cellStyle name="Followed Hyperlink" xfId="9900" builtinId="9" hidden="1"/>
    <cellStyle name="Followed Hyperlink" xfId="9902" builtinId="9" hidden="1"/>
    <cellStyle name="Followed Hyperlink" xfId="9904" builtinId="9" hidden="1"/>
    <cellStyle name="Followed Hyperlink" xfId="9906" builtinId="9" hidden="1"/>
    <cellStyle name="Followed Hyperlink" xfId="9908" builtinId="9" hidden="1"/>
    <cellStyle name="Followed Hyperlink" xfId="9910" builtinId="9" hidden="1"/>
    <cellStyle name="Followed Hyperlink" xfId="9912" builtinId="9" hidden="1"/>
    <cellStyle name="Followed Hyperlink" xfId="9914" builtinId="9" hidden="1"/>
    <cellStyle name="Followed Hyperlink" xfId="9916" builtinId="9" hidden="1"/>
    <cellStyle name="Followed Hyperlink" xfId="9918" builtinId="9" hidden="1"/>
    <cellStyle name="Followed Hyperlink" xfId="9920" builtinId="9" hidden="1"/>
    <cellStyle name="Followed Hyperlink" xfId="9922" builtinId="9" hidden="1"/>
    <cellStyle name="Followed Hyperlink" xfId="9924" builtinId="9" hidden="1"/>
    <cellStyle name="Followed Hyperlink" xfId="9926" builtinId="9" hidden="1"/>
    <cellStyle name="Followed Hyperlink" xfId="9928" builtinId="9" hidden="1"/>
    <cellStyle name="Followed Hyperlink" xfId="9930" builtinId="9" hidden="1"/>
    <cellStyle name="Followed Hyperlink" xfId="9932" builtinId="9" hidden="1"/>
    <cellStyle name="Followed Hyperlink" xfId="9934" builtinId="9" hidden="1"/>
    <cellStyle name="Followed Hyperlink" xfId="9936" builtinId="9" hidden="1"/>
    <cellStyle name="Followed Hyperlink" xfId="9938" builtinId="9" hidden="1"/>
    <cellStyle name="Followed Hyperlink" xfId="9940" builtinId="9" hidden="1"/>
    <cellStyle name="Followed Hyperlink" xfId="9942" builtinId="9" hidden="1"/>
    <cellStyle name="Followed Hyperlink" xfId="9944" builtinId="9" hidden="1"/>
    <cellStyle name="Followed Hyperlink" xfId="9946" builtinId="9" hidden="1"/>
    <cellStyle name="Followed Hyperlink" xfId="9948" builtinId="9" hidden="1"/>
    <cellStyle name="Followed Hyperlink" xfId="9950" builtinId="9" hidden="1"/>
    <cellStyle name="Followed Hyperlink" xfId="9952" builtinId="9" hidden="1"/>
    <cellStyle name="Followed Hyperlink" xfId="9954" builtinId="9" hidden="1"/>
    <cellStyle name="Followed Hyperlink" xfId="9956" builtinId="9" hidden="1"/>
    <cellStyle name="Followed Hyperlink" xfId="9958" builtinId="9" hidden="1"/>
    <cellStyle name="Followed Hyperlink" xfId="9960" builtinId="9" hidden="1"/>
    <cellStyle name="Followed Hyperlink" xfId="9962" builtinId="9" hidden="1"/>
    <cellStyle name="Followed Hyperlink" xfId="9964" builtinId="9" hidden="1"/>
    <cellStyle name="Followed Hyperlink" xfId="9966" builtinId="9" hidden="1"/>
    <cellStyle name="Followed Hyperlink" xfId="9968" builtinId="9" hidden="1"/>
    <cellStyle name="Followed Hyperlink" xfId="9970" builtinId="9" hidden="1"/>
    <cellStyle name="Followed Hyperlink" xfId="9972" builtinId="9" hidden="1"/>
    <cellStyle name="Followed Hyperlink" xfId="9974" builtinId="9" hidden="1"/>
    <cellStyle name="Followed Hyperlink" xfId="9976" builtinId="9" hidden="1"/>
    <cellStyle name="Followed Hyperlink" xfId="9978" builtinId="9" hidden="1"/>
    <cellStyle name="Followed Hyperlink" xfId="9980" builtinId="9" hidden="1"/>
    <cellStyle name="Followed Hyperlink" xfId="9982" builtinId="9" hidden="1"/>
    <cellStyle name="Followed Hyperlink" xfId="9984" builtinId="9" hidden="1"/>
    <cellStyle name="Followed Hyperlink" xfId="9986" builtinId="9" hidden="1"/>
    <cellStyle name="Followed Hyperlink" xfId="9988" builtinId="9" hidden="1"/>
    <cellStyle name="Followed Hyperlink" xfId="9990" builtinId="9" hidden="1"/>
    <cellStyle name="Followed Hyperlink" xfId="9992" builtinId="9" hidden="1"/>
    <cellStyle name="Followed Hyperlink" xfId="9994" builtinId="9" hidden="1"/>
    <cellStyle name="Followed Hyperlink" xfId="9996" builtinId="9" hidden="1"/>
    <cellStyle name="Followed Hyperlink" xfId="9998" builtinId="9" hidden="1"/>
    <cellStyle name="Followed Hyperlink" xfId="10000" builtinId="9" hidden="1"/>
    <cellStyle name="Followed Hyperlink" xfId="10002" builtinId="9" hidden="1"/>
    <cellStyle name="Followed Hyperlink" xfId="10004" builtinId="9" hidden="1"/>
    <cellStyle name="Followed Hyperlink" xfId="10006" builtinId="9" hidden="1"/>
    <cellStyle name="Followed Hyperlink" xfId="10008" builtinId="9" hidden="1"/>
    <cellStyle name="Followed Hyperlink" xfId="10010" builtinId="9" hidden="1"/>
    <cellStyle name="Followed Hyperlink" xfId="10012" builtinId="9" hidden="1"/>
    <cellStyle name="Followed Hyperlink" xfId="10014" builtinId="9" hidden="1"/>
    <cellStyle name="Followed Hyperlink" xfId="10016" builtinId="9" hidden="1"/>
    <cellStyle name="Followed Hyperlink" xfId="10018" builtinId="9" hidden="1"/>
    <cellStyle name="Followed Hyperlink" xfId="10020" builtinId="9" hidden="1"/>
    <cellStyle name="Followed Hyperlink" xfId="10022" builtinId="9" hidden="1"/>
    <cellStyle name="Followed Hyperlink" xfId="10024" builtinId="9" hidden="1"/>
    <cellStyle name="Followed Hyperlink" xfId="10026" builtinId="9" hidden="1"/>
    <cellStyle name="Followed Hyperlink" xfId="10028" builtinId="9" hidden="1"/>
    <cellStyle name="Followed Hyperlink" xfId="10030" builtinId="9" hidden="1"/>
    <cellStyle name="Followed Hyperlink" xfId="10032" builtinId="9" hidden="1"/>
    <cellStyle name="Followed Hyperlink" xfId="10034" builtinId="9" hidden="1"/>
    <cellStyle name="Followed Hyperlink" xfId="10036" builtinId="9" hidden="1"/>
    <cellStyle name="Followed Hyperlink" xfId="10038" builtinId="9" hidden="1"/>
    <cellStyle name="Followed Hyperlink" xfId="10040" builtinId="9" hidden="1"/>
    <cellStyle name="Followed Hyperlink" xfId="10042" builtinId="9" hidden="1"/>
    <cellStyle name="Followed Hyperlink" xfId="10044" builtinId="9" hidden="1"/>
    <cellStyle name="Followed Hyperlink" xfId="10046" builtinId="9" hidden="1"/>
    <cellStyle name="Followed Hyperlink" xfId="10048" builtinId="9" hidden="1"/>
    <cellStyle name="Followed Hyperlink" xfId="10050" builtinId="9" hidden="1"/>
    <cellStyle name="Followed Hyperlink" xfId="10052" builtinId="9" hidden="1"/>
    <cellStyle name="Followed Hyperlink" xfId="10054" builtinId="9" hidden="1"/>
    <cellStyle name="Followed Hyperlink" xfId="10056" builtinId="9" hidden="1"/>
    <cellStyle name="Followed Hyperlink" xfId="10058" builtinId="9" hidden="1"/>
    <cellStyle name="Followed Hyperlink" xfId="10060" builtinId="9" hidden="1"/>
    <cellStyle name="Followed Hyperlink" xfId="10062" builtinId="9" hidden="1"/>
    <cellStyle name="Followed Hyperlink" xfId="10064" builtinId="9" hidden="1"/>
    <cellStyle name="Followed Hyperlink" xfId="10066" builtinId="9" hidden="1"/>
    <cellStyle name="Followed Hyperlink" xfId="10068" builtinId="9" hidden="1"/>
    <cellStyle name="Followed Hyperlink" xfId="10070" builtinId="9" hidden="1"/>
    <cellStyle name="Followed Hyperlink" xfId="10072" builtinId="9" hidden="1"/>
    <cellStyle name="Followed Hyperlink" xfId="10074" builtinId="9" hidden="1"/>
    <cellStyle name="Followed Hyperlink" xfId="10076" builtinId="9" hidden="1"/>
    <cellStyle name="Followed Hyperlink" xfId="10078" builtinId="9" hidden="1"/>
    <cellStyle name="Followed Hyperlink" xfId="10080" builtinId="9" hidden="1"/>
    <cellStyle name="Followed Hyperlink" xfId="10082" builtinId="9" hidden="1"/>
    <cellStyle name="Followed Hyperlink" xfId="10084" builtinId="9" hidden="1"/>
    <cellStyle name="Followed Hyperlink" xfId="10086" builtinId="9" hidden="1"/>
    <cellStyle name="Followed Hyperlink" xfId="10088" builtinId="9" hidden="1"/>
    <cellStyle name="Followed Hyperlink" xfId="10090" builtinId="9" hidden="1"/>
    <cellStyle name="Followed Hyperlink" xfId="10092" builtinId="9" hidden="1"/>
    <cellStyle name="Followed Hyperlink" xfId="10094" builtinId="9" hidden="1"/>
    <cellStyle name="Followed Hyperlink" xfId="10096" builtinId="9" hidden="1"/>
    <cellStyle name="Followed Hyperlink" xfId="10098" builtinId="9" hidden="1"/>
    <cellStyle name="Followed Hyperlink" xfId="10100" builtinId="9" hidden="1"/>
    <cellStyle name="Followed Hyperlink" xfId="10102" builtinId="9" hidden="1"/>
    <cellStyle name="Followed Hyperlink" xfId="10104" builtinId="9" hidden="1"/>
    <cellStyle name="Followed Hyperlink" xfId="10106" builtinId="9" hidden="1"/>
    <cellStyle name="Followed Hyperlink" xfId="10108" builtinId="9" hidden="1"/>
    <cellStyle name="Followed Hyperlink" xfId="10110" builtinId="9" hidden="1"/>
    <cellStyle name="Followed Hyperlink" xfId="10112" builtinId="9" hidden="1"/>
    <cellStyle name="Followed Hyperlink" xfId="10114" builtinId="9" hidden="1"/>
    <cellStyle name="Followed Hyperlink" xfId="10116" builtinId="9" hidden="1"/>
    <cellStyle name="Followed Hyperlink" xfId="10118" builtinId="9" hidden="1"/>
    <cellStyle name="Followed Hyperlink" xfId="10120" builtinId="9" hidden="1"/>
    <cellStyle name="Followed Hyperlink" xfId="10122" builtinId="9" hidden="1"/>
    <cellStyle name="Followed Hyperlink" xfId="10124" builtinId="9" hidden="1"/>
    <cellStyle name="Followed Hyperlink" xfId="10126" builtinId="9" hidden="1"/>
    <cellStyle name="Followed Hyperlink" xfId="10128" builtinId="9" hidden="1"/>
    <cellStyle name="Followed Hyperlink" xfId="10130" builtinId="9" hidden="1"/>
    <cellStyle name="Followed Hyperlink" xfId="10132" builtinId="9" hidden="1"/>
    <cellStyle name="Followed Hyperlink" xfId="10134" builtinId="9" hidden="1"/>
    <cellStyle name="Followed Hyperlink" xfId="10136" builtinId="9" hidden="1"/>
    <cellStyle name="Followed Hyperlink" xfId="10138" builtinId="9" hidden="1"/>
    <cellStyle name="Followed Hyperlink" xfId="10140" builtinId="9" hidden="1"/>
    <cellStyle name="Followed Hyperlink" xfId="10142" builtinId="9" hidden="1"/>
    <cellStyle name="Followed Hyperlink" xfId="10144" builtinId="9" hidden="1"/>
    <cellStyle name="Followed Hyperlink" xfId="10146" builtinId="9" hidden="1"/>
    <cellStyle name="Followed Hyperlink" xfId="10148" builtinId="9" hidden="1"/>
    <cellStyle name="Followed Hyperlink" xfId="10150" builtinId="9" hidden="1"/>
    <cellStyle name="Followed Hyperlink" xfId="10152" builtinId="9" hidden="1"/>
    <cellStyle name="Followed Hyperlink" xfId="10154" builtinId="9" hidden="1"/>
    <cellStyle name="Followed Hyperlink" xfId="10156" builtinId="9" hidden="1"/>
    <cellStyle name="Followed Hyperlink" xfId="10158" builtinId="9" hidden="1"/>
    <cellStyle name="Followed Hyperlink" xfId="10160" builtinId="9" hidden="1"/>
    <cellStyle name="Followed Hyperlink" xfId="10162" builtinId="9" hidden="1"/>
    <cellStyle name="Followed Hyperlink" xfId="10164" builtinId="9" hidden="1"/>
    <cellStyle name="Followed Hyperlink" xfId="10166" builtinId="9" hidden="1"/>
    <cellStyle name="Followed Hyperlink" xfId="10168" builtinId="9" hidden="1"/>
    <cellStyle name="Followed Hyperlink" xfId="10170" builtinId="9" hidden="1"/>
    <cellStyle name="Followed Hyperlink" xfId="10172" builtinId="9" hidden="1"/>
    <cellStyle name="Followed Hyperlink" xfId="10174" builtinId="9" hidden="1"/>
    <cellStyle name="Followed Hyperlink" xfId="10176" builtinId="9" hidden="1"/>
    <cellStyle name="Followed Hyperlink" xfId="10178" builtinId="9" hidden="1"/>
    <cellStyle name="Followed Hyperlink" xfId="10180" builtinId="9" hidden="1"/>
    <cellStyle name="Followed Hyperlink" xfId="10182" builtinId="9" hidden="1"/>
    <cellStyle name="Followed Hyperlink" xfId="10184" builtinId="9" hidden="1"/>
    <cellStyle name="Followed Hyperlink" xfId="10186" builtinId="9" hidden="1"/>
    <cellStyle name="Followed Hyperlink" xfId="10188" builtinId="9" hidden="1"/>
    <cellStyle name="Followed Hyperlink" xfId="10190" builtinId="9" hidden="1"/>
    <cellStyle name="Followed Hyperlink" xfId="10192" builtinId="9" hidden="1"/>
    <cellStyle name="Followed Hyperlink" xfId="10194" builtinId="9" hidden="1"/>
    <cellStyle name="Followed Hyperlink" xfId="10196" builtinId="9" hidden="1"/>
    <cellStyle name="Followed Hyperlink" xfId="10198" builtinId="9" hidden="1"/>
    <cellStyle name="Followed Hyperlink" xfId="10200" builtinId="9" hidden="1"/>
    <cellStyle name="Followed Hyperlink" xfId="10202" builtinId="9" hidden="1"/>
    <cellStyle name="Followed Hyperlink" xfId="10204" builtinId="9" hidden="1"/>
    <cellStyle name="Followed Hyperlink" xfId="10206" builtinId="9" hidden="1"/>
    <cellStyle name="Followed Hyperlink" xfId="10208" builtinId="9" hidden="1"/>
    <cellStyle name="Followed Hyperlink" xfId="10210" builtinId="9" hidden="1"/>
    <cellStyle name="Followed Hyperlink" xfId="10212" builtinId="9" hidden="1"/>
    <cellStyle name="Followed Hyperlink" xfId="10214" builtinId="9" hidden="1"/>
    <cellStyle name="Followed Hyperlink" xfId="10216" builtinId="9" hidden="1"/>
    <cellStyle name="Followed Hyperlink" xfId="10218" builtinId="9" hidden="1"/>
    <cellStyle name="Followed Hyperlink" xfId="10220" builtinId="9" hidden="1"/>
    <cellStyle name="Followed Hyperlink" xfId="10222" builtinId="9" hidden="1"/>
    <cellStyle name="Followed Hyperlink" xfId="10224" builtinId="9" hidden="1"/>
    <cellStyle name="Followed Hyperlink" xfId="10226" builtinId="9" hidden="1"/>
    <cellStyle name="Followed Hyperlink" xfId="10228" builtinId="9" hidden="1"/>
    <cellStyle name="Followed Hyperlink" xfId="10230" builtinId="9" hidden="1"/>
    <cellStyle name="Followed Hyperlink" xfId="10232" builtinId="9" hidden="1"/>
    <cellStyle name="Followed Hyperlink" xfId="10234" builtinId="9" hidden="1"/>
    <cellStyle name="Followed Hyperlink" xfId="10236" builtinId="9" hidden="1"/>
    <cellStyle name="Followed Hyperlink" xfId="10238" builtinId="9" hidden="1"/>
    <cellStyle name="Followed Hyperlink" xfId="10240" builtinId="9" hidden="1"/>
    <cellStyle name="Followed Hyperlink" xfId="10242" builtinId="9" hidden="1"/>
    <cellStyle name="Followed Hyperlink" xfId="10244" builtinId="9" hidden="1"/>
    <cellStyle name="Followed Hyperlink" xfId="10246" builtinId="9" hidden="1"/>
    <cellStyle name="Followed Hyperlink" xfId="10248" builtinId="9" hidden="1"/>
    <cellStyle name="Followed Hyperlink" xfId="10250" builtinId="9" hidden="1"/>
    <cellStyle name="Followed Hyperlink" xfId="10252" builtinId="9" hidden="1"/>
    <cellStyle name="Followed Hyperlink" xfId="10254" builtinId="9" hidden="1"/>
    <cellStyle name="Followed Hyperlink" xfId="10256" builtinId="9" hidden="1"/>
    <cellStyle name="Followed Hyperlink" xfId="10258" builtinId="9" hidden="1"/>
    <cellStyle name="Followed Hyperlink" xfId="10260" builtinId="9" hidden="1"/>
    <cellStyle name="Followed Hyperlink" xfId="10262" builtinId="9" hidden="1"/>
    <cellStyle name="Followed Hyperlink" xfId="10264" builtinId="9" hidden="1"/>
    <cellStyle name="Followed Hyperlink" xfId="10266" builtinId="9" hidden="1"/>
    <cellStyle name="Followed Hyperlink" xfId="10268" builtinId="9" hidden="1"/>
    <cellStyle name="Followed Hyperlink" xfId="10270" builtinId="9" hidden="1"/>
    <cellStyle name="Followed Hyperlink" xfId="10272" builtinId="9" hidden="1"/>
    <cellStyle name="Followed Hyperlink" xfId="10274" builtinId="9" hidden="1"/>
    <cellStyle name="Followed Hyperlink" xfId="10276" builtinId="9" hidden="1"/>
    <cellStyle name="Followed Hyperlink" xfId="10278" builtinId="9" hidden="1"/>
    <cellStyle name="Followed Hyperlink" xfId="10280" builtinId="9" hidden="1"/>
    <cellStyle name="Followed Hyperlink" xfId="10282" builtinId="9" hidden="1"/>
    <cellStyle name="Followed Hyperlink" xfId="10284" builtinId="9" hidden="1"/>
    <cellStyle name="Followed Hyperlink" xfId="10286" builtinId="9" hidden="1"/>
    <cellStyle name="Followed Hyperlink" xfId="10288" builtinId="9" hidden="1"/>
    <cellStyle name="Followed Hyperlink" xfId="10290" builtinId="9" hidden="1"/>
    <cellStyle name="Followed Hyperlink" xfId="10292" builtinId="9" hidden="1"/>
    <cellStyle name="Followed Hyperlink" xfId="10294" builtinId="9" hidden="1"/>
    <cellStyle name="Followed Hyperlink" xfId="10296" builtinId="9" hidden="1"/>
    <cellStyle name="Followed Hyperlink" xfId="10298" builtinId="9" hidden="1"/>
    <cellStyle name="Followed Hyperlink" xfId="10300" builtinId="9" hidden="1"/>
    <cellStyle name="Followed Hyperlink" xfId="10302" builtinId="9" hidden="1"/>
    <cellStyle name="Followed Hyperlink" xfId="10304" builtinId="9" hidden="1"/>
    <cellStyle name="Followed Hyperlink" xfId="10306" builtinId="9" hidden="1"/>
    <cellStyle name="Followed Hyperlink" xfId="10308" builtinId="9" hidden="1"/>
    <cellStyle name="Followed Hyperlink" xfId="10310" builtinId="9" hidden="1"/>
    <cellStyle name="Followed Hyperlink" xfId="10312" builtinId="9" hidden="1"/>
    <cellStyle name="Followed Hyperlink" xfId="10314" builtinId="9" hidden="1"/>
    <cellStyle name="Followed Hyperlink" xfId="10316" builtinId="9" hidden="1"/>
    <cellStyle name="Followed Hyperlink" xfId="10318" builtinId="9" hidden="1"/>
    <cellStyle name="Followed Hyperlink" xfId="10320" builtinId="9" hidden="1"/>
    <cellStyle name="Followed Hyperlink" xfId="10322" builtinId="9" hidden="1"/>
    <cellStyle name="Followed Hyperlink" xfId="10324" builtinId="9" hidden="1"/>
    <cellStyle name="Followed Hyperlink" xfId="10326" builtinId="9" hidden="1"/>
    <cellStyle name="Followed Hyperlink" xfId="10328" builtinId="9" hidden="1"/>
    <cellStyle name="Followed Hyperlink" xfId="10330" builtinId="9" hidden="1"/>
    <cellStyle name="Followed Hyperlink" xfId="10332" builtinId="9" hidden="1"/>
    <cellStyle name="Followed Hyperlink" xfId="10334" builtinId="9" hidden="1"/>
    <cellStyle name="Followed Hyperlink" xfId="10336" builtinId="9" hidden="1"/>
    <cellStyle name="Followed Hyperlink" xfId="10338" builtinId="9" hidden="1"/>
    <cellStyle name="Followed Hyperlink" xfId="10340" builtinId="9" hidden="1"/>
    <cellStyle name="Followed Hyperlink" xfId="10342" builtinId="9" hidden="1"/>
    <cellStyle name="Followed Hyperlink" xfId="10344" builtinId="9" hidden="1"/>
    <cellStyle name="Followed Hyperlink" xfId="10346" builtinId="9" hidden="1"/>
    <cellStyle name="Followed Hyperlink" xfId="10348" builtinId="9" hidden="1"/>
    <cellStyle name="Followed Hyperlink" xfId="10350" builtinId="9" hidden="1"/>
    <cellStyle name="Followed Hyperlink" xfId="10352" builtinId="9" hidden="1"/>
    <cellStyle name="Followed Hyperlink" xfId="10354" builtinId="9" hidden="1"/>
    <cellStyle name="Followed Hyperlink" xfId="10356" builtinId="9" hidden="1"/>
    <cellStyle name="Followed Hyperlink" xfId="10358" builtinId="9" hidden="1"/>
    <cellStyle name="Followed Hyperlink" xfId="10360" builtinId="9" hidden="1"/>
    <cellStyle name="Followed Hyperlink" xfId="10362" builtinId="9" hidden="1"/>
    <cellStyle name="Followed Hyperlink" xfId="10364" builtinId="9" hidden="1"/>
    <cellStyle name="Followed Hyperlink" xfId="10366" builtinId="9" hidden="1"/>
    <cellStyle name="Followed Hyperlink" xfId="10368" builtinId="9" hidden="1"/>
    <cellStyle name="Followed Hyperlink" xfId="10370" builtinId="9" hidden="1"/>
    <cellStyle name="Followed Hyperlink" xfId="10372" builtinId="9" hidden="1"/>
    <cellStyle name="Followed Hyperlink" xfId="10374" builtinId="9" hidden="1"/>
    <cellStyle name="Followed Hyperlink" xfId="10376" builtinId="9" hidden="1"/>
    <cellStyle name="Followed Hyperlink" xfId="10378" builtinId="9" hidden="1"/>
    <cellStyle name="Followed Hyperlink" xfId="10380" builtinId="9" hidden="1"/>
    <cellStyle name="Followed Hyperlink" xfId="10382" builtinId="9" hidden="1"/>
    <cellStyle name="Followed Hyperlink" xfId="10384" builtinId="9" hidden="1"/>
    <cellStyle name="Followed Hyperlink" xfId="10386" builtinId="9" hidden="1"/>
    <cellStyle name="Followed Hyperlink" xfId="10388" builtinId="9" hidden="1"/>
    <cellStyle name="Followed Hyperlink" xfId="10390" builtinId="9" hidden="1"/>
    <cellStyle name="Followed Hyperlink" xfId="10392" builtinId="9" hidden="1"/>
    <cellStyle name="Followed Hyperlink" xfId="10394" builtinId="9" hidden="1"/>
    <cellStyle name="Followed Hyperlink" xfId="10396" builtinId="9" hidden="1"/>
    <cellStyle name="Followed Hyperlink" xfId="10398" builtinId="9" hidden="1"/>
    <cellStyle name="Followed Hyperlink" xfId="10400" builtinId="9" hidden="1"/>
    <cellStyle name="Followed Hyperlink" xfId="10402" builtinId="9" hidden="1"/>
    <cellStyle name="Followed Hyperlink" xfId="10404" builtinId="9" hidden="1"/>
    <cellStyle name="Followed Hyperlink" xfId="10406" builtinId="9" hidden="1"/>
    <cellStyle name="Followed Hyperlink" xfId="10408" builtinId="9" hidden="1"/>
    <cellStyle name="Followed Hyperlink" xfId="10410" builtinId="9" hidden="1"/>
    <cellStyle name="Followed Hyperlink" xfId="10412" builtinId="9" hidden="1"/>
    <cellStyle name="Followed Hyperlink" xfId="10414" builtinId="9" hidden="1"/>
    <cellStyle name="Followed Hyperlink" xfId="10416" builtinId="9" hidden="1"/>
    <cellStyle name="Followed Hyperlink" xfId="10418" builtinId="9" hidden="1"/>
    <cellStyle name="Followed Hyperlink" xfId="10420" builtinId="9" hidden="1"/>
    <cellStyle name="Followed Hyperlink" xfId="10422" builtinId="9" hidden="1"/>
    <cellStyle name="Followed Hyperlink" xfId="10424" builtinId="9" hidden="1"/>
    <cellStyle name="Followed Hyperlink" xfId="10426" builtinId="9" hidden="1"/>
    <cellStyle name="Followed Hyperlink" xfId="10428" builtinId="9" hidden="1"/>
    <cellStyle name="Followed Hyperlink" xfId="10430" builtinId="9" hidden="1"/>
    <cellStyle name="Followed Hyperlink" xfId="10432" builtinId="9" hidden="1"/>
    <cellStyle name="Followed Hyperlink" xfId="10434" builtinId="9" hidden="1"/>
    <cellStyle name="Followed Hyperlink" xfId="10436" builtinId="9" hidden="1"/>
    <cellStyle name="Followed Hyperlink" xfId="10438" builtinId="9" hidden="1"/>
    <cellStyle name="Followed Hyperlink" xfId="10440" builtinId="9" hidden="1"/>
    <cellStyle name="Followed Hyperlink" xfId="10442" builtinId="9" hidden="1"/>
    <cellStyle name="Followed Hyperlink" xfId="10444" builtinId="9" hidden="1"/>
    <cellStyle name="Followed Hyperlink" xfId="10446" builtinId="9" hidden="1"/>
    <cellStyle name="Followed Hyperlink" xfId="10448" builtinId="9" hidden="1"/>
    <cellStyle name="Followed Hyperlink" xfId="10450" builtinId="9" hidden="1"/>
    <cellStyle name="Followed Hyperlink" xfId="10452" builtinId="9" hidden="1"/>
    <cellStyle name="Followed Hyperlink" xfId="10454" builtinId="9" hidden="1"/>
    <cellStyle name="Followed Hyperlink" xfId="10456" builtinId="9" hidden="1"/>
    <cellStyle name="Followed Hyperlink" xfId="10458" builtinId="9" hidden="1"/>
    <cellStyle name="Followed Hyperlink" xfId="10460" builtinId="9" hidden="1"/>
    <cellStyle name="Followed Hyperlink" xfId="10462" builtinId="9" hidden="1"/>
    <cellStyle name="Followed Hyperlink" xfId="10464" builtinId="9" hidden="1"/>
    <cellStyle name="Followed Hyperlink" xfId="10466" builtinId="9" hidden="1"/>
    <cellStyle name="Followed Hyperlink" xfId="10468" builtinId="9" hidden="1"/>
    <cellStyle name="Followed Hyperlink" xfId="10470" builtinId="9" hidden="1"/>
    <cellStyle name="Followed Hyperlink" xfId="10472" builtinId="9" hidden="1"/>
    <cellStyle name="Followed Hyperlink" xfId="10474" builtinId="9" hidden="1"/>
    <cellStyle name="Followed Hyperlink" xfId="10476" builtinId="9" hidden="1"/>
    <cellStyle name="Followed Hyperlink" xfId="10478" builtinId="9" hidden="1"/>
    <cellStyle name="Followed Hyperlink" xfId="10480" builtinId="9" hidden="1"/>
    <cellStyle name="Followed Hyperlink" xfId="10482" builtinId="9" hidden="1"/>
    <cellStyle name="Followed Hyperlink" xfId="10484" builtinId="9" hidden="1"/>
    <cellStyle name="Followed Hyperlink" xfId="10486" builtinId="9" hidden="1"/>
    <cellStyle name="Followed Hyperlink" xfId="10488" builtinId="9" hidden="1"/>
    <cellStyle name="Followed Hyperlink" xfId="10490" builtinId="9" hidden="1"/>
    <cellStyle name="Followed Hyperlink" xfId="10492" builtinId="9" hidden="1"/>
    <cellStyle name="Followed Hyperlink" xfId="10494" builtinId="9" hidden="1"/>
    <cellStyle name="Followed Hyperlink" xfId="10496" builtinId="9" hidden="1"/>
    <cellStyle name="Followed Hyperlink" xfId="10498" builtinId="9" hidden="1"/>
    <cellStyle name="Followed Hyperlink" xfId="10500" builtinId="9" hidden="1"/>
    <cellStyle name="Followed Hyperlink" xfId="10502" builtinId="9" hidden="1"/>
    <cellStyle name="Followed Hyperlink" xfId="10504" builtinId="9" hidden="1"/>
    <cellStyle name="Followed Hyperlink" xfId="10506" builtinId="9" hidden="1"/>
    <cellStyle name="Followed Hyperlink" xfId="10508" builtinId="9" hidden="1"/>
    <cellStyle name="Followed Hyperlink" xfId="10510" builtinId="9" hidden="1"/>
    <cellStyle name="Followed Hyperlink" xfId="10512" builtinId="9" hidden="1"/>
    <cellStyle name="Followed Hyperlink" xfId="10514" builtinId="9" hidden="1"/>
    <cellStyle name="Followed Hyperlink" xfId="10516" builtinId="9" hidden="1"/>
    <cellStyle name="Followed Hyperlink" xfId="10518" builtinId="9" hidden="1"/>
    <cellStyle name="Followed Hyperlink" xfId="10520" builtinId="9" hidden="1"/>
    <cellStyle name="Followed Hyperlink" xfId="10522" builtinId="9" hidden="1"/>
    <cellStyle name="Followed Hyperlink" xfId="10524" builtinId="9" hidden="1"/>
    <cellStyle name="Followed Hyperlink" xfId="10526" builtinId="9" hidden="1"/>
    <cellStyle name="Followed Hyperlink" xfId="10528" builtinId="9" hidden="1"/>
    <cellStyle name="Followed Hyperlink" xfId="10530" builtinId="9" hidden="1"/>
    <cellStyle name="Followed Hyperlink" xfId="10532" builtinId="9" hidden="1"/>
    <cellStyle name="Followed Hyperlink" xfId="10534" builtinId="9" hidden="1"/>
    <cellStyle name="Followed Hyperlink" xfId="10536" builtinId="9" hidden="1"/>
    <cellStyle name="Followed Hyperlink" xfId="10538" builtinId="9" hidden="1"/>
    <cellStyle name="Followed Hyperlink" xfId="10540" builtinId="9" hidden="1"/>
    <cellStyle name="Followed Hyperlink" xfId="10542" builtinId="9" hidden="1"/>
    <cellStyle name="Followed Hyperlink" xfId="10544" builtinId="9" hidden="1"/>
    <cellStyle name="Followed Hyperlink" xfId="10546" builtinId="9" hidden="1"/>
    <cellStyle name="Followed Hyperlink" xfId="10548" builtinId="9" hidden="1"/>
    <cellStyle name="Followed Hyperlink" xfId="10550" builtinId="9" hidden="1"/>
    <cellStyle name="Followed Hyperlink" xfId="10552" builtinId="9" hidden="1"/>
    <cellStyle name="Followed Hyperlink" xfId="10554" builtinId="9" hidden="1"/>
    <cellStyle name="Followed Hyperlink" xfId="10556" builtinId="9" hidden="1"/>
    <cellStyle name="Followed Hyperlink" xfId="10558" builtinId="9" hidden="1"/>
    <cellStyle name="Followed Hyperlink" xfId="10560" builtinId="9" hidden="1"/>
    <cellStyle name="Followed Hyperlink" xfId="10562" builtinId="9" hidden="1"/>
    <cellStyle name="Followed Hyperlink" xfId="10564" builtinId="9" hidden="1"/>
    <cellStyle name="Followed Hyperlink" xfId="10566" builtinId="9" hidden="1"/>
    <cellStyle name="Followed Hyperlink" xfId="10568" builtinId="9" hidden="1"/>
    <cellStyle name="Followed Hyperlink" xfId="10570" builtinId="9" hidden="1"/>
    <cellStyle name="Followed Hyperlink" xfId="10572" builtinId="9" hidden="1"/>
    <cellStyle name="Followed Hyperlink" xfId="10574" builtinId="9" hidden="1"/>
    <cellStyle name="Followed Hyperlink" xfId="10576" builtinId="9" hidden="1"/>
    <cellStyle name="Followed Hyperlink" xfId="10578" builtinId="9" hidden="1"/>
    <cellStyle name="Followed Hyperlink" xfId="10580" builtinId="9" hidden="1"/>
    <cellStyle name="Followed Hyperlink" xfId="10582" builtinId="9" hidden="1"/>
    <cellStyle name="Followed Hyperlink" xfId="10584" builtinId="9" hidden="1"/>
    <cellStyle name="Followed Hyperlink" xfId="10586" builtinId="9" hidden="1"/>
    <cellStyle name="Followed Hyperlink" xfId="10588" builtinId="9" hidden="1"/>
    <cellStyle name="Followed Hyperlink" xfId="10590" builtinId="9" hidden="1"/>
    <cellStyle name="Followed Hyperlink" xfId="10592" builtinId="9" hidden="1"/>
    <cellStyle name="Followed Hyperlink" xfId="10594" builtinId="9" hidden="1"/>
    <cellStyle name="Followed Hyperlink" xfId="10596" builtinId="9" hidden="1"/>
    <cellStyle name="Followed Hyperlink" xfId="10598" builtinId="9" hidden="1"/>
    <cellStyle name="Followed Hyperlink" xfId="10600" builtinId="9" hidden="1"/>
    <cellStyle name="Followed Hyperlink" xfId="10602" builtinId="9" hidden="1"/>
    <cellStyle name="Followed Hyperlink" xfId="10604" builtinId="9" hidden="1"/>
    <cellStyle name="Followed Hyperlink" xfId="10606" builtinId="9" hidden="1"/>
    <cellStyle name="Followed Hyperlink" xfId="10608" builtinId="9" hidden="1"/>
    <cellStyle name="Followed Hyperlink" xfId="10610" builtinId="9" hidden="1"/>
    <cellStyle name="Followed Hyperlink" xfId="10612" builtinId="9" hidden="1"/>
    <cellStyle name="Followed Hyperlink" xfId="10614" builtinId="9" hidden="1"/>
    <cellStyle name="Followed Hyperlink" xfId="10616" builtinId="9" hidden="1"/>
    <cellStyle name="Followed Hyperlink" xfId="10618" builtinId="9" hidden="1"/>
    <cellStyle name="Followed Hyperlink" xfId="10620" builtinId="9" hidden="1"/>
    <cellStyle name="Followed Hyperlink" xfId="10622" builtinId="9" hidden="1"/>
    <cellStyle name="Followed Hyperlink" xfId="10624" builtinId="9" hidden="1"/>
    <cellStyle name="Followed Hyperlink" xfId="10626" builtinId="9" hidden="1"/>
    <cellStyle name="Followed Hyperlink" xfId="10628" builtinId="9" hidden="1"/>
    <cellStyle name="Followed Hyperlink" xfId="10630" builtinId="9" hidden="1"/>
    <cellStyle name="Followed Hyperlink" xfId="10632" builtinId="9" hidden="1"/>
    <cellStyle name="Followed Hyperlink" xfId="10634" builtinId="9" hidden="1"/>
    <cellStyle name="Followed Hyperlink" xfId="10636" builtinId="9" hidden="1"/>
    <cellStyle name="Followed Hyperlink" xfId="10638" builtinId="9" hidden="1"/>
    <cellStyle name="Followed Hyperlink" xfId="10640" builtinId="9" hidden="1"/>
    <cellStyle name="Followed Hyperlink" xfId="10642" builtinId="9" hidden="1"/>
    <cellStyle name="Followed Hyperlink" xfId="10644" builtinId="9" hidden="1"/>
    <cellStyle name="Followed Hyperlink" xfId="10646" builtinId="9" hidden="1"/>
    <cellStyle name="Followed Hyperlink" xfId="10648" builtinId="9" hidden="1"/>
    <cellStyle name="Followed Hyperlink" xfId="10650" builtinId="9" hidden="1"/>
    <cellStyle name="Followed Hyperlink" xfId="10652" builtinId="9" hidden="1"/>
    <cellStyle name="Followed Hyperlink" xfId="10654" builtinId="9" hidden="1"/>
    <cellStyle name="Followed Hyperlink" xfId="10656" builtinId="9" hidden="1"/>
    <cellStyle name="Followed Hyperlink" xfId="10658" builtinId="9" hidden="1"/>
    <cellStyle name="Followed Hyperlink" xfId="10660" builtinId="9" hidden="1"/>
    <cellStyle name="Followed Hyperlink" xfId="10662" builtinId="9" hidden="1"/>
    <cellStyle name="Followed Hyperlink" xfId="10664" builtinId="9" hidden="1"/>
    <cellStyle name="Followed Hyperlink" xfId="10666" builtinId="9" hidden="1"/>
    <cellStyle name="Followed Hyperlink" xfId="10668" builtinId="9" hidden="1"/>
    <cellStyle name="Followed Hyperlink" xfId="10670" builtinId="9" hidden="1"/>
    <cellStyle name="Followed Hyperlink" xfId="10672" builtinId="9" hidden="1"/>
    <cellStyle name="Followed Hyperlink" xfId="10674" builtinId="9" hidden="1"/>
    <cellStyle name="Followed Hyperlink" xfId="10676" builtinId="9" hidden="1"/>
    <cellStyle name="Followed Hyperlink" xfId="10678" builtinId="9" hidden="1"/>
    <cellStyle name="Followed Hyperlink" xfId="10680" builtinId="9" hidden="1"/>
    <cellStyle name="Followed Hyperlink" xfId="10682" builtinId="9" hidden="1"/>
    <cellStyle name="Followed Hyperlink" xfId="10684" builtinId="9" hidden="1"/>
    <cellStyle name="Followed Hyperlink" xfId="10686" builtinId="9" hidden="1"/>
    <cellStyle name="Followed Hyperlink" xfId="10688" builtinId="9" hidden="1"/>
    <cellStyle name="Followed Hyperlink" xfId="10690" builtinId="9" hidden="1"/>
    <cellStyle name="Followed Hyperlink" xfId="10692" builtinId="9" hidden="1"/>
    <cellStyle name="Followed Hyperlink" xfId="10694" builtinId="9" hidden="1"/>
    <cellStyle name="Followed Hyperlink" xfId="10696" builtinId="9" hidden="1"/>
    <cellStyle name="Followed Hyperlink" xfId="10698" builtinId="9" hidden="1"/>
    <cellStyle name="Followed Hyperlink" xfId="10700" builtinId="9" hidden="1"/>
    <cellStyle name="Followed Hyperlink" xfId="10702" builtinId="9" hidden="1"/>
    <cellStyle name="Followed Hyperlink" xfId="10704" builtinId="9" hidden="1"/>
    <cellStyle name="Followed Hyperlink" xfId="10706" builtinId="9" hidden="1"/>
    <cellStyle name="Followed Hyperlink" xfId="10708" builtinId="9" hidden="1"/>
    <cellStyle name="Followed Hyperlink" xfId="10710" builtinId="9" hidden="1"/>
    <cellStyle name="Followed Hyperlink" xfId="10712" builtinId="9" hidden="1"/>
    <cellStyle name="Followed Hyperlink" xfId="10714" builtinId="9" hidden="1"/>
    <cellStyle name="Followed Hyperlink" xfId="10716" builtinId="9" hidden="1"/>
    <cellStyle name="Followed Hyperlink" xfId="10718" builtinId="9" hidden="1"/>
    <cellStyle name="Followed Hyperlink" xfId="10720" builtinId="9" hidden="1"/>
    <cellStyle name="Followed Hyperlink" xfId="10722" builtinId="9" hidden="1"/>
    <cellStyle name="Followed Hyperlink" xfId="10724" builtinId="9" hidden="1"/>
    <cellStyle name="Followed Hyperlink" xfId="10726" builtinId="9" hidden="1"/>
    <cellStyle name="Followed Hyperlink" xfId="10728" builtinId="9" hidden="1"/>
    <cellStyle name="Followed Hyperlink" xfId="10730" builtinId="9" hidden="1"/>
    <cellStyle name="Followed Hyperlink" xfId="10732" builtinId="9" hidden="1"/>
    <cellStyle name="Followed Hyperlink" xfId="10734" builtinId="9" hidden="1"/>
    <cellStyle name="Followed Hyperlink" xfId="10736" builtinId="9" hidden="1"/>
    <cellStyle name="Followed Hyperlink" xfId="10738" builtinId="9" hidden="1"/>
    <cellStyle name="Followed Hyperlink" xfId="10740" builtinId="9" hidden="1"/>
    <cellStyle name="Followed Hyperlink" xfId="10742" builtinId="9" hidden="1"/>
    <cellStyle name="Followed Hyperlink" xfId="10744" builtinId="9" hidden="1"/>
    <cellStyle name="Followed Hyperlink" xfId="10746" builtinId="9" hidden="1"/>
    <cellStyle name="Followed Hyperlink" xfId="10748" builtinId="9" hidden="1"/>
    <cellStyle name="Followed Hyperlink" xfId="10750" builtinId="9" hidden="1"/>
    <cellStyle name="Followed Hyperlink" xfId="10752" builtinId="9" hidden="1"/>
    <cellStyle name="Followed Hyperlink" xfId="10754" builtinId="9" hidden="1"/>
    <cellStyle name="Followed Hyperlink" xfId="10756" builtinId="9" hidden="1"/>
    <cellStyle name="Followed Hyperlink" xfId="10758" builtinId="9" hidden="1"/>
    <cellStyle name="Followed Hyperlink" xfId="10760" builtinId="9" hidden="1"/>
    <cellStyle name="Followed Hyperlink" xfId="10762" builtinId="9" hidden="1"/>
    <cellStyle name="Followed Hyperlink" xfId="10764" builtinId="9" hidden="1"/>
    <cellStyle name="Followed Hyperlink" xfId="10766" builtinId="9" hidden="1"/>
    <cellStyle name="Followed Hyperlink" xfId="10768" builtinId="9" hidden="1"/>
    <cellStyle name="Followed Hyperlink" xfId="10770" builtinId="9" hidden="1"/>
    <cellStyle name="Followed Hyperlink" xfId="10772" builtinId="9" hidden="1"/>
    <cellStyle name="Followed Hyperlink" xfId="10774" builtinId="9" hidden="1"/>
    <cellStyle name="Followed Hyperlink" xfId="10776" builtinId="9" hidden="1"/>
    <cellStyle name="Followed Hyperlink" xfId="10778" builtinId="9" hidden="1"/>
    <cellStyle name="Followed Hyperlink" xfId="10780" builtinId="9" hidden="1"/>
    <cellStyle name="Followed Hyperlink" xfId="10782" builtinId="9" hidden="1"/>
    <cellStyle name="Followed Hyperlink" xfId="10784" builtinId="9" hidden="1"/>
    <cellStyle name="Followed Hyperlink" xfId="10786" builtinId="9" hidden="1"/>
    <cellStyle name="Followed Hyperlink" xfId="10788" builtinId="9" hidden="1"/>
    <cellStyle name="Followed Hyperlink" xfId="10790" builtinId="9" hidden="1"/>
    <cellStyle name="Followed Hyperlink" xfId="10792" builtinId="9" hidden="1"/>
    <cellStyle name="Followed Hyperlink" xfId="10794" builtinId="9" hidden="1"/>
    <cellStyle name="Followed Hyperlink" xfId="10796" builtinId="9" hidden="1"/>
    <cellStyle name="Followed Hyperlink" xfId="10798" builtinId="9" hidden="1"/>
    <cellStyle name="Followed Hyperlink" xfId="10800" builtinId="9" hidden="1"/>
    <cellStyle name="Followed Hyperlink" xfId="10802" builtinId="9" hidden="1"/>
    <cellStyle name="Followed Hyperlink" xfId="10804" builtinId="9" hidden="1"/>
    <cellStyle name="Followed Hyperlink" xfId="10806" builtinId="9" hidden="1"/>
    <cellStyle name="Followed Hyperlink" xfId="10808" builtinId="9" hidden="1"/>
    <cellStyle name="Followed Hyperlink" xfId="10810" builtinId="9" hidden="1"/>
    <cellStyle name="Followed Hyperlink" xfId="10812" builtinId="9" hidden="1"/>
    <cellStyle name="Followed Hyperlink" xfId="10814" builtinId="9" hidden="1"/>
    <cellStyle name="Followed Hyperlink" xfId="10816" builtinId="9" hidden="1"/>
    <cellStyle name="Followed Hyperlink" xfId="10818" builtinId="9" hidden="1"/>
    <cellStyle name="Followed Hyperlink" xfId="10820" builtinId="9" hidden="1"/>
    <cellStyle name="Followed Hyperlink" xfId="10822" builtinId="9" hidden="1"/>
    <cellStyle name="Followed Hyperlink" xfId="10824" builtinId="9" hidden="1"/>
    <cellStyle name="Followed Hyperlink" xfId="10826" builtinId="9" hidden="1"/>
    <cellStyle name="Followed Hyperlink" xfId="10828" builtinId="9" hidden="1"/>
    <cellStyle name="Followed Hyperlink" xfId="10830" builtinId="9" hidden="1"/>
    <cellStyle name="Followed Hyperlink" xfId="10832" builtinId="9" hidden="1"/>
    <cellStyle name="Followed Hyperlink" xfId="10834" builtinId="9" hidden="1"/>
    <cellStyle name="Followed Hyperlink" xfId="10836" builtinId="9" hidden="1"/>
    <cellStyle name="Followed Hyperlink" xfId="10838" builtinId="9" hidden="1"/>
    <cellStyle name="Followed Hyperlink" xfId="10840" builtinId="9" hidden="1"/>
    <cellStyle name="Followed Hyperlink" xfId="10842" builtinId="9" hidden="1"/>
    <cellStyle name="Followed Hyperlink" xfId="10844" builtinId="9" hidden="1"/>
    <cellStyle name="Followed Hyperlink" xfId="10846" builtinId="9" hidden="1"/>
    <cellStyle name="Followed Hyperlink" xfId="10848" builtinId="9" hidden="1"/>
    <cellStyle name="Followed Hyperlink" xfId="10850" builtinId="9" hidden="1"/>
    <cellStyle name="Followed Hyperlink" xfId="10852" builtinId="9" hidden="1"/>
    <cellStyle name="Followed Hyperlink" xfId="10854" builtinId="9" hidden="1"/>
    <cellStyle name="Followed Hyperlink" xfId="10856" builtinId="9" hidden="1"/>
    <cellStyle name="Followed Hyperlink" xfId="10858" builtinId="9" hidden="1"/>
    <cellStyle name="Followed Hyperlink" xfId="10860" builtinId="9" hidden="1"/>
    <cellStyle name="Followed Hyperlink" xfId="10862" builtinId="9" hidden="1"/>
    <cellStyle name="Followed Hyperlink" xfId="10864" builtinId="9" hidden="1"/>
    <cellStyle name="Followed Hyperlink" xfId="10866" builtinId="9" hidden="1"/>
    <cellStyle name="Followed Hyperlink" xfId="10868" builtinId="9" hidden="1"/>
    <cellStyle name="Followed Hyperlink" xfId="10870" builtinId="9" hidden="1"/>
    <cellStyle name="Followed Hyperlink" xfId="10872" builtinId="9" hidden="1"/>
    <cellStyle name="Followed Hyperlink" xfId="10874" builtinId="9" hidden="1"/>
    <cellStyle name="Followed Hyperlink" xfId="10876" builtinId="9" hidden="1"/>
    <cellStyle name="Followed Hyperlink" xfId="10878" builtinId="9" hidden="1"/>
    <cellStyle name="Followed Hyperlink" xfId="10880" builtinId="9" hidden="1"/>
    <cellStyle name="Followed Hyperlink" xfId="10882" builtinId="9" hidden="1"/>
    <cellStyle name="Followed Hyperlink" xfId="10884" builtinId="9" hidden="1"/>
    <cellStyle name="Followed Hyperlink" xfId="10886" builtinId="9" hidden="1"/>
    <cellStyle name="Followed Hyperlink" xfId="10888" builtinId="9" hidden="1"/>
    <cellStyle name="Followed Hyperlink" xfId="10890" builtinId="9" hidden="1"/>
    <cellStyle name="Followed Hyperlink" xfId="10892" builtinId="9" hidden="1"/>
    <cellStyle name="Followed Hyperlink" xfId="10894" builtinId="9" hidden="1"/>
    <cellStyle name="Followed Hyperlink" xfId="10896" builtinId="9" hidden="1"/>
    <cellStyle name="Followed Hyperlink" xfId="10898" builtinId="9" hidden="1"/>
    <cellStyle name="Followed Hyperlink" xfId="10900" builtinId="9" hidden="1"/>
    <cellStyle name="Followed Hyperlink" xfId="10902" builtinId="9" hidden="1"/>
    <cellStyle name="Followed Hyperlink" xfId="10904" builtinId="9" hidden="1"/>
    <cellStyle name="Followed Hyperlink" xfId="10906" builtinId="9" hidden="1"/>
    <cellStyle name="Followed Hyperlink" xfId="10908" builtinId="9" hidden="1"/>
    <cellStyle name="Followed Hyperlink" xfId="10910" builtinId="9" hidden="1"/>
    <cellStyle name="Followed Hyperlink" xfId="10912" builtinId="9" hidden="1"/>
    <cellStyle name="Followed Hyperlink" xfId="10914" builtinId="9" hidden="1"/>
    <cellStyle name="Followed Hyperlink" xfId="10916" builtinId="9" hidden="1"/>
    <cellStyle name="Followed Hyperlink" xfId="10918" builtinId="9" hidden="1"/>
    <cellStyle name="Followed Hyperlink" xfId="10920" builtinId="9" hidden="1"/>
    <cellStyle name="Followed Hyperlink" xfId="10922" builtinId="9" hidden="1"/>
    <cellStyle name="Followed Hyperlink" xfId="10924" builtinId="9" hidden="1"/>
    <cellStyle name="Followed Hyperlink" xfId="10926" builtinId="9" hidden="1"/>
    <cellStyle name="Followed Hyperlink" xfId="10928" builtinId="9" hidden="1"/>
    <cellStyle name="Followed Hyperlink" xfId="10930" builtinId="9" hidden="1"/>
    <cellStyle name="Followed Hyperlink" xfId="10932" builtinId="9" hidden="1"/>
    <cellStyle name="Followed Hyperlink" xfId="10934" builtinId="9" hidden="1"/>
    <cellStyle name="Followed Hyperlink" xfId="10936" builtinId="9" hidden="1"/>
    <cellStyle name="Followed Hyperlink" xfId="10938" builtinId="9" hidden="1"/>
    <cellStyle name="Followed Hyperlink" xfId="10940" builtinId="9" hidden="1"/>
    <cellStyle name="Followed Hyperlink" xfId="10942" builtinId="9" hidden="1"/>
    <cellStyle name="Followed Hyperlink" xfId="10944" builtinId="9" hidden="1"/>
    <cellStyle name="Followed Hyperlink" xfId="10946" builtinId="9" hidden="1"/>
    <cellStyle name="Followed Hyperlink" xfId="10948" builtinId="9" hidden="1"/>
    <cellStyle name="Followed Hyperlink" xfId="10950" builtinId="9" hidden="1"/>
    <cellStyle name="Followed Hyperlink" xfId="10952" builtinId="9" hidden="1"/>
    <cellStyle name="Followed Hyperlink" xfId="10954" builtinId="9" hidden="1"/>
    <cellStyle name="Followed Hyperlink" xfId="10956" builtinId="9" hidden="1"/>
    <cellStyle name="Followed Hyperlink" xfId="10958" builtinId="9" hidden="1"/>
    <cellStyle name="Followed Hyperlink" xfId="10960" builtinId="9" hidden="1"/>
    <cellStyle name="Followed Hyperlink" xfId="10962" builtinId="9" hidden="1"/>
    <cellStyle name="Followed Hyperlink" xfId="10964" builtinId="9" hidden="1"/>
    <cellStyle name="Followed Hyperlink" xfId="10966" builtinId="9" hidden="1"/>
    <cellStyle name="Followed Hyperlink" xfId="10968" builtinId="9" hidden="1"/>
    <cellStyle name="Followed Hyperlink" xfId="10970" builtinId="9" hidden="1"/>
    <cellStyle name="Followed Hyperlink" xfId="10972" builtinId="9" hidden="1"/>
    <cellStyle name="Followed Hyperlink" xfId="10974" builtinId="9" hidden="1"/>
    <cellStyle name="Followed Hyperlink" xfId="10976" builtinId="9" hidden="1"/>
    <cellStyle name="Followed Hyperlink" xfId="10978" builtinId="9" hidden="1"/>
    <cellStyle name="Followed Hyperlink" xfId="10980" builtinId="9" hidden="1"/>
    <cellStyle name="Followed Hyperlink" xfId="10982" builtinId="9" hidden="1"/>
    <cellStyle name="Followed Hyperlink" xfId="10984" builtinId="9" hidden="1"/>
    <cellStyle name="Followed Hyperlink" xfId="10986" builtinId="9" hidden="1"/>
    <cellStyle name="Followed Hyperlink" xfId="10988" builtinId="9" hidden="1"/>
    <cellStyle name="Followed Hyperlink" xfId="10990" builtinId="9" hidden="1"/>
    <cellStyle name="Followed Hyperlink" xfId="10992" builtinId="9" hidden="1"/>
    <cellStyle name="Followed Hyperlink" xfId="10994" builtinId="9" hidden="1"/>
    <cellStyle name="Followed Hyperlink" xfId="10996" builtinId="9" hidden="1"/>
    <cellStyle name="Followed Hyperlink" xfId="10998" builtinId="9" hidden="1"/>
    <cellStyle name="Followed Hyperlink" xfId="11000" builtinId="9" hidden="1"/>
    <cellStyle name="Followed Hyperlink" xfId="11002" builtinId="9" hidden="1"/>
    <cellStyle name="Followed Hyperlink" xfId="11004" builtinId="9" hidden="1"/>
    <cellStyle name="Followed Hyperlink" xfId="11006" builtinId="9" hidden="1"/>
    <cellStyle name="Followed Hyperlink" xfId="11008" builtinId="9" hidden="1"/>
    <cellStyle name="Followed Hyperlink" xfId="11010" builtinId="9" hidden="1"/>
    <cellStyle name="Followed Hyperlink" xfId="11012" builtinId="9" hidden="1"/>
    <cellStyle name="Followed Hyperlink" xfId="11014" builtinId="9" hidden="1"/>
    <cellStyle name="Followed Hyperlink" xfId="11016" builtinId="9" hidden="1"/>
    <cellStyle name="Followed Hyperlink" xfId="11018" builtinId="9" hidden="1"/>
    <cellStyle name="Followed Hyperlink" xfId="11020" builtinId="9" hidden="1"/>
    <cellStyle name="Followed Hyperlink" xfId="11022" builtinId="9" hidden="1"/>
    <cellStyle name="Followed Hyperlink" xfId="11024" builtinId="9" hidden="1"/>
    <cellStyle name="Followed Hyperlink" xfId="11026" builtinId="9" hidden="1"/>
    <cellStyle name="Followed Hyperlink" xfId="11028" builtinId="9" hidden="1"/>
    <cellStyle name="Followed Hyperlink" xfId="11030" builtinId="9" hidden="1"/>
    <cellStyle name="Followed Hyperlink" xfId="11032" builtinId="9" hidden="1"/>
    <cellStyle name="Followed Hyperlink" xfId="11034" builtinId="9" hidden="1"/>
    <cellStyle name="Followed Hyperlink" xfId="11036" builtinId="9" hidden="1"/>
    <cellStyle name="Followed Hyperlink" xfId="11038" builtinId="9" hidden="1"/>
    <cellStyle name="Followed Hyperlink" xfId="11040" builtinId="9" hidden="1"/>
    <cellStyle name="Followed Hyperlink" xfId="11042" builtinId="9" hidden="1"/>
    <cellStyle name="Followed Hyperlink" xfId="11044" builtinId="9" hidden="1"/>
    <cellStyle name="Followed Hyperlink" xfId="11046" builtinId="9" hidden="1"/>
    <cellStyle name="Followed Hyperlink" xfId="11048" builtinId="9" hidden="1"/>
    <cellStyle name="Followed Hyperlink" xfId="11050" builtinId="9" hidden="1"/>
    <cellStyle name="Followed Hyperlink" xfId="11052" builtinId="9" hidden="1"/>
    <cellStyle name="Followed Hyperlink" xfId="11054" builtinId="9" hidden="1"/>
    <cellStyle name="Followed Hyperlink" xfId="11056" builtinId="9" hidden="1"/>
    <cellStyle name="Followed Hyperlink" xfId="11058" builtinId="9" hidden="1"/>
    <cellStyle name="Followed Hyperlink" xfId="11060" builtinId="9" hidden="1"/>
    <cellStyle name="Followed Hyperlink" xfId="11062" builtinId="9" hidden="1"/>
    <cellStyle name="Followed Hyperlink" xfId="11064" builtinId="9" hidden="1"/>
    <cellStyle name="Followed Hyperlink" xfId="11066" builtinId="9" hidden="1"/>
    <cellStyle name="Followed Hyperlink" xfId="11068" builtinId="9" hidden="1"/>
    <cellStyle name="Followed Hyperlink" xfId="11070" builtinId="9" hidden="1"/>
    <cellStyle name="Followed Hyperlink" xfId="11072" builtinId="9" hidden="1"/>
    <cellStyle name="Followed Hyperlink" xfId="11074" builtinId="9" hidden="1"/>
    <cellStyle name="Followed Hyperlink" xfId="11076" builtinId="9" hidden="1"/>
    <cellStyle name="Followed Hyperlink" xfId="11078" builtinId="9" hidden="1"/>
    <cellStyle name="Followed Hyperlink" xfId="11080" builtinId="9" hidden="1"/>
    <cellStyle name="Followed Hyperlink" xfId="11082" builtinId="9" hidden="1"/>
    <cellStyle name="Followed Hyperlink" xfId="11084" builtinId="9" hidden="1"/>
    <cellStyle name="Followed Hyperlink" xfId="11086" builtinId="9" hidden="1"/>
    <cellStyle name="Followed Hyperlink" xfId="11088" builtinId="9" hidden="1"/>
    <cellStyle name="Followed Hyperlink" xfId="11090" builtinId="9" hidden="1"/>
    <cellStyle name="Followed Hyperlink" xfId="11092" builtinId="9" hidden="1"/>
    <cellStyle name="Followed Hyperlink" xfId="11094" builtinId="9" hidden="1"/>
    <cellStyle name="Followed Hyperlink" xfId="11096" builtinId="9" hidden="1"/>
    <cellStyle name="Followed Hyperlink" xfId="11098" builtinId="9" hidden="1"/>
    <cellStyle name="Followed Hyperlink" xfId="11100" builtinId="9" hidden="1"/>
    <cellStyle name="Followed Hyperlink" xfId="11102" builtinId="9" hidden="1"/>
    <cellStyle name="Followed Hyperlink" xfId="11104" builtinId="9" hidden="1"/>
    <cellStyle name="Followed Hyperlink" xfId="11106" builtinId="9" hidden="1"/>
    <cellStyle name="Followed Hyperlink" xfId="11108" builtinId="9" hidden="1"/>
    <cellStyle name="Followed Hyperlink" xfId="11110" builtinId="9" hidden="1"/>
    <cellStyle name="Followed Hyperlink" xfId="11112" builtinId="9" hidden="1"/>
    <cellStyle name="Followed Hyperlink" xfId="11114" builtinId="9" hidden="1"/>
    <cellStyle name="Followed Hyperlink" xfId="11116" builtinId="9" hidden="1"/>
    <cellStyle name="Followed Hyperlink" xfId="11118" builtinId="9" hidden="1"/>
    <cellStyle name="Followed Hyperlink" xfId="11120" builtinId="9" hidden="1"/>
    <cellStyle name="Followed Hyperlink" xfId="11122" builtinId="9" hidden="1"/>
    <cellStyle name="Followed Hyperlink" xfId="11124" builtinId="9" hidden="1"/>
    <cellStyle name="Followed Hyperlink" xfId="11126" builtinId="9" hidden="1"/>
    <cellStyle name="Followed Hyperlink" xfId="11128" builtinId="9" hidden="1"/>
    <cellStyle name="Followed Hyperlink" xfId="11130" builtinId="9" hidden="1"/>
    <cellStyle name="Followed Hyperlink" xfId="11132" builtinId="9" hidden="1"/>
    <cellStyle name="Followed Hyperlink" xfId="11134" builtinId="9" hidden="1"/>
    <cellStyle name="Followed Hyperlink" xfId="11136" builtinId="9" hidden="1"/>
    <cellStyle name="Followed Hyperlink" xfId="11138" builtinId="9" hidden="1"/>
    <cellStyle name="Followed Hyperlink" xfId="11140" builtinId="9" hidden="1"/>
    <cellStyle name="Followed Hyperlink" xfId="11142" builtinId="9" hidden="1"/>
    <cellStyle name="Followed Hyperlink" xfId="11144" builtinId="9" hidden="1"/>
    <cellStyle name="Followed Hyperlink" xfId="11146" builtinId="9" hidden="1"/>
    <cellStyle name="Followed Hyperlink" xfId="11148" builtinId="9" hidden="1"/>
    <cellStyle name="Followed Hyperlink" xfId="11150" builtinId="9" hidden="1"/>
    <cellStyle name="Followed Hyperlink" xfId="11152" builtinId="9" hidden="1"/>
    <cellStyle name="Followed Hyperlink" xfId="11154" builtinId="9" hidden="1"/>
    <cellStyle name="Followed Hyperlink" xfId="11156" builtinId="9" hidden="1"/>
    <cellStyle name="Followed Hyperlink" xfId="11158" builtinId="9" hidden="1"/>
    <cellStyle name="Followed Hyperlink" xfId="11160" builtinId="9" hidden="1"/>
    <cellStyle name="Followed Hyperlink" xfId="11162" builtinId="9" hidden="1"/>
    <cellStyle name="Followed Hyperlink" xfId="11164" builtinId="9" hidden="1"/>
    <cellStyle name="Followed Hyperlink" xfId="11166" builtinId="9" hidden="1"/>
    <cellStyle name="Followed Hyperlink" xfId="11168" builtinId="9" hidden="1"/>
    <cellStyle name="Followed Hyperlink" xfId="11170" builtinId="9" hidden="1"/>
    <cellStyle name="Followed Hyperlink" xfId="11172" builtinId="9" hidden="1"/>
    <cellStyle name="Followed Hyperlink" xfId="11174" builtinId="9" hidden="1"/>
    <cellStyle name="Followed Hyperlink" xfId="11176" builtinId="9" hidden="1"/>
    <cellStyle name="Followed Hyperlink" xfId="11178" builtinId="9" hidden="1"/>
    <cellStyle name="Followed Hyperlink" xfId="11180" builtinId="9" hidden="1"/>
    <cellStyle name="Followed Hyperlink" xfId="11182" builtinId="9" hidden="1"/>
    <cellStyle name="Followed Hyperlink" xfId="11184" builtinId="9" hidden="1"/>
    <cellStyle name="Followed Hyperlink" xfId="11186" builtinId="9" hidden="1"/>
    <cellStyle name="Followed Hyperlink" xfId="11188" builtinId="9" hidden="1"/>
    <cellStyle name="Followed Hyperlink" xfId="11190" builtinId="9" hidden="1"/>
    <cellStyle name="Followed Hyperlink" xfId="11192" builtinId="9" hidden="1"/>
    <cellStyle name="Followed Hyperlink" xfId="11194" builtinId="9" hidden="1"/>
    <cellStyle name="Followed Hyperlink" xfId="11196" builtinId="9" hidden="1"/>
    <cellStyle name="Followed Hyperlink" xfId="11198" builtinId="9" hidden="1"/>
    <cellStyle name="Followed Hyperlink" xfId="11200" builtinId="9" hidden="1"/>
    <cellStyle name="Followed Hyperlink" xfId="11202" builtinId="9" hidden="1"/>
    <cellStyle name="Followed Hyperlink" xfId="11204" builtinId="9" hidden="1"/>
    <cellStyle name="Followed Hyperlink" xfId="11206" builtinId="9" hidden="1"/>
    <cellStyle name="Followed Hyperlink" xfId="11208" builtinId="9" hidden="1"/>
    <cellStyle name="Followed Hyperlink" xfId="11210" builtinId="9" hidden="1"/>
    <cellStyle name="Followed Hyperlink" xfId="11212" builtinId="9" hidden="1"/>
    <cellStyle name="Followed Hyperlink" xfId="11214" builtinId="9" hidden="1"/>
    <cellStyle name="Followed Hyperlink" xfId="11216" builtinId="9" hidden="1"/>
    <cellStyle name="Followed Hyperlink" xfId="11218" builtinId="9" hidden="1"/>
    <cellStyle name="Followed Hyperlink" xfId="11220" builtinId="9" hidden="1"/>
    <cellStyle name="Followed Hyperlink" xfId="11222" builtinId="9" hidden="1"/>
    <cellStyle name="Followed Hyperlink" xfId="11224" builtinId="9" hidden="1"/>
    <cellStyle name="Followed Hyperlink" xfId="11226" builtinId="9" hidden="1"/>
    <cellStyle name="Followed Hyperlink" xfId="11228" builtinId="9" hidden="1"/>
    <cellStyle name="Followed Hyperlink" xfId="11230" builtinId="9" hidden="1"/>
    <cellStyle name="Followed Hyperlink" xfId="11232" builtinId="9" hidden="1"/>
    <cellStyle name="Followed Hyperlink" xfId="11234" builtinId="9" hidden="1"/>
    <cellStyle name="Followed Hyperlink" xfId="11236" builtinId="9" hidden="1"/>
    <cellStyle name="Followed Hyperlink" xfId="11238" builtinId="9" hidden="1"/>
    <cellStyle name="Followed Hyperlink" xfId="11240" builtinId="9" hidden="1"/>
    <cellStyle name="Followed Hyperlink" xfId="11242" builtinId="9" hidden="1"/>
    <cellStyle name="Followed Hyperlink" xfId="11244" builtinId="9" hidden="1"/>
    <cellStyle name="Followed Hyperlink" xfId="11246" builtinId="9" hidden="1"/>
    <cellStyle name="Followed Hyperlink" xfId="11248" builtinId="9" hidden="1"/>
    <cellStyle name="Followed Hyperlink" xfId="11250" builtinId="9" hidden="1"/>
    <cellStyle name="Followed Hyperlink" xfId="11252" builtinId="9" hidden="1"/>
    <cellStyle name="Followed Hyperlink" xfId="11254" builtinId="9" hidden="1"/>
    <cellStyle name="Followed Hyperlink" xfId="11256" builtinId="9" hidden="1"/>
    <cellStyle name="Followed Hyperlink" xfId="11258" builtinId="9" hidden="1"/>
    <cellStyle name="Followed Hyperlink" xfId="11260" builtinId="9" hidden="1"/>
    <cellStyle name="Followed Hyperlink" xfId="11262" builtinId="9" hidden="1"/>
    <cellStyle name="Followed Hyperlink" xfId="11264" builtinId="9" hidden="1"/>
    <cellStyle name="Followed Hyperlink" xfId="11266" builtinId="9" hidden="1"/>
    <cellStyle name="Followed Hyperlink" xfId="11268" builtinId="9" hidden="1"/>
    <cellStyle name="Followed Hyperlink" xfId="11270" builtinId="9" hidden="1"/>
    <cellStyle name="Followed Hyperlink" xfId="11272" builtinId="9" hidden="1"/>
    <cellStyle name="Followed Hyperlink" xfId="11274" builtinId="9" hidden="1"/>
    <cellStyle name="Followed Hyperlink" xfId="11276" builtinId="9" hidden="1"/>
    <cellStyle name="Followed Hyperlink" xfId="11278" builtinId="9" hidden="1"/>
    <cellStyle name="Followed Hyperlink" xfId="11280" builtinId="9" hidden="1"/>
    <cellStyle name="Followed Hyperlink" xfId="11282" builtinId="9" hidden="1"/>
    <cellStyle name="Followed Hyperlink" xfId="11284" builtinId="9" hidden="1"/>
    <cellStyle name="Followed Hyperlink" xfId="11286" builtinId="9" hidden="1"/>
    <cellStyle name="Followed Hyperlink" xfId="11288" builtinId="9" hidden="1"/>
    <cellStyle name="Followed Hyperlink" xfId="11290" builtinId="9" hidden="1"/>
    <cellStyle name="Followed Hyperlink" xfId="11292" builtinId="9" hidden="1"/>
    <cellStyle name="Followed Hyperlink" xfId="11294" builtinId="9" hidden="1"/>
    <cellStyle name="Followed Hyperlink" xfId="11296" builtinId="9" hidden="1"/>
    <cellStyle name="Followed Hyperlink" xfId="11298" builtinId="9" hidden="1"/>
    <cellStyle name="Followed Hyperlink" xfId="11300" builtinId="9" hidden="1"/>
    <cellStyle name="Followed Hyperlink" xfId="11302" builtinId="9" hidden="1"/>
    <cellStyle name="Followed Hyperlink" xfId="11304" builtinId="9" hidden="1"/>
    <cellStyle name="Followed Hyperlink" xfId="11306" builtinId="9" hidden="1"/>
    <cellStyle name="Followed Hyperlink" xfId="11308" builtinId="9" hidden="1"/>
    <cellStyle name="Followed Hyperlink" xfId="11310" builtinId="9" hidden="1"/>
    <cellStyle name="Followed Hyperlink" xfId="11312" builtinId="9" hidden="1"/>
    <cellStyle name="Followed Hyperlink" xfId="11314" builtinId="9" hidden="1"/>
    <cellStyle name="Followed Hyperlink" xfId="11316" builtinId="9" hidden="1"/>
    <cellStyle name="Followed Hyperlink" xfId="11318" builtinId="9" hidden="1"/>
    <cellStyle name="Followed Hyperlink" xfId="11320" builtinId="9" hidden="1"/>
    <cellStyle name="Followed Hyperlink" xfId="11322" builtinId="9" hidden="1"/>
    <cellStyle name="Followed Hyperlink" xfId="11324" builtinId="9" hidden="1"/>
    <cellStyle name="Followed Hyperlink" xfId="11326" builtinId="9" hidden="1"/>
    <cellStyle name="Followed Hyperlink" xfId="11328" builtinId="9" hidden="1"/>
    <cellStyle name="Followed Hyperlink" xfId="11330" builtinId="9" hidden="1"/>
    <cellStyle name="Followed Hyperlink" xfId="11332" builtinId="9" hidden="1"/>
    <cellStyle name="Followed Hyperlink" xfId="11334" builtinId="9" hidden="1"/>
    <cellStyle name="Followed Hyperlink" xfId="11336" builtinId="9" hidden="1"/>
    <cellStyle name="Followed Hyperlink" xfId="11338" builtinId="9" hidden="1"/>
    <cellStyle name="Followed Hyperlink" xfId="11340" builtinId="9" hidden="1"/>
    <cellStyle name="Followed Hyperlink" xfId="11342" builtinId="9" hidden="1"/>
    <cellStyle name="Followed Hyperlink" xfId="11344" builtinId="9" hidden="1"/>
    <cellStyle name="Followed Hyperlink" xfId="11346" builtinId="9" hidden="1"/>
    <cellStyle name="Followed Hyperlink" xfId="11348" builtinId="9" hidden="1"/>
    <cellStyle name="Followed Hyperlink" xfId="11350" builtinId="9" hidden="1"/>
    <cellStyle name="Followed Hyperlink" xfId="11352" builtinId="9" hidden="1"/>
    <cellStyle name="Followed Hyperlink" xfId="11354" builtinId="9" hidden="1"/>
    <cellStyle name="Followed Hyperlink" xfId="11356" builtinId="9" hidden="1"/>
    <cellStyle name="Followed Hyperlink" xfId="11358" builtinId="9" hidden="1"/>
    <cellStyle name="Followed Hyperlink" xfId="11360" builtinId="9" hidden="1"/>
    <cellStyle name="Followed Hyperlink" xfId="11362" builtinId="9" hidden="1"/>
    <cellStyle name="Followed Hyperlink" xfId="11364" builtinId="9" hidden="1"/>
    <cellStyle name="Followed Hyperlink" xfId="11366" builtinId="9" hidden="1"/>
    <cellStyle name="Followed Hyperlink" xfId="11368" builtinId="9" hidden="1"/>
    <cellStyle name="Followed Hyperlink" xfId="11370" builtinId="9" hidden="1"/>
    <cellStyle name="Followed Hyperlink" xfId="11372" builtinId="9" hidden="1"/>
    <cellStyle name="Followed Hyperlink" xfId="11374" builtinId="9" hidden="1"/>
    <cellStyle name="Followed Hyperlink" xfId="11376" builtinId="9" hidden="1"/>
    <cellStyle name="Followed Hyperlink" xfId="11378" builtinId="9" hidden="1"/>
    <cellStyle name="Followed Hyperlink" xfId="11380" builtinId="9" hidden="1"/>
    <cellStyle name="Followed Hyperlink" xfId="11382" builtinId="9" hidden="1"/>
    <cellStyle name="Followed Hyperlink" xfId="11384" builtinId="9" hidden="1"/>
    <cellStyle name="Followed Hyperlink" xfId="11386" builtinId="9" hidden="1"/>
    <cellStyle name="Followed Hyperlink" xfId="11388" builtinId="9" hidden="1"/>
    <cellStyle name="Followed Hyperlink" xfId="11390" builtinId="9" hidden="1"/>
    <cellStyle name="Followed Hyperlink" xfId="11392" builtinId="9" hidden="1"/>
    <cellStyle name="Followed Hyperlink" xfId="11394" builtinId="9" hidden="1"/>
    <cellStyle name="Followed Hyperlink" xfId="11396" builtinId="9" hidden="1"/>
    <cellStyle name="Followed Hyperlink" xfId="11398" builtinId="9" hidden="1"/>
    <cellStyle name="Followed Hyperlink" xfId="11400" builtinId="9" hidden="1"/>
    <cellStyle name="Followed Hyperlink" xfId="11402" builtinId="9" hidden="1"/>
    <cellStyle name="Followed Hyperlink" xfId="11404" builtinId="9" hidden="1"/>
    <cellStyle name="Followed Hyperlink" xfId="11406" builtinId="9" hidden="1"/>
    <cellStyle name="Followed Hyperlink" xfId="11408" builtinId="9" hidden="1"/>
    <cellStyle name="Followed Hyperlink" xfId="11410" builtinId="9" hidden="1"/>
    <cellStyle name="Followed Hyperlink" xfId="11412" builtinId="9" hidden="1"/>
    <cellStyle name="Followed Hyperlink" xfId="11414" builtinId="9" hidden="1"/>
    <cellStyle name="Followed Hyperlink" xfId="11416" builtinId="9" hidden="1"/>
    <cellStyle name="Followed Hyperlink" xfId="11418" builtinId="9" hidden="1"/>
    <cellStyle name="Followed Hyperlink" xfId="11420" builtinId="9" hidden="1"/>
    <cellStyle name="Followed Hyperlink" xfId="11422" builtinId="9" hidden="1"/>
    <cellStyle name="Followed Hyperlink" xfId="11424" builtinId="9" hidden="1"/>
    <cellStyle name="Followed Hyperlink" xfId="11426" builtinId="9" hidden="1"/>
    <cellStyle name="Followed Hyperlink" xfId="11428" builtinId="9" hidden="1"/>
    <cellStyle name="Followed Hyperlink" xfId="11430" builtinId="9" hidden="1"/>
    <cellStyle name="Followed Hyperlink" xfId="11432" builtinId="9" hidden="1"/>
    <cellStyle name="Followed Hyperlink" xfId="11434" builtinId="9" hidden="1"/>
    <cellStyle name="Followed Hyperlink" xfId="11436" builtinId="9" hidden="1"/>
    <cellStyle name="Followed Hyperlink" xfId="11438" builtinId="9" hidden="1"/>
    <cellStyle name="Followed Hyperlink" xfId="11440" builtinId="9" hidden="1"/>
    <cellStyle name="Followed Hyperlink" xfId="11442" builtinId="9" hidden="1"/>
    <cellStyle name="Followed Hyperlink" xfId="11444" builtinId="9" hidden="1"/>
    <cellStyle name="Followed Hyperlink" xfId="11446" builtinId="9" hidden="1"/>
    <cellStyle name="Followed Hyperlink" xfId="11448" builtinId="9" hidden="1"/>
    <cellStyle name="Followed Hyperlink" xfId="11450" builtinId="9" hidden="1"/>
    <cellStyle name="Followed Hyperlink" xfId="11452" builtinId="9" hidden="1"/>
    <cellStyle name="Followed Hyperlink" xfId="11454" builtinId="9" hidden="1"/>
    <cellStyle name="Followed Hyperlink" xfId="11456" builtinId="9" hidden="1"/>
    <cellStyle name="Followed Hyperlink" xfId="11458" builtinId="9" hidden="1"/>
    <cellStyle name="Followed Hyperlink" xfId="11460" builtinId="9" hidden="1"/>
    <cellStyle name="Followed Hyperlink" xfId="11462" builtinId="9" hidden="1"/>
    <cellStyle name="Followed Hyperlink" xfId="11464" builtinId="9" hidden="1"/>
    <cellStyle name="Followed Hyperlink" xfId="11466" builtinId="9" hidden="1"/>
    <cellStyle name="Followed Hyperlink" xfId="11468" builtinId="9" hidden="1"/>
    <cellStyle name="Followed Hyperlink" xfId="11470" builtinId="9" hidden="1"/>
    <cellStyle name="Followed Hyperlink" xfId="11472" builtinId="9" hidden="1"/>
    <cellStyle name="Followed Hyperlink" xfId="11474" builtinId="9" hidden="1"/>
    <cellStyle name="Followed Hyperlink" xfId="11476" builtinId="9" hidden="1"/>
    <cellStyle name="Followed Hyperlink" xfId="11478" builtinId="9" hidden="1"/>
    <cellStyle name="Followed Hyperlink" xfId="11480" builtinId="9" hidden="1"/>
    <cellStyle name="Followed Hyperlink" xfId="11482" builtinId="9" hidden="1"/>
    <cellStyle name="Followed Hyperlink" xfId="11484" builtinId="9" hidden="1"/>
    <cellStyle name="Followed Hyperlink" xfId="11486" builtinId="9" hidden="1"/>
    <cellStyle name="Followed Hyperlink" xfId="11488" builtinId="9" hidden="1"/>
    <cellStyle name="Followed Hyperlink" xfId="11490" builtinId="9" hidden="1"/>
    <cellStyle name="Followed Hyperlink" xfId="11492" builtinId="9" hidden="1"/>
    <cellStyle name="Followed Hyperlink" xfId="11494" builtinId="9" hidden="1"/>
    <cellStyle name="Followed Hyperlink" xfId="11496" builtinId="9" hidden="1"/>
    <cellStyle name="Followed Hyperlink" xfId="11498" builtinId="9" hidden="1"/>
    <cellStyle name="Followed Hyperlink" xfId="11500" builtinId="9" hidden="1"/>
    <cellStyle name="Followed Hyperlink" xfId="11502" builtinId="9" hidden="1"/>
    <cellStyle name="Followed Hyperlink" xfId="11504" builtinId="9" hidden="1"/>
    <cellStyle name="Followed Hyperlink" xfId="11506" builtinId="9" hidden="1"/>
    <cellStyle name="Followed Hyperlink" xfId="11508" builtinId="9" hidden="1"/>
    <cellStyle name="Followed Hyperlink" xfId="11510" builtinId="9" hidden="1"/>
    <cellStyle name="Followed Hyperlink" xfId="11512" builtinId="9" hidden="1"/>
    <cellStyle name="Followed Hyperlink" xfId="11514" builtinId="9" hidden="1"/>
    <cellStyle name="Followed Hyperlink" xfId="11516" builtinId="9" hidden="1"/>
    <cellStyle name="Followed Hyperlink" xfId="11518" builtinId="9" hidden="1"/>
    <cellStyle name="Followed Hyperlink" xfId="11520" builtinId="9" hidden="1"/>
    <cellStyle name="Followed Hyperlink" xfId="11522" builtinId="9" hidden="1"/>
    <cellStyle name="Followed Hyperlink" xfId="11524" builtinId="9" hidden="1"/>
    <cellStyle name="Followed Hyperlink" xfId="11526" builtinId="9" hidden="1"/>
    <cellStyle name="Followed Hyperlink" xfId="11528" builtinId="9" hidden="1"/>
    <cellStyle name="Followed Hyperlink" xfId="11530" builtinId="9" hidden="1"/>
    <cellStyle name="Followed Hyperlink" xfId="11532" builtinId="9" hidden="1"/>
    <cellStyle name="Followed Hyperlink" xfId="11534" builtinId="9" hidden="1"/>
    <cellStyle name="Followed Hyperlink" xfId="11536" builtinId="9" hidden="1"/>
    <cellStyle name="Followed Hyperlink" xfId="11538" builtinId="9" hidden="1"/>
    <cellStyle name="Followed Hyperlink" xfId="11540" builtinId="9" hidden="1"/>
    <cellStyle name="Followed Hyperlink" xfId="11542" builtinId="9" hidden="1"/>
    <cellStyle name="Followed Hyperlink" xfId="11544" builtinId="9" hidden="1"/>
    <cellStyle name="Followed Hyperlink" xfId="11546" builtinId="9" hidden="1"/>
    <cellStyle name="Followed Hyperlink" xfId="11548" builtinId="9" hidden="1"/>
    <cellStyle name="Followed Hyperlink" xfId="11550" builtinId="9" hidden="1"/>
    <cellStyle name="Followed Hyperlink" xfId="11552" builtinId="9" hidden="1"/>
    <cellStyle name="Followed Hyperlink" xfId="11554" builtinId="9" hidden="1"/>
    <cellStyle name="Followed Hyperlink" xfId="11556" builtinId="9" hidden="1"/>
    <cellStyle name="Followed Hyperlink" xfId="11558" builtinId="9" hidden="1"/>
    <cellStyle name="Followed Hyperlink" xfId="11560" builtinId="9" hidden="1"/>
    <cellStyle name="Followed Hyperlink" xfId="11562" builtinId="9" hidden="1"/>
    <cellStyle name="Followed Hyperlink" xfId="11564" builtinId="9" hidden="1"/>
    <cellStyle name="Followed Hyperlink" xfId="11566" builtinId="9" hidden="1"/>
    <cellStyle name="Followed Hyperlink" xfId="11568" builtinId="9" hidden="1"/>
    <cellStyle name="Followed Hyperlink" xfId="11570" builtinId="9" hidden="1"/>
    <cellStyle name="Followed Hyperlink" xfId="11572" builtinId="9" hidden="1"/>
    <cellStyle name="Followed Hyperlink" xfId="11574" builtinId="9" hidden="1"/>
    <cellStyle name="Followed Hyperlink" xfId="11576" builtinId="9" hidden="1"/>
    <cellStyle name="Followed Hyperlink" xfId="11578" builtinId="9" hidden="1"/>
    <cellStyle name="Followed Hyperlink" xfId="11580" builtinId="9" hidden="1"/>
    <cellStyle name="Followed Hyperlink" xfId="11582" builtinId="9" hidden="1"/>
    <cellStyle name="Followed Hyperlink" xfId="11584" builtinId="9" hidden="1"/>
    <cellStyle name="Followed Hyperlink" xfId="11586" builtinId="9" hidden="1"/>
    <cellStyle name="Followed Hyperlink" xfId="11588" builtinId="9" hidden="1"/>
    <cellStyle name="Followed Hyperlink" xfId="11590" builtinId="9" hidden="1"/>
    <cellStyle name="Followed Hyperlink" xfId="11592" builtinId="9" hidden="1"/>
    <cellStyle name="Followed Hyperlink" xfId="11594" builtinId="9" hidden="1"/>
    <cellStyle name="Followed Hyperlink" xfId="11596" builtinId="9" hidden="1"/>
    <cellStyle name="Followed Hyperlink" xfId="11598" builtinId="9" hidden="1"/>
    <cellStyle name="Followed Hyperlink" xfId="11600" builtinId="9" hidden="1"/>
    <cellStyle name="Followed Hyperlink" xfId="11602" builtinId="9" hidden="1"/>
    <cellStyle name="Followed Hyperlink" xfId="11604" builtinId="9" hidden="1"/>
    <cellStyle name="Followed Hyperlink" xfId="11606" builtinId="9" hidden="1"/>
    <cellStyle name="Followed Hyperlink" xfId="11608" builtinId="9" hidden="1"/>
    <cellStyle name="Followed Hyperlink" xfId="11610" builtinId="9" hidden="1"/>
    <cellStyle name="Followed Hyperlink" xfId="11612" builtinId="9" hidden="1"/>
    <cellStyle name="Followed Hyperlink" xfId="11614" builtinId="9" hidden="1"/>
    <cellStyle name="Followed Hyperlink" xfId="11616" builtinId="9" hidden="1"/>
    <cellStyle name="Followed Hyperlink" xfId="11618" builtinId="9" hidden="1"/>
    <cellStyle name="Followed Hyperlink" xfId="11620" builtinId="9" hidden="1"/>
    <cellStyle name="Followed Hyperlink" xfId="11622" builtinId="9" hidden="1"/>
    <cellStyle name="Followed Hyperlink" xfId="11624" builtinId="9" hidden="1"/>
    <cellStyle name="Followed Hyperlink" xfId="11626" builtinId="9" hidden="1"/>
    <cellStyle name="Followed Hyperlink" xfId="11628" builtinId="9" hidden="1"/>
    <cellStyle name="Followed Hyperlink" xfId="11630" builtinId="9" hidden="1"/>
    <cellStyle name="Followed Hyperlink" xfId="11632" builtinId="9" hidden="1"/>
    <cellStyle name="Followed Hyperlink" xfId="11634" builtinId="9" hidden="1"/>
    <cellStyle name="Followed Hyperlink" xfId="11636" builtinId="9" hidden="1"/>
    <cellStyle name="Followed Hyperlink" xfId="11638" builtinId="9" hidden="1"/>
    <cellStyle name="Followed Hyperlink" xfId="11640" builtinId="9" hidden="1"/>
    <cellStyle name="Followed Hyperlink" xfId="11642" builtinId="9" hidden="1"/>
    <cellStyle name="Followed Hyperlink" xfId="11644" builtinId="9" hidden="1"/>
    <cellStyle name="Followed Hyperlink" xfId="11646" builtinId="9" hidden="1"/>
    <cellStyle name="Followed Hyperlink" xfId="11648" builtinId="9" hidden="1"/>
    <cellStyle name="Followed Hyperlink" xfId="11650" builtinId="9" hidden="1"/>
    <cellStyle name="Followed Hyperlink" xfId="11652" builtinId="9" hidden="1"/>
    <cellStyle name="Followed Hyperlink" xfId="11654" builtinId="9" hidden="1"/>
    <cellStyle name="Followed Hyperlink" xfId="11656" builtinId="9" hidden="1"/>
    <cellStyle name="Followed Hyperlink" xfId="11658" builtinId="9" hidden="1"/>
    <cellStyle name="Followed Hyperlink" xfId="11660" builtinId="9" hidden="1"/>
    <cellStyle name="Followed Hyperlink" xfId="11662" builtinId="9" hidden="1"/>
    <cellStyle name="Followed Hyperlink" xfId="11664" builtinId="9" hidden="1"/>
    <cellStyle name="Followed Hyperlink" xfId="11666" builtinId="9" hidden="1"/>
    <cellStyle name="Followed Hyperlink" xfId="11668" builtinId="9" hidden="1"/>
    <cellStyle name="Followed Hyperlink" xfId="11670" builtinId="9" hidden="1"/>
    <cellStyle name="Followed Hyperlink" xfId="11672" builtinId="9" hidden="1"/>
    <cellStyle name="Followed Hyperlink" xfId="11674" builtinId="9" hidden="1"/>
    <cellStyle name="Followed Hyperlink" xfId="11676" builtinId="9" hidden="1"/>
    <cellStyle name="Followed Hyperlink" xfId="11678" builtinId="9" hidden="1"/>
    <cellStyle name="Followed Hyperlink" xfId="11680" builtinId="9" hidden="1"/>
    <cellStyle name="Followed Hyperlink" xfId="11682" builtinId="9" hidden="1"/>
    <cellStyle name="Followed Hyperlink" xfId="11684" builtinId="9" hidden="1"/>
    <cellStyle name="Followed Hyperlink" xfId="11686" builtinId="9" hidden="1"/>
    <cellStyle name="Followed Hyperlink" xfId="11688" builtinId="9" hidden="1"/>
    <cellStyle name="Followed Hyperlink" xfId="11690" builtinId="9" hidden="1"/>
    <cellStyle name="Followed Hyperlink" xfId="11692" builtinId="9" hidden="1"/>
    <cellStyle name="Followed Hyperlink" xfId="11694" builtinId="9" hidden="1"/>
    <cellStyle name="Followed Hyperlink" xfId="11696" builtinId="9" hidden="1"/>
    <cellStyle name="Followed Hyperlink" xfId="11698" builtinId="9" hidden="1"/>
    <cellStyle name="Followed Hyperlink" xfId="11700" builtinId="9" hidden="1"/>
    <cellStyle name="Followed Hyperlink" xfId="11702" builtinId="9" hidden="1"/>
    <cellStyle name="Followed Hyperlink" xfId="11704" builtinId="9" hidden="1"/>
    <cellStyle name="Followed Hyperlink" xfId="11706" builtinId="9" hidden="1"/>
    <cellStyle name="Followed Hyperlink" xfId="11708" builtinId="9" hidden="1"/>
    <cellStyle name="Followed Hyperlink" xfId="11710" builtinId="9" hidden="1"/>
    <cellStyle name="Followed Hyperlink" xfId="11712" builtinId="9" hidden="1"/>
    <cellStyle name="Followed Hyperlink" xfId="11714" builtinId="9" hidden="1"/>
    <cellStyle name="Followed Hyperlink" xfId="11716" builtinId="9" hidden="1"/>
    <cellStyle name="Followed Hyperlink" xfId="11718" builtinId="9" hidden="1"/>
    <cellStyle name="Followed Hyperlink" xfId="11720" builtinId="9" hidden="1"/>
    <cellStyle name="Followed Hyperlink" xfId="11722" builtinId="9" hidden="1"/>
    <cellStyle name="Followed Hyperlink" xfId="11724" builtinId="9" hidden="1"/>
    <cellStyle name="Followed Hyperlink" xfId="11726" builtinId="9" hidden="1"/>
    <cellStyle name="Followed Hyperlink" xfId="11728" builtinId="9" hidden="1"/>
    <cellStyle name="Followed Hyperlink" xfId="11730" builtinId="9" hidden="1"/>
    <cellStyle name="Followed Hyperlink" xfId="11732" builtinId="9" hidden="1"/>
    <cellStyle name="Followed Hyperlink" xfId="11734" builtinId="9" hidden="1"/>
    <cellStyle name="Followed Hyperlink" xfId="11736" builtinId="9" hidden="1"/>
    <cellStyle name="Followed Hyperlink" xfId="11738" builtinId="9" hidden="1"/>
    <cellStyle name="Followed Hyperlink" xfId="11740" builtinId="9" hidden="1"/>
    <cellStyle name="Followed Hyperlink" xfId="11742" builtinId="9" hidden="1"/>
    <cellStyle name="Followed Hyperlink" xfId="11744" builtinId="9" hidden="1"/>
    <cellStyle name="Followed Hyperlink" xfId="11746" builtinId="9" hidden="1"/>
    <cellStyle name="Followed Hyperlink" xfId="11748" builtinId="9" hidden="1"/>
    <cellStyle name="Followed Hyperlink" xfId="11750" builtinId="9" hidden="1"/>
    <cellStyle name="Followed Hyperlink" xfId="11752" builtinId="9" hidden="1"/>
    <cellStyle name="Followed Hyperlink" xfId="11754" builtinId="9" hidden="1"/>
    <cellStyle name="Followed Hyperlink" xfId="11756" builtinId="9" hidden="1"/>
    <cellStyle name="Followed Hyperlink" xfId="11758" builtinId="9" hidden="1"/>
    <cellStyle name="Followed Hyperlink" xfId="11760" builtinId="9" hidden="1"/>
    <cellStyle name="Followed Hyperlink" xfId="11762" builtinId="9" hidden="1"/>
    <cellStyle name="Followed Hyperlink" xfId="11764" builtinId="9" hidden="1"/>
    <cellStyle name="Followed Hyperlink" xfId="11766" builtinId="9" hidden="1"/>
    <cellStyle name="Followed Hyperlink" xfId="11768" builtinId="9" hidden="1"/>
    <cellStyle name="Followed Hyperlink" xfId="11770" builtinId="9" hidden="1"/>
    <cellStyle name="Followed Hyperlink" xfId="11772" builtinId="9" hidden="1"/>
    <cellStyle name="Followed Hyperlink" xfId="11774" builtinId="9" hidden="1"/>
    <cellStyle name="Followed Hyperlink" xfId="11776" builtinId="9" hidden="1"/>
    <cellStyle name="Followed Hyperlink" xfId="11778" builtinId="9" hidden="1"/>
    <cellStyle name="Followed Hyperlink" xfId="11780" builtinId="9" hidden="1"/>
    <cellStyle name="Followed Hyperlink" xfId="11782" builtinId="9" hidden="1"/>
    <cellStyle name="Followed Hyperlink" xfId="11784" builtinId="9" hidden="1"/>
    <cellStyle name="Followed Hyperlink" xfId="11786" builtinId="9" hidden="1"/>
    <cellStyle name="Followed Hyperlink" xfId="11788" builtinId="9" hidden="1"/>
    <cellStyle name="Followed Hyperlink" xfId="11790" builtinId="9" hidden="1"/>
    <cellStyle name="Followed Hyperlink" xfId="11792" builtinId="9" hidden="1"/>
    <cellStyle name="Followed Hyperlink" xfId="11794" builtinId="9" hidden="1"/>
    <cellStyle name="Followed Hyperlink" xfId="11796" builtinId="9" hidden="1"/>
    <cellStyle name="Followed Hyperlink" xfId="11798" builtinId="9" hidden="1"/>
    <cellStyle name="Followed Hyperlink" xfId="11800" builtinId="9" hidden="1"/>
    <cellStyle name="Followed Hyperlink" xfId="11802" builtinId="9" hidden="1"/>
    <cellStyle name="Followed Hyperlink" xfId="11804" builtinId="9" hidden="1"/>
    <cellStyle name="Followed Hyperlink" xfId="11806" builtinId="9" hidden="1"/>
    <cellStyle name="Followed Hyperlink" xfId="11808" builtinId="9" hidden="1"/>
    <cellStyle name="Followed Hyperlink" xfId="11810" builtinId="9" hidden="1"/>
    <cellStyle name="Followed Hyperlink" xfId="11812" builtinId="9" hidden="1"/>
    <cellStyle name="Followed Hyperlink" xfId="11814" builtinId="9" hidden="1"/>
    <cellStyle name="Followed Hyperlink" xfId="11816" builtinId="9" hidden="1"/>
    <cellStyle name="Followed Hyperlink" xfId="11818" builtinId="9" hidden="1"/>
    <cellStyle name="Followed Hyperlink" xfId="11820" builtinId="9" hidden="1"/>
    <cellStyle name="Followed Hyperlink" xfId="11822" builtinId="9" hidden="1"/>
    <cellStyle name="Followed Hyperlink" xfId="11824" builtinId="9" hidden="1"/>
    <cellStyle name="Followed Hyperlink" xfId="11826" builtinId="9" hidden="1"/>
    <cellStyle name="Followed Hyperlink" xfId="11828" builtinId="9" hidden="1"/>
    <cellStyle name="Followed Hyperlink" xfId="11830" builtinId="9" hidden="1"/>
    <cellStyle name="Followed Hyperlink" xfId="11832" builtinId="9" hidden="1"/>
    <cellStyle name="Followed Hyperlink" xfId="11834" builtinId="9" hidden="1"/>
    <cellStyle name="Followed Hyperlink" xfId="11836" builtinId="9" hidden="1"/>
    <cellStyle name="Followed Hyperlink" xfId="11838" builtinId="9" hidden="1"/>
    <cellStyle name="Followed Hyperlink" xfId="11840" builtinId="9" hidden="1"/>
    <cellStyle name="Followed Hyperlink" xfId="11842" builtinId="9" hidden="1"/>
    <cellStyle name="Followed Hyperlink" xfId="11844" builtinId="9" hidden="1"/>
    <cellStyle name="Followed Hyperlink" xfId="11846" builtinId="9" hidden="1"/>
    <cellStyle name="Followed Hyperlink" xfId="11848" builtinId="9" hidden="1"/>
    <cellStyle name="Followed Hyperlink" xfId="11850" builtinId="9" hidden="1"/>
    <cellStyle name="Followed Hyperlink" xfId="11852" builtinId="9" hidden="1"/>
    <cellStyle name="Followed Hyperlink" xfId="11854" builtinId="9" hidden="1"/>
    <cellStyle name="Followed Hyperlink" xfId="11856" builtinId="9" hidden="1"/>
    <cellStyle name="Followed Hyperlink" xfId="11858" builtinId="9" hidden="1"/>
    <cellStyle name="Followed Hyperlink" xfId="11860" builtinId="9" hidden="1"/>
    <cellStyle name="Followed Hyperlink" xfId="11862" builtinId="9" hidden="1"/>
    <cellStyle name="Followed Hyperlink" xfId="11864" builtinId="9" hidden="1"/>
    <cellStyle name="Followed Hyperlink" xfId="11866" builtinId="9" hidden="1"/>
    <cellStyle name="Followed Hyperlink" xfId="11868" builtinId="9" hidden="1"/>
    <cellStyle name="Followed Hyperlink" xfId="11870" builtinId="9" hidden="1"/>
    <cellStyle name="Followed Hyperlink" xfId="11872" builtinId="9" hidden="1"/>
    <cellStyle name="Followed Hyperlink" xfId="11874" builtinId="9" hidden="1"/>
    <cellStyle name="Followed Hyperlink" xfId="11876" builtinId="9" hidden="1"/>
    <cellStyle name="Followed Hyperlink" xfId="11878" builtinId="9" hidden="1"/>
    <cellStyle name="Followed Hyperlink" xfId="11880" builtinId="9" hidden="1"/>
    <cellStyle name="Followed Hyperlink" xfId="11882" builtinId="9" hidden="1"/>
    <cellStyle name="Followed Hyperlink" xfId="11884" builtinId="9" hidden="1"/>
    <cellStyle name="Followed Hyperlink" xfId="11886" builtinId="9" hidden="1"/>
    <cellStyle name="Followed Hyperlink" xfId="11888" builtinId="9" hidden="1"/>
    <cellStyle name="Followed Hyperlink" xfId="11890" builtinId="9" hidden="1"/>
    <cellStyle name="Followed Hyperlink" xfId="11892" builtinId="9" hidden="1"/>
    <cellStyle name="Followed Hyperlink" xfId="11894" builtinId="9" hidden="1"/>
    <cellStyle name="Followed Hyperlink" xfId="11896" builtinId="9" hidden="1"/>
    <cellStyle name="Followed Hyperlink" xfId="11898" builtinId="9" hidden="1"/>
    <cellStyle name="Followed Hyperlink" xfId="11900" builtinId="9" hidden="1"/>
    <cellStyle name="Followed Hyperlink" xfId="11902" builtinId="9" hidden="1"/>
    <cellStyle name="Followed Hyperlink" xfId="11904" builtinId="9" hidden="1"/>
    <cellStyle name="Followed Hyperlink" xfId="11906" builtinId="9" hidden="1"/>
    <cellStyle name="Followed Hyperlink" xfId="11908" builtinId="9" hidden="1"/>
    <cellStyle name="Followed Hyperlink" xfId="11910" builtinId="9" hidden="1"/>
    <cellStyle name="Followed Hyperlink" xfId="11912" builtinId="9" hidden="1"/>
    <cellStyle name="Followed Hyperlink" xfId="11914" builtinId="9" hidden="1"/>
    <cellStyle name="Followed Hyperlink" xfId="11916" builtinId="9" hidden="1"/>
    <cellStyle name="Followed Hyperlink" xfId="11918" builtinId="9" hidden="1"/>
    <cellStyle name="Followed Hyperlink" xfId="11920" builtinId="9" hidden="1"/>
    <cellStyle name="Followed Hyperlink" xfId="11922" builtinId="9" hidden="1"/>
    <cellStyle name="Followed Hyperlink" xfId="11924" builtinId="9" hidden="1"/>
    <cellStyle name="Followed Hyperlink" xfId="11926" builtinId="9" hidden="1"/>
    <cellStyle name="Followed Hyperlink" xfId="11928" builtinId="9" hidden="1"/>
    <cellStyle name="Followed Hyperlink" xfId="11930" builtinId="9" hidden="1"/>
    <cellStyle name="Followed Hyperlink" xfId="11932" builtinId="9" hidden="1"/>
    <cellStyle name="Followed Hyperlink" xfId="11934" builtinId="9" hidden="1"/>
    <cellStyle name="Followed Hyperlink" xfId="11936" builtinId="9" hidden="1"/>
    <cellStyle name="Followed Hyperlink" xfId="11938" builtinId="9" hidden="1"/>
    <cellStyle name="Followed Hyperlink" xfId="11940" builtinId="9" hidden="1"/>
    <cellStyle name="Followed Hyperlink" xfId="11942" builtinId="9" hidden="1"/>
    <cellStyle name="Followed Hyperlink" xfId="11944" builtinId="9" hidden="1"/>
    <cellStyle name="Followed Hyperlink" xfId="11946" builtinId="9" hidden="1"/>
    <cellStyle name="Followed Hyperlink" xfId="11948" builtinId="9" hidden="1"/>
    <cellStyle name="Followed Hyperlink" xfId="11950" builtinId="9" hidden="1"/>
    <cellStyle name="Followed Hyperlink" xfId="11952" builtinId="9" hidden="1"/>
    <cellStyle name="Followed Hyperlink" xfId="11954" builtinId="9" hidden="1"/>
    <cellStyle name="Followed Hyperlink" xfId="11956" builtinId="9" hidden="1"/>
    <cellStyle name="Followed Hyperlink" xfId="11958" builtinId="9" hidden="1"/>
    <cellStyle name="Followed Hyperlink" xfId="11960" builtinId="9" hidden="1"/>
    <cellStyle name="Followed Hyperlink" xfId="11962" builtinId="9" hidden="1"/>
    <cellStyle name="Followed Hyperlink" xfId="11964" builtinId="9" hidden="1"/>
    <cellStyle name="Followed Hyperlink" xfId="11966" builtinId="9" hidden="1"/>
    <cellStyle name="Followed Hyperlink" xfId="11968" builtinId="9" hidden="1"/>
    <cellStyle name="Followed Hyperlink" xfId="11970" builtinId="9" hidden="1"/>
    <cellStyle name="Followed Hyperlink" xfId="11972" builtinId="9" hidden="1"/>
    <cellStyle name="Followed Hyperlink" xfId="11974" builtinId="9" hidden="1"/>
    <cellStyle name="Followed Hyperlink" xfId="11976" builtinId="9" hidden="1"/>
    <cellStyle name="Followed Hyperlink" xfId="11978" builtinId="9" hidden="1"/>
    <cellStyle name="Followed Hyperlink" xfId="11980" builtinId="9" hidden="1"/>
    <cellStyle name="Followed Hyperlink" xfId="11982" builtinId="9" hidden="1"/>
    <cellStyle name="Followed Hyperlink" xfId="11984" builtinId="9" hidden="1"/>
    <cellStyle name="Followed Hyperlink" xfId="11986" builtinId="9" hidden="1"/>
    <cellStyle name="Followed Hyperlink" xfId="11988" builtinId="9" hidden="1"/>
    <cellStyle name="Followed Hyperlink" xfId="11990" builtinId="9" hidden="1"/>
    <cellStyle name="Followed Hyperlink" xfId="11992" builtinId="9" hidden="1"/>
    <cellStyle name="Followed Hyperlink" xfId="11994" builtinId="9" hidden="1"/>
    <cellStyle name="Followed Hyperlink" xfId="11996" builtinId="9" hidden="1"/>
    <cellStyle name="Followed Hyperlink" xfId="11998" builtinId="9" hidden="1"/>
    <cellStyle name="Followed Hyperlink" xfId="12000" builtinId="9" hidden="1"/>
    <cellStyle name="Followed Hyperlink" xfId="12002" builtinId="9" hidden="1"/>
    <cellStyle name="Followed Hyperlink" xfId="12004" builtinId="9" hidden="1"/>
    <cellStyle name="Followed Hyperlink" xfId="12006" builtinId="9" hidden="1"/>
    <cellStyle name="Followed Hyperlink" xfId="12008" builtinId="9" hidden="1"/>
    <cellStyle name="Followed Hyperlink" xfId="12010" builtinId="9" hidden="1"/>
    <cellStyle name="Followed Hyperlink" xfId="12012" builtinId="9" hidden="1"/>
    <cellStyle name="Followed Hyperlink" xfId="12014" builtinId="9" hidden="1"/>
    <cellStyle name="Followed Hyperlink" xfId="12016" builtinId="9" hidden="1"/>
    <cellStyle name="Followed Hyperlink" xfId="12018" builtinId="9" hidden="1"/>
    <cellStyle name="Followed Hyperlink" xfId="12020" builtinId="9" hidden="1"/>
    <cellStyle name="Followed Hyperlink" xfId="12022" builtinId="9" hidden="1"/>
    <cellStyle name="Followed Hyperlink" xfId="12024" builtinId="9" hidden="1"/>
    <cellStyle name="Followed Hyperlink" xfId="12026" builtinId="9" hidden="1"/>
    <cellStyle name="Followed Hyperlink" xfId="12028" builtinId="9" hidden="1"/>
    <cellStyle name="Followed Hyperlink" xfId="12030" builtinId="9" hidden="1"/>
    <cellStyle name="Followed Hyperlink" xfId="12032" builtinId="9" hidden="1"/>
    <cellStyle name="Followed Hyperlink" xfId="12034" builtinId="9" hidden="1"/>
    <cellStyle name="Followed Hyperlink" xfId="12036" builtinId="9" hidden="1"/>
    <cellStyle name="Followed Hyperlink" xfId="12038" builtinId="9" hidden="1"/>
    <cellStyle name="Followed Hyperlink" xfId="12040" builtinId="9" hidden="1"/>
    <cellStyle name="Followed Hyperlink" xfId="12042" builtinId="9" hidden="1"/>
    <cellStyle name="Followed Hyperlink" xfId="12044" builtinId="9" hidden="1"/>
    <cellStyle name="Followed Hyperlink" xfId="12046" builtinId="9" hidden="1"/>
    <cellStyle name="Followed Hyperlink" xfId="12048" builtinId="9" hidden="1"/>
    <cellStyle name="Followed Hyperlink" xfId="12050" builtinId="9" hidden="1"/>
    <cellStyle name="Followed Hyperlink" xfId="12052" builtinId="9" hidden="1"/>
    <cellStyle name="Followed Hyperlink" xfId="12054" builtinId="9" hidden="1"/>
    <cellStyle name="Followed Hyperlink" xfId="12056" builtinId="9" hidden="1"/>
    <cellStyle name="Followed Hyperlink" xfId="12058" builtinId="9" hidden="1"/>
    <cellStyle name="Followed Hyperlink" xfId="12060" builtinId="9" hidden="1"/>
    <cellStyle name="Followed Hyperlink" xfId="12062" builtinId="9" hidden="1"/>
    <cellStyle name="Followed Hyperlink" xfId="12064" builtinId="9" hidden="1"/>
    <cellStyle name="Followed Hyperlink" xfId="12066" builtinId="9" hidden="1"/>
    <cellStyle name="Followed Hyperlink" xfId="12068" builtinId="9" hidden="1"/>
    <cellStyle name="Followed Hyperlink" xfId="12070" builtinId="9" hidden="1"/>
    <cellStyle name="Followed Hyperlink" xfId="12072" builtinId="9" hidden="1"/>
    <cellStyle name="Followed Hyperlink" xfId="12074" builtinId="9" hidden="1"/>
    <cellStyle name="Followed Hyperlink" xfId="12076" builtinId="9" hidden="1"/>
    <cellStyle name="Followed Hyperlink" xfId="12078" builtinId="9" hidden="1"/>
    <cellStyle name="Followed Hyperlink" xfId="12080" builtinId="9" hidden="1"/>
    <cellStyle name="Followed Hyperlink" xfId="12082" builtinId="9" hidden="1"/>
    <cellStyle name="Followed Hyperlink" xfId="12084" builtinId="9" hidden="1"/>
    <cellStyle name="Followed Hyperlink" xfId="12086" builtinId="9" hidden="1"/>
    <cellStyle name="Followed Hyperlink" xfId="12088" builtinId="9" hidden="1"/>
    <cellStyle name="Followed Hyperlink" xfId="12090" builtinId="9" hidden="1"/>
    <cellStyle name="Followed Hyperlink" xfId="12092" builtinId="9" hidden="1"/>
    <cellStyle name="Followed Hyperlink" xfId="12094" builtinId="9" hidden="1"/>
    <cellStyle name="Followed Hyperlink" xfId="12096" builtinId="9" hidden="1"/>
    <cellStyle name="Followed Hyperlink" xfId="12098" builtinId="9" hidden="1"/>
    <cellStyle name="Followed Hyperlink" xfId="12100" builtinId="9" hidden="1"/>
    <cellStyle name="Followed Hyperlink" xfId="12102" builtinId="9" hidden="1"/>
    <cellStyle name="Followed Hyperlink" xfId="12104" builtinId="9" hidden="1"/>
    <cellStyle name="Followed Hyperlink" xfId="12106" builtinId="9" hidden="1"/>
    <cellStyle name="Followed Hyperlink" xfId="12108" builtinId="9" hidden="1"/>
    <cellStyle name="Followed Hyperlink" xfId="12110" builtinId="9" hidden="1"/>
    <cellStyle name="Followed Hyperlink" xfId="12112" builtinId="9" hidden="1"/>
    <cellStyle name="Followed Hyperlink" xfId="12114" builtinId="9" hidden="1"/>
    <cellStyle name="Followed Hyperlink" xfId="12116" builtinId="9" hidden="1"/>
    <cellStyle name="Followed Hyperlink" xfId="12118" builtinId="9" hidden="1"/>
    <cellStyle name="Followed Hyperlink" xfId="12120" builtinId="9" hidden="1"/>
    <cellStyle name="Followed Hyperlink" xfId="12122" builtinId="9" hidden="1"/>
    <cellStyle name="Followed Hyperlink" xfId="12124" builtinId="9" hidden="1"/>
    <cellStyle name="Followed Hyperlink" xfId="12126" builtinId="9" hidden="1"/>
    <cellStyle name="Followed Hyperlink" xfId="12128" builtinId="9" hidden="1"/>
    <cellStyle name="Followed Hyperlink" xfId="12130" builtinId="9" hidden="1"/>
    <cellStyle name="Followed Hyperlink" xfId="12132" builtinId="9" hidden="1"/>
    <cellStyle name="Followed Hyperlink" xfId="12134" builtinId="9" hidden="1"/>
    <cellStyle name="Followed Hyperlink" xfId="12136" builtinId="9" hidden="1"/>
    <cellStyle name="Followed Hyperlink" xfId="12138" builtinId="9" hidden="1"/>
    <cellStyle name="Followed Hyperlink" xfId="12140" builtinId="9" hidden="1"/>
    <cellStyle name="Followed Hyperlink" xfId="12142" builtinId="9" hidden="1"/>
    <cellStyle name="Followed Hyperlink" xfId="12144" builtinId="9" hidden="1"/>
    <cellStyle name="Followed Hyperlink" xfId="12146" builtinId="9" hidden="1"/>
    <cellStyle name="Followed Hyperlink" xfId="12148" builtinId="9" hidden="1"/>
    <cellStyle name="Followed Hyperlink" xfId="12150" builtinId="9" hidden="1"/>
    <cellStyle name="Followed Hyperlink" xfId="12152" builtinId="9" hidden="1"/>
    <cellStyle name="Followed Hyperlink" xfId="12154" builtinId="9" hidden="1"/>
    <cellStyle name="Followed Hyperlink" xfId="12156" builtinId="9" hidden="1"/>
    <cellStyle name="Followed Hyperlink" xfId="12158" builtinId="9" hidden="1"/>
    <cellStyle name="Followed Hyperlink" xfId="12160" builtinId="9" hidden="1"/>
    <cellStyle name="Followed Hyperlink" xfId="12162" builtinId="9" hidden="1"/>
    <cellStyle name="Followed Hyperlink" xfId="12164" builtinId="9" hidden="1"/>
    <cellStyle name="Followed Hyperlink" xfId="12166" builtinId="9" hidden="1"/>
    <cellStyle name="Followed Hyperlink" xfId="12168" builtinId="9" hidden="1"/>
    <cellStyle name="Followed Hyperlink" xfId="12170" builtinId="9" hidden="1"/>
    <cellStyle name="Followed Hyperlink" xfId="12172" builtinId="9" hidden="1"/>
    <cellStyle name="Followed Hyperlink" xfId="12174" builtinId="9" hidden="1"/>
    <cellStyle name="Followed Hyperlink" xfId="12176" builtinId="9" hidden="1"/>
    <cellStyle name="Followed Hyperlink" xfId="12178" builtinId="9" hidden="1"/>
    <cellStyle name="Followed Hyperlink" xfId="12180" builtinId="9" hidden="1"/>
    <cellStyle name="Followed Hyperlink" xfId="12182" builtinId="9" hidden="1"/>
    <cellStyle name="Followed Hyperlink" xfId="12184" builtinId="9" hidden="1"/>
    <cellStyle name="Followed Hyperlink" xfId="12186" builtinId="9" hidden="1"/>
    <cellStyle name="Followed Hyperlink" xfId="12188" builtinId="9" hidden="1"/>
    <cellStyle name="Followed Hyperlink" xfId="12190" builtinId="9" hidden="1"/>
    <cellStyle name="Followed Hyperlink" xfId="12192" builtinId="9" hidden="1"/>
    <cellStyle name="Followed Hyperlink" xfId="12194" builtinId="9" hidden="1"/>
    <cellStyle name="Followed Hyperlink" xfId="12196" builtinId="9" hidden="1"/>
    <cellStyle name="Followed Hyperlink" xfId="12198" builtinId="9" hidden="1"/>
    <cellStyle name="Followed Hyperlink" xfId="12200" builtinId="9" hidden="1"/>
    <cellStyle name="Followed Hyperlink" xfId="12202" builtinId="9" hidden="1"/>
    <cellStyle name="Followed Hyperlink" xfId="12204" builtinId="9" hidden="1"/>
    <cellStyle name="Followed Hyperlink" xfId="12206" builtinId="9" hidden="1"/>
    <cellStyle name="Followed Hyperlink" xfId="12208" builtinId="9" hidden="1"/>
    <cellStyle name="Followed Hyperlink" xfId="12210" builtinId="9" hidden="1"/>
    <cellStyle name="Followed Hyperlink" xfId="12212" builtinId="9" hidden="1"/>
    <cellStyle name="Followed Hyperlink" xfId="12214" builtinId="9" hidden="1"/>
    <cellStyle name="Followed Hyperlink" xfId="12216" builtinId="9" hidden="1"/>
    <cellStyle name="Followed Hyperlink" xfId="12218" builtinId="9" hidden="1"/>
    <cellStyle name="Followed Hyperlink" xfId="12220" builtinId="9" hidden="1"/>
    <cellStyle name="Followed Hyperlink" xfId="12222" builtinId="9" hidden="1"/>
    <cellStyle name="Followed Hyperlink" xfId="12224" builtinId="9" hidden="1"/>
    <cellStyle name="Followed Hyperlink" xfId="12226" builtinId="9" hidden="1"/>
    <cellStyle name="Followed Hyperlink" xfId="12228" builtinId="9" hidden="1"/>
    <cellStyle name="Followed Hyperlink" xfId="12230" builtinId="9" hidden="1"/>
    <cellStyle name="Followed Hyperlink" xfId="12232" builtinId="9" hidden="1"/>
    <cellStyle name="Followed Hyperlink" xfId="12234" builtinId="9" hidden="1"/>
    <cellStyle name="Followed Hyperlink" xfId="12236" builtinId="9" hidden="1"/>
    <cellStyle name="Followed Hyperlink" xfId="12238" builtinId="9" hidden="1"/>
    <cellStyle name="Followed Hyperlink" xfId="12240" builtinId="9" hidden="1"/>
    <cellStyle name="Followed Hyperlink" xfId="12242" builtinId="9" hidden="1"/>
    <cellStyle name="Followed Hyperlink" xfId="12244" builtinId="9" hidden="1"/>
    <cellStyle name="Followed Hyperlink" xfId="12246" builtinId="9" hidden="1"/>
    <cellStyle name="Followed Hyperlink" xfId="12248" builtinId="9" hidden="1"/>
    <cellStyle name="Followed Hyperlink" xfId="12250" builtinId="9" hidden="1"/>
    <cellStyle name="Followed Hyperlink" xfId="12252" builtinId="9" hidden="1"/>
    <cellStyle name="Followed Hyperlink" xfId="12254" builtinId="9" hidden="1"/>
    <cellStyle name="Followed Hyperlink" xfId="12256" builtinId="9" hidden="1"/>
    <cellStyle name="Followed Hyperlink" xfId="12258" builtinId="9" hidden="1"/>
    <cellStyle name="Followed Hyperlink" xfId="12260" builtinId="9" hidden="1"/>
    <cellStyle name="Followed Hyperlink" xfId="12262" builtinId="9" hidden="1"/>
    <cellStyle name="Followed Hyperlink" xfId="12264" builtinId="9" hidden="1"/>
    <cellStyle name="Followed Hyperlink" xfId="12266" builtinId="9" hidden="1"/>
    <cellStyle name="Followed Hyperlink" xfId="12268" builtinId="9" hidden="1"/>
    <cellStyle name="Followed Hyperlink" xfId="12270" builtinId="9" hidden="1"/>
    <cellStyle name="Followed Hyperlink" xfId="12272" builtinId="9" hidden="1"/>
    <cellStyle name="Followed Hyperlink" xfId="12274" builtinId="9" hidden="1"/>
    <cellStyle name="Followed Hyperlink" xfId="12276" builtinId="9" hidden="1"/>
    <cellStyle name="Followed Hyperlink" xfId="12278" builtinId="9" hidden="1"/>
    <cellStyle name="Followed Hyperlink" xfId="12280" builtinId="9" hidden="1"/>
    <cellStyle name="Followed Hyperlink" xfId="12282" builtinId="9" hidden="1"/>
    <cellStyle name="Followed Hyperlink" xfId="12284" builtinId="9" hidden="1"/>
    <cellStyle name="Followed Hyperlink" xfId="12286" builtinId="9" hidden="1"/>
    <cellStyle name="Followed Hyperlink" xfId="12288" builtinId="9" hidden="1"/>
    <cellStyle name="Followed Hyperlink" xfId="12290" builtinId="9" hidden="1"/>
    <cellStyle name="Followed Hyperlink" xfId="12292" builtinId="9" hidden="1"/>
    <cellStyle name="Followed Hyperlink" xfId="12294" builtinId="9" hidden="1"/>
    <cellStyle name="Followed Hyperlink" xfId="12296" builtinId="9" hidden="1"/>
    <cellStyle name="Followed Hyperlink" xfId="12298" builtinId="9" hidden="1"/>
    <cellStyle name="Followed Hyperlink" xfId="12300" builtinId="9" hidden="1"/>
    <cellStyle name="Followed Hyperlink" xfId="12302" builtinId="9" hidden="1"/>
    <cellStyle name="Followed Hyperlink" xfId="12304" builtinId="9" hidden="1"/>
    <cellStyle name="Followed Hyperlink" xfId="12306" builtinId="9" hidden="1"/>
    <cellStyle name="Followed Hyperlink" xfId="12308" builtinId="9" hidden="1"/>
    <cellStyle name="Followed Hyperlink" xfId="12310" builtinId="9" hidden="1"/>
    <cellStyle name="Followed Hyperlink" xfId="12312" builtinId="9" hidden="1"/>
    <cellStyle name="Followed Hyperlink" xfId="12314" builtinId="9" hidden="1"/>
    <cellStyle name="Followed Hyperlink" xfId="12316" builtinId="9" hidden="1"/>
    <cellStyle name="Followed Hyperlink" xfId="12318" builtinId="9" hidden="1"/>
    <cellStyle name="Followed Hyperlink" xfId="12320" builtinId="9" hidden="1"/>
    <cellStyle name="Followed Hyperlink" xfId="12322" builtinId="9" hidden="1"/>
    <cellStyle name="Followed Hyperlink" xfId="12324" builtinId="9" hidden="1"/>
    <cellStyle name="Followed Hyperlink" xfId="12326" builtinId="9" hidden="1"/>
    <cellStyle name="Followed Hyperlink" xfId="12328" builtinId="9" hidden="1"/>
    <cellStyle name="Followed Hyperlink" xfId="12330" builtinId="9" hidden="1"/>
    <cellStyle name="Followed Hyperlink" xfId="12332" builtinId="9" hidden="1"/>
    <cellStyle name="Followed Hyperlink" xfId="12334" builtinId="9" hidden="1"/>
    <cellStyle name="Followed Hyperlink" xfId="12336" builtinId="9" hidden="1"/>
    <cellStyle name="Followed Hyperlink" xfId="12338" builtinId="9" hidden="1"/>
    <cellStyle name="Followed Hyperlink" xfId="12340" builtinId="9" hidden="1"/>
    <cellStyle name="Followed Hyperlink" xfId="12342" builtinId="9" hidden="1"/>
    <cellStyle name="Followed Hyperlink" xfId="12344" builtinId="9" hidden="1"/>
    <cellStyle name="Followed Hyperlink" xfId="12346" builtinId="9" hidden="1"/>
    <cellStyle name="Followed Hyperlink" xfId="12348" builtinId="9" hidden="1"/>
    <cellStyle name="Followed Hyperlink" xfId="12350" builtinId="9" hidden="1"/>
    <cellStyle name="Followed Hyperlink" xfId="12352" builtinId="9" hidden="1"/>
    <cellStyle name="Followed Hyperlink" xfId="12354" builtinId="9" hidden="1"/>
    <cellStyle name="Followed Hyperlink" xfId="12356" builtinId="9" hidden="1"/>
    <cellStyle name="Followed Hyperlink" xfId="12358" builtinId="9" hidden="1"/>
    <cellStyle name="Followed Hyperlink" xfId="12360" builtinId="9" hidden="1"/>
    <cellStyle name="Followed Hyperlink" xfId="12362" builtinId="9" hidden="1"/>
    <cellStyle name="Followed Hyperlink" xfId="12364" builtinId="9" hidden="1"/>
    <cellStyle name="Followed Hyperlink" xfId="12366" builtinId="9" hidden="1"/>
    <cellStyle name="Followed Hyperlink" xfId="12368" builtinId="9" hidden="1"/>
    <cellStyle name="Followed Hyperlink" xfId="12370" builtinId="9" hidden="1"/>
    <cellStyle name="Followed Hyperlink" xfId="12372" builtinId="9" hidden="1"/>
    <cellStyle name="Followed Hyperlink" xfId="12374" builtinId="9" hidden="1"/>
    <cellStyle name="Followed Hyperlink" xfId="12376" builtinId="9" hidden="1"/>
    <cellStyle name="Followed Hyperlink" xfId="12378" builtinId="9" hidden="1"/>
    <cellStyle name="Followed Hyperlink" xfId="12380" builtinId="9" hidden="1"/>
    <cellStyle name="Followed Hyperlink" xfId="12382" builtinId="9" hidden="1"/>
    <cellStyle name="Followed Hyperlink" xfId="12384" builtinId="9" hidden="1"/>
    <cellStyle name="Followed Hyperlink" xfId="12386" builtinId="9" hidden="1"/>
    <cellStyle name="Followed Hyperlink" xfId="12388" builtinId="9" hidden="1"/>
    <cellStyle name="Followed Hyperlink" xfId="12390" builtinId="9" hidden="1"/>
    <cellStyle name="Followed Hyperlink" xfId="12392" builtinId="9" hidden="1"/>
    <cellStyle name="Followed Hyperlink" xfId="12394" builtinId="9" hidden="1"/>
    <cellStyle name="Followed Hyperlink" xfId="12396" builtinId="9" hidden="1"/>
    <cellStyle name="Followed Hyperlink" xfId="12398" builtinId="9" hidden="1"/>
    <cellStyle name="Followed Hyperlink" xfId="12400" builtinId="9" hidden="1"/>
    <cellStyle name="Followed Hyperlink" xfId="12402" builtinId="9" hidden="1"/>
    <cellStyle name="Followed Hyperlink" xfId="12404" builtinId="9" hidden="1"/>
    <cellStyle name="Followed Hyperlink" xfId="12406" builtinId="9" hidden="1"/>
    <cellStyle name="Followed Hyperlink" xfId="12408" builtinId="9" hidden="1"/>
    <cellStyle name="Followed Hyperlink" xfId="12410" builtinId="9" hidden="1"/>
    <cellStyle name="Followed Hyperlink" xfId="12412" builtinId="9" hidden="1"/>
    <cellStyle name="Followed Hyperlink" xfId="12414" builtinId="9" hidden="1"/>
    <cellStyle name="Followed Hyperlink" xfId="12416" builtinId="9" hidden="1"/>
    <cellStyle name="Followed Hyperlink" xfId="12418" builtinId="9" hidden="1"/>
    <cellStyle name="Followed Hyperlink" xfId="12420" builtinId="9" hidden="1"/>
    <cellStyle name="Followed Hyperlink" xfId="12422" builtinId="9" hidden="1"/>
    <cellStyle name="Followed Hyperlink" xfId="12424" builtinId="9" hidden="1"/>
    <cellStyle name="Followed Hyperlink" xfId="12426" builtinId="9" hidden="1"/>
    <cellStyle name="Followed Hyperlink" xfId="12428" builtinId="9" hidden="1"/>
    <cellStyle name="Followed Hyperlink" xfId="12430" builtinId="9" hidden="1"/>
    <cellStyle name="Followed Hyperlink" xfId="12432" builtinId="9" hidden="1"/>
    <cellStyle name="Followed Hyperlink" xfId="12434" builtinId="9" hidden="1"/>
    <cellStyle name="Followed Hyperlink" xfId="12436" builtinId="9" hidden="1"/>
    <cellStyle name="Followed Hyperlink" xfId="12438" builtinId="9" hidden="1"/>
    <cellStyle name="Followed Hyperlink" xfId="12440" builtinId="9" hidden="1"/>
    <cellStyle name="Followed Hyperlink" xfId="12442" builtinId="9" hidden="1"/>
    <cellStyle name="Followed Hyperlink" xfId="12444" builtinId="9" hidden="1"/>
    <cellStyle name="Followed Hyperlink" xfId="12446" builtinId="9" hidden="1"/>
    <cellStyle name="Followed Hyperlink" xfId="12448" builtinId="9" hidden="1"/>
    <cellStyle name="Followed Hyperlink" xfId="12450" builtinId="9" hidden="1"/>
    <cellStyle name="Followed Hyperlink" xfId="12452" builtinId="9" hidden="1"/>
    <cellStyle name="Followed Hyperlink" xfId="12454" builtinId="9" hidden="1"/>
    <cellStyle name="Followed Hyperlink" xfId="12456" builtinId="9" hidden="1"/>
    <cellStyle name="Followed Hyperlink" xfId="12458" builtinId="9" hidden="1"/>
    <cellStyle name="Followed Hyperlink" xfId="12460" builtinId="9" hidden="1"/>
    <cellStyle name="Followed Hyperlink" xfId="12462" builtinId="9" hidden="1"/>
    <cellStyle name="Followed Hyperlink" xfId="12464" builtinId="9" hidden="1"/>
    <cellStyle name="Followed Hyperlink" xfId="12466" builtinId="9" hidden="1"/>
    <cellStyle name="Followed Hyperlink" xfId="12468" builtinId="9" hidden="1"/>
    <cellStyle name="Followed Hyperlink" xfId="12470" builtinId="9" hidden="1"/>
    <cellStyle name="Followed Hyperlink" xfId="12472" builtinId="9" hidden="1"/>
    <cellStyle name="Followed Hyperlink" xfId="12474" builtinId="9" hidden="1"/>
    <cellStyle name="Followed Hyperlink" xfId="12476" builtinId="9" hidden="1"/>
    <cellStyle name="Followed Hyperlink" xfId="12478" builtinId="9" hidden="1"/>
    <cellStyle name="Followed Hyperlink" xfId="12480" builtinId="9" hidden="1"/>
    <cellStyle name="Followed Hyperlink" xfId="12482" builtinId="9" hidden="1"/>
    <cellStyle name="Followed Hyperlink" xfId="12484" builtinId="9" hidden="1"/>
    <cellStyle name="Followed Hyperlink" xfId="12486" builtinId="9" hidden="1"/>
    <cellStyle name="Followed Hyperlink" xfId="12488" builtinId="9" hidden="1"/>
    <cellStyle name="Followed Hyperlink" xfId="12490" builtinId="9" hidden="1"/>
    <cellStyle name="Followed Hyperlink" xfId="12492" builtinId="9" hidden="1"/>
    <cellStyle name="Followed Hyperlink" xfId="12494" builtinId="9" hidden="1"/>
    <cellStyle name="Followed Hyperlink" xfId="12496" builtinId="9" hidden="1"/>
    <cellStyle name="Followed Hyperlink" xfId="12498" builtinId="9" hidden="1"/>
    <cellStyle name="Followed Hyperlink" xfId="12500" builtinId="9" hidden="1"/>
    <cellStyle name="Followed Hyperlink" xfId="12502" builtinId="9" hidden="1"/>
    <cellStyle name="Followed Hyperlink" xfId="12504" builtinId="9" hidden="1"/>
    <cellStyle name="Followed Hyperlink" xfId="12506" builtinId="9" hidden="1"/>
    <cellStyle name="Followed Hyperlink" xfId="12508" builtinId="9" hidden="1"/>
    <cellStyle name="Followed Hyperlink" xfId="12510" builtinId="9" hidden="1"/>
    <cellStyle name="Followed Hyperlink" xfId="12512" builtinId="9" hidden="1"/>
    <cellStyle name="Followed Hyperlink" xfId="12514" builtinId="9" hidden="1"/>
    <cellStyle name="Followed Hyperlink" xfId="12516" builtinId="9" hidden="1"/>
    <cellStyle name="Followed Hyperlink" xfId="12518" builtinId="9" hidden="1"/>
    <cellStyle name="Followed Hyperlink" xfId="12520" builtinId="9" hidden="1"/>
    <cellStyle name="Followed Hyperlink" xfId="12522" builtinId="9" hidden="1"/>
    <cellStyle name="Followed Hyperlink" xfId="12524" builtinId="9" hidden="1"/>
    <cellStyle name="Followed Hyperlink" xfId="12526" builtinId="9" hidden="1"/>
    <cellStyle name="Followed Hyperlink" xfId="12528" builtinId="9" hidden="1"/>
    <cellStyle name="Followed Hyperlink" xfId="12530" builtinId="9" hidden="1"/>
    <cellStyle name="Followed Hyperlink" xfId="12532" builtinId="9" hidden="1"/>
    <cellStyle name="Followed Hyperlink" xfId="12534" builtinId="9" hidden="1"/>
    <cellStyle name="Followed Hyperlink" xfId="12536" builtinId="9" hidden="1"/>
    <cellStyle name="Followed Hyperlink" xfId="12538" builtinId="9" hidden="1"/>
    <cellStyle name="Followed Hyperlink" xfId="12540" builtinId="9" hidden="1"/>
    <cellStyle name="Followed Hyperlink" xfId="12542" builtinId="9" hidden="1"/>
    <cellStyle name="Followed Hyperlink" xfId="12544" builtinId="9" hidden="1"/>
    <cellStyle name="Followed Hyperlink" xfId="12546" builtinId="9" hidden="1"/>
    <cellStyle name="Followed Hyperlink" xfId="12548" builtinId="9" hidden="1"/>
    <cellStyle name="Followed Hyperlink" xfId="12550" builtinId="9" hidden="1"/>
    <cellStyle name="Followed Hyperlink" xfId="12552" builtinId="9" hidden="1"/>
    <cellStyle name="Followed Hyperlink" xfId="12554" builtinId="9" hidden="1"/>
    <cellStyle name="Followed Hyperlink" xfId="12556" builtinId="9" hidden="1"/>
    <cellStyle name="Followed Hyperlink" xfId="12558" builtinId="9" hidden="1"/>
    <cellStyle name="Followed Hyperlink" xfId="12560" builtinId="9" hidden="1"/>
    <cellStyle name="Followed Hyperlink" xfId="12562" builtinId="9" hidden="1"/>
    <cellStyle name="Followed Hyperlink" xfId="12564" builtinId="9" hidden="1"/>
    <cellStyle name="Followed Hyperlink" xfId="12566" builtinId="9" hidden="1"/>
    <cellStyle name="Followed Hyperlink" xfId="12568" builtinId="9" hidden="1"/>
    <cellStyle name="Followed Hyperlink" xfId="12570" builtinId="9" hidden="1"/>
    <cellStyle name="Followed Hyperlink" xfId="12572" builtinId="9" hidden="1"/>
    <cellStyle name="Followed Hyperlink" xfId="12574" builtinId="9" hidden="1"/>
    <cellStyle name="Followed Hyperlink" xfId="12576" builtinId="9" hidden="1"/>
    <cellStyle name="Followed Hyperlink" xfId="12578" builtinId="9" hidden="1"/>
    <cellStyle name="Followed Hyperlink" xfId="12580" builtinId="9" hidden="1"/>
    <cellStyle name="Followed Hyperlink" xfId="12582" builtinId="9" hidden="1"/>
    <cellStyle name="Followed Hyperlink" xfId="12584" builtinId="9" hidden="1"/>
    <cellStyle name="Followed Hyperlink" xfId="12586" builtinId="9" hidden="1"/>
    <cellStyle name="Followed Hyperlink" xfId="12588" builtinId="9" hidden="1"/>
    <cellStyle name="Followed Hyperlink" xfId="12590" builtinId="9" hidden="1"/>
    <cellStyle name="Followed Hyperlink" xfId="12592" builtinId="9" hidden="1"/>
    <cellStyle name="Followed Hyperlink" xfId="12594" builtinId="9" hidden="1"/>
    <cellStyle name="Followed Hyperlink" xfId="12596" builtinId="9" hidden="1"/>
    <cellStyle name="Followed Hyperlink" xfId="12598" builtinId="9" hidden="1"/>
    <cellStyle name="Followed Hyperlink" xfId="12600" builtinId="9" hidden="1"/>
    <cellStyle name="Followed Hyperlink" xfId="12602" builtinId="9" hidden="1"/>
    <cellStyle name="Followed Hyperlink" xfId="12604" builtinId="9" hidden="1"/>
    <cellStyle name="Followed Hyperlink" xfId="12606" builtinId="9" hidden="1"/>
    <cellStyle name="Followed Hyperlink" xfId="12608" builtinId="9" hidden="1"/>
    <cellStyle name="Followed Hyperlink" xfId="12610" builtinId="9" hidden="1"/>
    <cellStyle name="Followed Hyperlink" xfId="12612" builtinId="9" hidden="1"/>
    <cellStyle name="Followed Hyperlink" xfId="12614" builtinId="9" hidden="1"/>
    <cellStyle name="Followed Hyperlink" xfId="12616" builtinId="9" hidden="1"/>
    <cellStyle name="Followed Hyperlink" xfId="12618" builtinId="9" hidden="1"/>
    <cellStyle name="Followed Hyperlink" xfId="12620" builtinId="9" hidden="1"/>
    <cellStyle name="Followed Hyperlink" xfId="12622" builtinId="9" hidden="1"/>
    <cellStyle name="Followed Hyperlink" xfId="12624" builtinId="9" hidden="1"/>
    <cellStyle name="Followed Hyperlink" xfId="12626" builtinId="9" hidden="1"/>
    <cellStyle name="Followed Hyperlink" xfId="12628" builtinId="9" hidden="1"/>
    <cellStyle name="Followed Hyperlink" xfId="12630" builtinId="9" hidden="1"/>
    <cellStyle name="Followed Hyperlink" xfId="12632" builtinId="9" hidden="1"/>
    <cellStyle name="Followed Hyperlink" xfId="12634" builtinId="9" hidden="1"/>
    <cellStyle name="Followed Hyperlink" xfId="12636" builtinId="9" hidden="1"/>
    <cellStyle name="Followed Hyperlink" xfId="12638" builtinId="9" hidden="1"/>
    <cellStyle name="Followed Hyperlink" xfId="12640" builtinId="9" hidden="1"/>
    <cellStyle name="Followed Hyperlink" xfId="12642" builtinId="9" hidden="1"/>
    <cellStyle name="Followed Hyperlink" xfId="12644" builtinId="9" hidden="1"/>
    <cellStyle name="Followed Hyperlink" xfId="12646" builtinId="9" hidden="1"/>
    <cellStyle name="Followed Hyperlink" xfId="12648" builtinId="9" hidden="1"/>
    <cellStyle name="Followed Hyperlink" xfId="12650" builtinId="9" hidden="1"/>
    <cellStyle name="Followed Hyperlink" xfId="12652" builtinId="9" hidden="1"/>
    <cellStyle name="Followed Hyperlink" xfId="12654" builtinId="9" hidden="1"/>
    <cellStyle name="Followed Hyperlink" xfId="12656" builtinId="9" hidden="1"/>
    <cellStyle name="Followed Hyperlink" xfId="12658" builtinId="9" hidden="1"/>
    <cellStyle name="Followed Hyperlink" xfId="12660" builtinId="9" hidden="1"/>
    <cellStyle name="Followed Hyperlink" xfId="12662" builtinId="9" hidden="1"/>
    <cellStyle name="Followed Hyperlink" xfId="12664" builtinId="9" hidden="1"/>
    <cellStyle name="Followed Hyperlink" xfId="12666" builtinId="9" hidden="1"/>
    <cellStyle name="Followed Hyperlink" xfId="12668" builtinId="9" hidden="1"/>
    <cellStyle name="Followed Hyperlink" xfId="12670" builtinId="9" hidden="1"/>
    <cellStyle name="Followed Hyperlink" xfId="12672" builtinId="9" hidden="1"/>
    <cellStyle name="Followed Hyperlink" xfId="12674" builtinId="9" hidden="1"/>
    <cellStyle name="Followed Hyperlink" xfId="12676" builtinId="9" hidden="1"/>
    <cellStyle name="Followed Hyperlink" xfId="12678" builtinId="9" hidden="1"/>
    <cellStyle name="Followed Hyperlink" xfId="12680" builtinId="9" hidden="1"/>
    <cellStyle name="Followed Hyperlink" xfId="12682" builtinId="9" hidden="1"/>
    <cellStyle name="Followed Hyperlink" xfId="12684" builtinId="9" hidden="1"/>
    <cellStyle name="Followed Hyperlink" xfId="12686" builtinId="9" hidden="1"/>
    <cellStyle name="Followed Hyperlink" xfId="12688" builtinId="9" hidden="1"/>
    <cellStyle name="Followed Hyperlink" xfId="12690" builtinId="9" hidden="1"/>
    <cellStyle name="Followed Hyperlink" xfId="12692" builtinId="9" hidden="1"/>
    <cellStyle name="Followed Hyperlink" xfId="12694" builtinId="9" hidden="1"/>
    <cellStyle name="Followed Hyperlink" xfId="12696" builtinId="9" hidden="1"/>
    <cellStyle name="Followed Hyperlink" xfId="12698" builtinId="9" hidden="1"/>
    <cellStyle name="Followed Hyperlink" xfId="12700" builtinId="9" hidden="1"/>
    <cellStyle name="Followed Hyperlink" xfId="12702" builtinId="9" hidden="1"/>
    <cellStyle name="Followed Hyperlink" xfId="12704" builtinId="9" hidden="1"/>
    <cellStyle name="Followed Hyperlink" xfId="12706" builtinId="9" hidden="1"/>
    <cellStyle name="Followed Hyperlink" xfId="12708" builtinId="9" hidden="1"/>
    <cellStyle name="Followed Hyperlink" xfId="12710" builtinId="9" hidden="1"/>
    <cellStyle name="Followed Hyperlink" xfId="12712" builtinId="9" hidden="1"/>
    <cellStyle name="Followed Hyperlink" xfId="12714" builtinId="9" hidden="1"/>
    <cellStyle name="Followed Hyperlink" xfId="12716" builtinId="9" hidden="1"/>
    <cellStyle name="Followed Hyperlink" xfId="12718" builtinId="9" hidden="1"/>
    <cellStyle name="Followed Hyperlink" xfId="12720" builtinId="9" hidden="1"/>
    <cellStyle name="Followed Hyperlink" xfId="12722" builtinId="9" hidden="1"/>
    <cellStyle name="Followed Hyperlink" xfId="12724" builtinId="9" hidden="1"/>
    <cellStyle name="Followed Hyperlink" xfId="12726" builtinId="9" hidden="1"/>
    <cellStyle name="Followed Hyperlink" xfId="12728" builtinId="9" hidden="1"/>
    <cellStyle name="Followed Hyperlink" xfId="12730" builtinId="9" hidden="1"/>
    <cellStyle name="Followed Hyperlink" xfId="12732" builtinId="9" hidden="1"/>
    <cellStyle name="Followed Hyperlink" xfId="12734" builtinId="9" hidden="1"/>
    <cellStyle name="Followed Hyperlink" xfId="12736" builtinId="9" hidden="1"/>
    <cellStyle name="Followed Hyperlink" xfId="12738" builtinId="9" hidden="1"/>
    <cellStyle name="Followed Hyperlink" xfId="12740" builtinId="9" hidden="1"/>
    <cellStyle name="Followed Hyperlink" xfId="12742" builtinId="9" hidden="1"/>
    <cellStyle name="Followed Hyperlink" xfId="12744" builtinId="9" hidden="1"/>
    <cellStyle name="Followed Hyperlink" xfId="12746" builtinId="9" hidden="1"/>
    <cellStyle name="Followed Hyperlink" xfId="12748" builtinId="9" hidden="1"/>
    <cellStyle name="Followed Hyperlink" xfId="12750" builtinId="9" hidden="1"/>
    <cellStyle name="Followed Hyperlink" xfId="12752" builtinId="9" hidden="1"/>
    <cellStyle name="Followed Hyperlink" xfId="12754" builtinId="9" hidden="1"/>
    <cellStyle name="Followed Hyperlink" xfId="12756" builtinId="9" hidden="1"/>
    <cellStyle name="Followed Hyperlink" xfId="12758" builtinId="9" hidden="1"/>
    <cellStyle name="Followed Hyperlink" xfId="12760" builtinId="9" hidden="1"/>
    <cellStyle name="Followed Hyperlink" xfId="12762" builtinId="9" hidden="1"/>
    <cellStyle name="Followed Hyperlink" xfId="12764" builtinId="9" hidden="1"/>
    <cellStyle name="Followed Hyperlink" xfId="12766" builtinId="9" hidden="1"/>
    <cellStyle name="Followed Hyperlink" xfId="12768" builtinId="9" hidden="1"/>
    <cellStyle name="Followed Hyperlink" xfId="12770" builtinId="9" hidden="1"/>
    <cellStyle name="Followed Hyperlink" xfId="12772" builtinId="9" hidden="1"/>
    <cellStyle name="Followed Hyperlink" xfId="12774" builtinId="9" hidden="1"/>
    <cellStyle name="Followed Hyperlink" xfId="12776" builtinId="9" hidden="1"/>
    <cellStyle name="Followed Hyperlink" xfId="12778" builtinId="9" hidden="1"/>
    <cellStyle name="Followed Hyperlink" xfId="12780" builtinId="9" hidden="1"/>
    <cellStyle name="Followed Hyperlink" xfId="12782" builtinId="9" hidden="1"/>
    <cellStyle name="Followed Hyperlink" xfId="12784" builtinId="9" hidden="1"/>
    <cellStyle name="Followed Hyperlink" xfId="12786" builtinId="9" hidden="1"/>
    <cellStyle name="Followed Hyperlink" xfId="12788" builtinId="9" hidden="1"/>
    <cellStyle name="Followed Hyperlink" xfId="12790" builtinId="9" hidden="1"/>
    <cellStyle name="Followed Hyperlink" xfId="12792" builtinId="9" hidden="1"/>
    <cellStyle name="Followed Hyperlink" xfId="12794" builtinId="9" hidden="1"/>
    <cellStyle name="Followed Hyperlink" xfId="12796" builtinId="9" hidden="1"/>
    <cellStyle name="Followed Hyperlink" xfId="12798" builtinId="9" hidden="1"/>
    <cellStyle name="Followed Hyperlink" xfId="12800" builtinId="9" hidden="1"/>
    <cellStyle name="Followed Hyperlink" xfId="12802" builtinId="9" hidden="1"/>
    <cellStyle name="Followed Hyperlink" xfId="12804" builtinId="9" hidden="1"/>
    <cellStyle name="Followed Hyperlink" xfId="12806" builtinId="9" hidden="1"/>
    <cellStyle name="Followed Hyperlink" xfId="12808" builtinId="9" hidden="1"/>
    <cellStyle name="Followed Hyperlink" xfId="12810" builtinId="9" hidden="1"/>
    <cellStyle name="Followed Hyperlink" xfId="12812" builtinId="9" hidden="1"/>
    <cellStyle name="Followed Hyperlink" xfId="12814" builtinId="9" hidden="1"/>
    <cellStyle name="Followed Hyperlink" xfId="12816" builtinId="9" hidden="1"/>
    <cellStyle name="Followed Hyperlink" xfId="12818" builtinId="9" hidden="1"/>
    <cellStyle name="Followed Hyperlink" xfId="12820" builtinId="9" hidden="1"/>
    <cellStyle name="Followed Hyperlink" xfId="12822" builtinId="9" hidden="1"/>
    <cellStyle name="Followed Hyperlink" xfId="12824" builtinId="9" hidden="1"/>
    <cellStyle name="Followed Hyperlink" xfId="12826" builtinId="9" hidden="1"/>
    <cellStyle name="Followed Hyperlink" xfId="12828" builtinId="9" hidden="1"/>
    <cellStyle name="Followed Hyperlink" xfId="12830" builtinId="9" hidden="1"/>
    <cellStyle name="Followed Hyperlink" xfId="12832" builtinId="9" hidden="1"/>
    <cellStyle name="Followed Hyperlink" xfId="12834" builtinId="9" hidden="1"/>
    <cellStyle name="Followed Hyperlink" xfId="12836" builtinId="9" hidden="1"/>
    <cellStyle name="Followed Hyperlink" xfId="12838" builtinId="9" hidden="1"/>
    <cellStyle name="Followed Hyperlink" xfId="12840" builtinId="9" hidden="1"/>
    <cellStyle name="Followed Hyperlink" xfId="12842" builtinId="9" hidden="1"/>
    <cellStyle name="Followed Hyperlink" xfId="12844" builtinId="9" hidden="1"/>
    <cellStyle name="Followed Hyperlink" xfId="12846" builtinId="9" hidden="1"/>
    <cellStyle name="Followed Hyperlink" xfId="12848" builtinId="9" hidden="1"/>
    <cellStyle name="Followed Hyperlink" xfId="12850" builtinId="9" hidden="1"/>
    <cellStyle name="Followed Hyperlink" xfId="12852" builtinId="9" hidden="1"/>
    <cellStyle name="Followed Hyperlink" xfId="12854" builtinId="9" hidden="1"/>
    <cellStyle name="Followed Hyperlink" xfId="12856" builtinId="9" hidden="1"/>
    <cellStyle name="Followed Hyperlink" xfId="12858" builtinId="9" hidden="1"/>
    <cellStyle name="Followed Hyperlink" xfId="12860" builtinId="9" hidden="1"/>
    <cellStyle name="Followed Hyperlink" xfId="12862" builtinId="9" hidden="1"/>
    <cellStyle name="Followed Hyperlink" xfId="12864" builtinId="9" hidden="1"/>
    <cellStyle name="Followed Hyperlink" xfId="12866" builtinId="9" hidden="1"/>
    <cellStyle name="Followed Hyperlink" xfId="12868" builtinId="9" hidden="1"/>
    <cellStyle name="Followed Hyperlink" xfId="12870" builtinId="9" hidden="1"/>
    <cellStyle name="Followed Hyperlink" xfId="12872" builtinId="9" hidden="1"/>
    <cellStyle name="Followed Hyperlink" xfId="12874" builtinId="9" hidden="1"/>
    <cellStyle name="Followed Hyperlink" xfId="12876" builtinId="9" hidden="1"/>
    <cellStyle name="Followed Hyperlink" xfId="12878" builtinId="9" hidden="1"/>
    <cellStyle name="Followed Hyperlink" xfId="12880" builtinId="9" hidden="1"/>
    <cellStyle name="Followed Hyperlink" xfId="12882" builtinId="9" hidden="1"/>
    <cellStyle name="Followed Hyperlink" xfId="12884" builtinId="9" hidden="1"/>
    <cellStyle name="Followed Hyperlink" xfId="12886" builtinId="9" hidden="1"/>
    <cellStyle name="Followed Hyperlink" xfId="12888" builtinId="9" hidden="1"/>
    <cellStyle name="Followed Hyperlink" xfId="12890" builtinId="9" hidden="1"/>
    <cellStyle name="Followed Hyperlink" xfId="12892" builtinId="9" hidden="1"/>
    <cellStyle name="Followed Hyperlink" xfId="12894" builtinId="9" hidden="1"/>
    <cellStyle name="Followed Hyperlink" xfId="12896" builtinId="9" hidden="1"/>
    <cellStyle name="Followed Hyperlink" xfId="12898" builtinId="9" hidden="1"/>
    <cellStyle name="Followed Hyperlink" xfId="12900" builtinId="9" hidden="1"/>
    <cellStyle name="Followed Hyperlink" xfId="12902" builtinId="9" hidden="1"/>
    <cellStyle name="Followed Hyperlink" xfId="12904" builtinId="9" hidden="1"/>
    <cellStyle name="Followed Hyperlink" xfId="12906" builtinId="9" hidden="1"/>
    <cellStyle name="Followed Hyperlink" xfId="12908" builtinId="9" hidden="1"/>
    <cellStyle name="Followed Hyperlink" xfId="12910" builtinId="9" hidden="1"/>
    <cellStyle name="Followed Hyperlink" xfId="12912" builtinId="9" hidden="1"/>
    <cellStyle name="Followed Hyperlink" xfId="12914" builtinId="9" hidden="1"/>
    <cellStyle name="Followed Hyperlink" xfId="12916" builtinId="9" hidden="1"/>
    <cellStyle name="Followed Hyperlink" xfId="12918" builtinId="9" hidden="1"/>
    <cellStyle name="Followed Hyperlink" xfId="12920" builtinId="9" hidden="1"/>
    <cellStyle name="Followed Hyperlink" xfId="12922" builtinId="9" hidden="1"/>
    <cellStyle name="Followed Hyperlink" xfId="12924" builtinId="9" hidden="1"/>
    <cellStyle name="Followed Hyperlink" xfId="12926" builtinId="9" hidden="1"/>
    <cellStyle name="Followed Hyperlink" xfId="12928" builtinId="9" hidden="1"/>
    <cellStyle name="Followed Hyperlink" xfId="12930" builtinId="9" hidden="1"/>
    <cellStyle name="Followed Hyperlink" xfId="12932" builtinId="9" hidden="1"/>
    <cellStyle name="Followed Hyperlink" xfId="12934" builtinId="9" hidden="1"/>
    <cellStyle name="Followed Hyperlink" xfId="12936" builtinId="9" hidden="1"/>
    <cellStyle name="Followed Hyperlink" xfId="12938" builtinId="9" hidden="1"/>
    <cellStyle name="Followed Hyperlink" xfId="12940" builtinId="9" hidden="1"/>
    <cellStyle name="Followed Hyperlink" xfId="12942" builtinId="9" hidden="1"/>
    <cellStyle name="Followed Hyperlink" xfId="12944" builtinId="9" hidden="1"/>
    <cellStyle name="Followed Hyperlink" xfId="12946" builtinId="9" hidden="1"/>
    <cellStyle name="Followed Hyperlink" xfId="12948" builtinId="9" hidden="1"/>
    <cellStyle name="Followed Hyperlink" xfId="12950" builtinId="9" hidden="1"/>
    <cellStyle name="Followed Hyperlink" xfId="12952" builtinId="9" hidden="1"/>
    <cellStyle name="Followed Hyperlink" xfId="12954" builtinId="9" hidden="1"/>
    <cellStyle name="Followed Hyperlink" xfId="12956" builtinId="9" hidden="1"/>
    <cellStyle name="Followed Hyperlink" xfId="12958" builtinId="9" hidden="1"/>
    <cellStyle name="Followed Hyperlink" xfId="12960" builtinId="9" hidden="1"/>
    <cellStyle name="Followed Hyperlink" xfId="12962" builtinId="9" hidden="1"/>
    <cellStyle name="Followed Hyperlink" xfId="12964" builtinId="9" hidden="1"/>
    <cellStyle name="Followed Hyperlink" xfId="12966" builtinId="9" hidden="1"/>
    <cellStyle name="Followed Hyperlink" xfId="12968" builtinId="9" hidden="1"/>
    <cellStyle name="Followed Hyperlink" xfId="12970" builtinId="9" hidden="1"/>
    <cellStyle name="Followed Hyperlink" xfId="12972" builtinId="9" hidden="1"/>
    <cellStyle name="Followed Hyperlink" xfId="12974" builtinId="9" hidden="1"/>
    <cellStyle name="Followed Hyperlink" xfId="12976" builtinId="9" hidden="1"/>
    <cellStyle name="Followed Hyperlink" xfId="12978" builtinId="9" hidden="1"/>
    <cellStyle name="Followed Hyperlink" xfId="12980" builtinId="9" hidden="1"/>
    <cellStyle name="Followed Hyperlink" xfId="12982" builtinId="9" hidden="1"/>
    <cellStyle name="Followed Hyperlink" xfId="12984" builtinId="9" hidden="1"/>
    <cellStyle name="Followed Hyperlink" xfId="12986" builtinId="9" hidden="1"/>
    <cellStyle name="Followed Hyperlink" xfId="12988" builtinId="9" hidden="1"/>
    <cellStyle name="Followed Hyperlink" xfId="12990" builtinId="9" hidden="1"/>
    <cellStyle name="Followed Hyperlink" xfId="12992" builtinId="9" hidden="1"/>
    <cellStyle name="Followed Hyperlink" xfId="12994" builtinId="9" hidden="1"/>
    <cellStyle name="Followed Hyperlink" xfId="12996" builtinId="9" hidden="1"/>
    <cellStyle name="Followed Hyperlink" xfId="12998" builtinId="9" hidden="1"/>
    <cellStyle name="Followed Hyperlink" xfId="13000" builtinId="9" hidden="1"/>
    <cellStyle name="Followed Hyperlink" xfId="13002" builtinId="9" hidden="1"/>
    <cellStyle name="Followed Hyperlink" xfId="13004" builtinId="9" hidden="1"/>
    <cellStyle name="Followed Hyperlink" xfId="13006" builtinId="9" hidden="1"/>
    <cellStyle name="Followed Hyperlink" xfId="13008" builtinId="9" hidden="1"/>
    <cellStyle name="Followed Hyperlink" xfId="13010" builtinId="9" hidden="1"/>
    <cellStyle name="Followed Hyperlink" xfId="13012" builtinId="9" hidden="1"/>
    <cellStyle name="Followed Hyperlink" xfId="13014" builtinId="9" hidden="1"/>
    <cellStyle name="Followed Hyperlink" xfId="13016" builtinId="9" hidden="1"/>
    <cellStyle name="Followed Hyperlink" xfId="13018" builtinId="9" hidden="1"/>
    <cellStyle name="Followed Hyperlink" xfId="13020" builtinId="9" hidden="1"/>
    <cellStyle name="Followed Hyperlink" xfId="13022" builtinId="9" hidden="1"/>
    <cellStyle name="Followed Hyperlink" xfId="13024" builtinId="9" hidden="1"/>
    <cellStyle name="Followed Hyperlink" xfId="13026" builtinId="9" hidden="1"/>
    <cellStyle name="Followed Hyperlink" xfId="13028" builtinId="9" hidden="1"/>
    <cellStyle name="Followed Hyperlink" xfId="13030" builtinId="9" hidden="1"/>
    <cellStyle name="Followed Hyperlink" xfId="13032" builtinId="9" hidden="1"/>
    <cellStyle name="Followed Hyperlink" xfId="13034" builtinId="9" hidden="1"/>
    <cellStyle name="Followed Hyperlink" xfId="13036" builtinId="9" hidden="1"/>
    <cellStyle name="Followed Hyperlink" xfId="13038" builtinId="9" hidden="1"/>
    <cellStyle name="Followed Hyperlink" xfId="13040" builtinId="9" hidden="1"/>
    <cellStyle name="Followed Hyperlink" xfId="13042" builtinId="9" hidden="1"/>
    <cellStyle name="Followed Hyperlink" xfId="13044" builtinId="9" hidden="1"/>
    <cellStyle name="Followed Hyperlink" xfId="13046" builtinId="9" hidden="1"/>
    <cellStyle name="Followed Hyperlink" xfId="13048" builtinId="9" hidden="1"/>
    <cellStyle name="Followed Hyperlink" xfId="13050" builtinId="9" hidden="1"/>
    <cellStyle name="Followed Hyperlink" xfId="13052" builtinId="9" hidden="1"/>
    <cellStyle name="Followed Hyperlink" xfId="13054" builtinId="9" hidden="1"/>
    <cellStyle name="Followed Hyperlink" xfId="13056" builtinId="9" hidden="1"/>
    <cellStyle name="Followed Hyperlink" xfId="13058" builtinId="9" hidden="1"/>
    <cellStyle name="Followed Hyperlink" xfId="13060" builtinId="9" hidden="1"/>
    <cellStyle name="Followed Hyperlink" xfId="13062" builtinId="9" hidden="1"/>
    <cellStyle name="Followed Hyperlink" xfId="13064" builtinId="9" hidden="1"/>
    <cellStyle name="Followed Hyperlink" xfId="13066" builtinId="9" hidden="1"/>
    <cellStyle name="Followed Hyperlink" xfId="13068" builtinId="9" hidden="1"/>
    <cellStyle name="Followed Hyperlink" xfId="13070" builtinId="9" hidden="1"/>
    <cellStyle name="Followed Hyperlink" xfId="13072" builtinId="9" hidden="1"/>
    <cellStyle name="Followed Hyperlink" xfId="13074" builtinId="9" hidden="1"/>
    <cellStyle name="Followed Hyperlink" xfId="13076" builtinId="9" hidden="1"/>
    <cellStyle name="Followed Hyperlink" xfId="13078" builtinId="9" hidden="1"/>
    <cellStyle name="Followed Hyperlink" xfId="13080" builtinId="9" hidden="1"/>
    <cellStyle name="Followed Hyperlink" xfId="13082" builtinId="9" hidden="1"/>
    <cellStyle name="Followed Hyperlink" xfId="13084" builtinId="9" hidden="1"/>
    <cellStyle name="Followed Hyperlink" xfId="13086" builtinId="9" hidden="1"/>
    <cellStyle name="Followed Hyperlink" xfId="13088" builtinId="9" hidden="1"/>
    <cellStyle name="Followed Hyperlink" xfId="13090" builtinId="9" hidden="1"/>
    <cellStyle name="Followed Hyperlink" xfId="13092" builtinId="9" hidden="1"/>
    <cellStyle name="Followed Hyperlink" xfId="13094" builtinId="9" hidden="1"/>
    <cellStyle name="Followed Hyperlink" xfId="13096" builtinId="9" hidden="1"/>
    <cellStyle name="Followed Hyperlink" xfId="13098" builtinId="9" hidden="1"/>
    <cellStyle name="Followed Hyperlink" xfId="13100" builtinId="9" hidden="1"/>
    <cellStyle name="Followed Hyperlink" xfId="13102" builtinId="9" hidden="1"/>
    <cellStyle name="Followed Hyperlink" xfId="13104" builtinId="9" hidden="1"/>
    <cellStyle name="Followed Hyperlink" xfId="13106" builtinId="9" hidden="1"/>
    <cellStyle name="Followed Hyperlink" xfId="13108" builtinId="9" hidden="1"/>
    <cellStyle name="Followed Hyperlink" xfId="13110" builtinId="9" hidden="1"/>
    <cellStyle name="Followed Hyperlink" xfId="13112" builtinId="9" hidden="1"/>
    <cellStyle name="Followed Hyperlink" xfId="13114" builtinId="9" hidden="1"/>
    <cellStyle name="Followed Hyperlink" xfId="13116" builtinId="9" hidden="1"/>
    <cellStyle name="Followed Hyperlink" xfId="13118" builtinId="9" hidden="1"/>
    <cellStyle name="Followed Hyperlink" xfId="13120" builtinId="9" hidden="1"/>
    <cellStyle name="Followed Hyperlink" xfId="13122" builtinId="9" hidden="1"/>
    <cellStyle name="Followed Hyperlink" xfId="13124" builtinId="9" hidden="1"/>
    <cellStyle name="Followed Hyperlink" xfId="13126" builtinId="9" hidden="1"/>
    <cellStyle name="Followed Hyperlink" xfId="13128" builtinId="9" hidden="1"/>
    <cellStyle name="Followed Hyperlink" xfId="13130" builtinId="9" hidden="1"/>
    <cellStyle name="Followed Hyperlink" xfId="13132" builtinId="9" hidden="1"/>
    <cellStyle name="Followed Hyperlink" xfId="13134" builtinId="9" hidden="1"/>
    <cellStyle name="Followed Hyperlink" xfId="13136" builtinId="9" hidden="1"/>
    <cellStyle name="Followed Hyperlink" xfId="13138" builtinId="9" hidden="1"/>
    <cellStyle name="Followed Hyperlink" xfId="13140" builtinId="9" hidden="1"/>
    <cellStyle name="Followed Hyperlink" xfId="13142" builtinId="9" hidden="1"/>
    <cellStyle name="Followed Hyperlink" xfId="13144" builtinId="9" hidden="1"/>
    <cellStyle name="Followed Hyperlink" xfId="13146" builtinId="9" hidden="1"/>
    <cellStyle name="Followed Hyperlink" xfId="13148" builtinId="9" hidden="1"/>
    <cellStyle name="Followed Hyperlink" xfId="13150" builtinId="9" hidden="1"/>
    <cellStyle name="Followed Hyperlink" xfId="13152" builtinId="9" hidden="1"/>
    <cellStyle name="Followed Hyperlink" xfId="13154" builtinId="9" hidden="1"/>
    <cellStyle name="Followed Hyperlink" xfId="13156" builtinId="9" hidden="1"/>
    <cellStyle name="Followed Hyperlink" xfId="13158" builtinId="9" hidden="1"/>
    <cellStyle name="Followed Hyperlink" xfId="13160" builtinId="9" hidden="1"/>
    <cellStyle name="Followed Hyperlink" xfId="13162" builtinId="9" hidden="1"/>
    <cellStyle name="Followed Hyperlink" xfId="13164" builtinId="9" hidden="1"/>
    <cellStyle name="Followed Hyperlink" xfId="13166" builtinId="9" hidden="1"/>
    <cellStyle name="Followed Hyperlink" xfId="13168" builtinId="9" hidden="1"/>
    <cellStyle name="Followed Hyperlink" xfId="13170" builtinId="9" hidden="1"/>
    <cellStyle name="Followed Hyperlink" xfId="13172" builtinId="9" hidden="1"/>
    <cellStyle name="Followed Hyperlink" xfId="13174" builtinId="9" hidden="1"/>
    <cellStyle name="Followed Hyperlink" xfId="13176" builtinId="9" hidden="1"/>
    <cellStyle name="Followed Hyperlink" xfId="13178" builtinId="9" hidden="1"/>
    <cellStyle name="Followed Hyperlink" xfId="13180" builtinId="9" hidden="1"/>
    <cellStyle name="Followed Hyperlink" xfId="13182" builtinId="9" hidden="1"/>
    <cellStyle name="Followed Hyperlink" xfId="13184" builtinId="9" hidden="1"/>
    <cellStyle name="Followed Hyperlink" xfId="13186" builtinId="9" hidden="1"/>
    <cellStyle name="Followed Hyperlink" xfId="13188" builtinId="9" hidden="1"/>
    <cellStyle name="Followed Hyperlink" xfId="13190" builtinId="9" hidden="1"/>
    <cellStyle name="Followed Hyperlink" xfId="13192" builtinId="9" hidden="1"/>
    <cellStyle name="Followed Hyperlink" xfId="13194" builtinId="9" hidden="1"/>
    <cellStyle name="Followed Hyperlink" xfId="13196" builtinId="9" hidden="1"/>
    <cellStyle name="Followed Hyperlink" xfId="13198" builtinId="9" hidden="1"/>
    <cellStyle name="Followed Hyperlink" xfId="13200" builtinId="9" hidden="1"/>
    <cellStyle name="Followed Hyperlink" xfId="13202" builtinId="9" hidden="1"/>
    <cellStyle name="Followed Hyperlink" xfId="13204" builtinId="9" hidden="1"/>
    <cellStyle name="Followed Hyperlink" xfId="13206" builtinId="9" hidden="1"/>
    <cellStyle name="Followed Hyperlink" xfId="13208" builtinId="9" hidden="1"/>
    <cellStyle name="Followed Hyperlink" xfId="13210" builtinId="9" hidden="1"/>
    <cellStyle name="Followed Hyperlink" xfId="13212" builtinId="9" hidden="1"/>
    <cellStyle name="Followed Hyperlink" xfId="13214" builtinId="9" hidden="1"/>
    <cellStyle name="Followed Hyperlink" xfId="13216" builtinId="9" hidden="1"/>
    <cellStyle name="Followed Hyperlink" xfId="13218" builtinId="9" hidden="1"/>
    <cellStyle name="Followed Hyperlink" xfId="13220" builtinId="9" hidden="1"/>
    <cellStyle name="Followed Hyperlink" xfId="13222" builtinId="9" hidden="1"/>
    <cellStyle name="Followed Hyperlink" xfId="13224" builtinId="9" hidden="1"/>
    <cellStyle name="Followed Hyperlink" xfId="13226" builtinId="9" hidden="1"/>
    <cellStyle name="Followed Hyperlink" xfId="13228" builtinId="9" hidden="1"/>
    <cellStyle name="Followed Hyperlink" xfId="13230" builtinId="9" hidden="1"/>
    <cellStyle name="Followed Hyperlink" xfId="13232" builtinId="9" hidden="1"/>
    <cellStyle name="Followed Hyperlink" xfId="13234" builtinId="9" hidden="1"/>
    <cellStyle name="Followed Hyperlink" xfId="13236" builtinId="9" hidden="1"/>
    <cellStyle name="Followed Hyperlink" xfId="13238" builtinId="9" hidden="1"/>
    <cellStyle name="Followed Hyperlink" xfId="13240" builtinId="9" hidden="1"/>
    <cellStyle name="Followed Hyperlink" xfId="13242" builtinId="9" hidden="1"/>
    <cellStyle name="Followed Hyperlink" xfId="13244" builtinId="9" hidden="1"/>
    <cellStyle name="Followed Hyperlink" xfId="13246" builtinId="9" hidden="1"/>
    <cellStyle name="Followed Hyperlink" xfId="13248" builtinId="9" hidden="1"/>
    <cellStyle name="Followed Hyperlink" xfId="13250" builtinId="9" hidden="1"/>
    <cellStyle name="Followed Hyperlink" xfId="13252" builtinId="9" hidden="1"/>
    <cellStyle name="Followed Hyperlink" xfId="13254" builtinId="9" hidden="1"/>
    <cellStyle name="Followed Hyperlink" xfId="13256" builtinId="9" hidden="1"/>
    <cellStyle name="Followed Hyperlink" xfId="13258" builtinId="9" hidden="1"/>
    <cellStyle name="Followed Hyperlink" xfId="13260" builtinId="9" hidden="1"/>
    <cellStyle name="Followed Hyperlink" xfId="13262" builtinId="9" hidden="1"/>
    <cellStyle name="Followed Hyperlink" xfId="13264" builtinId="9" hidden="1"/>
    <cellStyle name="Followed Hyperlink" xfId="13266" builtinId="9" hidden="1"/>
    <cellStyle name="Followed Hyperlink" xfId="13268" builtinId="9" hidden="1"/>
    <cellStyle name="Followed Hyperlink" xfId="13270" builtinId="9" hidden="1"/>
    <cellStyle name="Followed Hyperlink" xfId="13272" builtinId="9" hidden="1"/>
    <cellStyle name="Followed Hyperlink" xfId="13274" builtinId="9" hidden="1"/>
    <cellStyle name="Followed Hyperlink" xfId="13276" builtinId="9" hidden="1"/>
    <cellStyle name="Followed Hyperlink" xfId="13278" builtinId="9" hidden="1"/>
    <cellStyle name="Followed Hyperlink" xfId="13280" builtinId="9" hidden="1"/>
    <cellStyle name="Followed Hyperlink" xfId="13282" builtinId="9" hidden="1"/>
    <cellStyle name="Followed Hyperlink" xfId="13284" builtinId="9" hidden="1"/>
    <cellStyle name="Followed Hyperlink" xfId="13286" builtinId="9" hidden="1"/>
    <cellStyle name="Followed Hyperlink" xfId="13288" builtinId="9" hidden="1"/>
    <cellStyle name="Followed Hyperlink" xfId="13290" builtinId="9" hidden="1"/>
    <cellStyle name="Followed Hyperlink" xfId="13292" builtinId="9" hidden="1"/>
    <cellStyle name="Followed Hyperlink" xfId="13294" builtinId="9" hidden="1"/>
    <cellStyle name="Followed Hyperlink" xfId="13296" builtinId="9" hidden="1"/>
    <cellStyle name="Followed Hyperlink" xfId="13298" builtinId="9" hidden="1"/>
    <cellStyle name="Followed Hyperlink" xfId="13300" builtinId="9" hidden="1"/>
    <cellStyle name="Followed Hyperlink" xfId="13302" builtinId="9" hidden="1"/>
    <cellStyle name="Followed Hyperlink" xfId="13304" builtinId="9" hidden="1"/>
    <cellStyle name="Followed Hyperlink" xfId="13306" builtinId="9" hidden="1"/>
    <cellStyle name="Followed Hyperlink" xfId="13308" builtinId="9" hidden="1"/>
    <cellStyle name="Followed Hyperlink" xfId="13310" builtinId="9" hidden="1"/>
    <cellStyle name="Followed Hyperlink" xfId="13312" builtinId="9" hidden="1"/>
    <cellStyle name="Followed Hyperlink" xfId="13314" builtinId="9" hidden="1"/>
    <cellStyle name="Followed Hyperlink" xfId="13316" builtinId="9" hidden="1"/>
    <cellStyle name="Followed Hyperlink" xfId="13318" builtinId="9" hidden="1"/>
    <cellStyle name="Followed Hyperlink" xfId="13320" builtinId="9" hidden="1"/>
    <cellStyle name="Followed Hyperlink" xfId="13322" builtinId="9" hidden="1"/>
    <cellStyle name="Followed Hyperlink" xfId="13324" builtinId="9" hidden="1"/>
    <cellStyle name="Followed Hyperlink" xfId="13326" builtinId="9" hidden="1"/>
    <cellStyle name="Followed Hyperlink" xfId="13328" builtinId="9" hidden="1"/>
    <cellStyle name="Followed Hyperlink" xfId="13330" builtinId="9" hidden="1"/>
    <cellStyle name="Followed Hyperlink" xfId="13332" builtinId="9" hidden="1"/>
    <cellStyle name="Followed Hyperlink" xfId="13334" builtinId="9" hidden="1"/>
    <cellStyle name="Followed Hyperlink" xfId="13336" builtinId="9" hidden="1"/>
    <cellStyle name="Followed Hyperlink" xfId="13338" builtinId="9" hidden="1"/>
    <cellStyle name="Followed Hyperlink" xfId="13340" builtinId="9" hidden="1"/>
    <cellStyle name="Followed Hyperlink" xfId="13342" builtinId="9" hidden="1"/>
    <cellStyle name="Followed Hyperlink" xfId="13344" builtinId="9" hidden="1"/>
    <cellStyle name="Followed Hyperlink" xfId="13346" builtinId="9" hidden="1"/>
    <cellStyle name="Followed Hyperlink" xfId="13348" builtinId="9" hidden="1"/>
    <cellStyle name="Followed Hyperlink" xfId="13350" builtinId="9" hidden="1"/>
    <cellStyle name="Followed Hyperlink" xfId="13352" builtinId="9" hidden="1"/>
    <cellStyle name="Followed Hyperlink" xfId="13354" builtinId="9" hidden="1"/>
    <cellStyle name="Followed Hyperlink" xfId="13356" builtinId="9" hidden="1"/>
    <cellStyle name="Followed Hyperlink" xfId="13358" builtinId="9" hidden="1"/>
    <cellStyle name="Followed Hyperlink" xfId="13360" builtinId="9" hidden="1"/>
    <cellStyle name="Followed Hyperlink" xfId="13362" builtinId="9" hidden="1"/>
    <cellStyle name="Followed Hyperlink" xfId="13364" builtinId="9" hidden="1"/>
    <cellStyle name="Followed Hyperlink" xfId="13366" builtinId="9" hidden="1"/>
    <cellStyle name="Followed Hyperlink" xfId="13368" builtinId="9" hidden="1"/>
    <cellStyle name="Followed Hyperlink" xfId="13370" builtinId="9" hidden="1"/>
    <cellStyle name="Followed Hyperlink" xfId="13372" builtinId="9" hidden="1"/>
    <cellStyle name="Followed Hyperlink" xfId="13374" builtinId="9" hidden="1"/>
    <cellStyle name="Followed Hyperlink" xfId="13376" builtinId="9" hidden="1"/>
    <cellStyle name="Followed Hyperlink" xfId="13378" builtinId="9" hidden="1"/>
    <cellStyle name="Followed Hyperlink" xfId="13380" builtinId="9" hidden="1"/>
    <cellStyle name="Followed Hyperlink" xfId="13382" builtinId="9" hidden="1"/>
    <cellStyle name="Followed Hyperlink" xfId="13384" builtinId="9" hidden="1"/>
    <cellStyle name="Followed Hyperlink" xfId="13386" builtinId="9" hidden="1"/>
    <cellStyle name="Followed Hyperlink" xfId="13388" builtinId="9" hidden="1"/>
    <cellStyle name="Followed Hyperlink" xfId="13390" builtinId="9" hidden="1"/>
    <cellStyle name="Followed Hyperlink" xfId="13392" builtinId="9" hidden="1"/>
    <cellStyle name="Followed Hyperlink" xfId="13394" builtinId="9" hidden="1"/>
    <cellStyle name="Followed Hyperlink" xfId="13396" builtinId="9" hidden="1"/>
    <cellStyle name="Followed Hyperlink" xfId="13398" builtinId="9" hidden="1"/>
    <cellStyle name="Followed Hyperlink" xfId="13400" builtinId="9" hidden="1"/>
    <cellStyle name="Followed Hyperlink" xfId="13402" builtinId="9" hidden="1"/>
    <cellStyle name="Followed Hyperlink" xfId="13404" builtinId="9" hidden="1"/>
    <cellStyle name="Followed Hyperlink" xfId="13406" builtinId="9" hidden="1"/>
    <cellStyle name="Followed Hyperlink" xfId="13408" builtinId="9" hidden="1"/>
    <cellStyle name="Followed Hyperlink" xfId="13410" builtinId="9" hidden="1"/>
    <cellStyle name="Followed Hyperlink" xfId="13412" builtinId="9" hidden="1"/>
    <cellStyle name="Followed Hyperlink" xfId="13414" builtinId="9" hidden="1"/>
    <cellStyle name="Followed Hyperlink" xfId="13416" builtinId="9" hidden="1"/>
    <cellStyle name="Followed Hyperlink" xfId="13418" builtinId="9" hidden="1"/>
    <cellStyle name="Followed Hyperlink" xfId="13420" builtinId="9" hidden="1"/>
    <cellStyle name="Followed Hyperlink" xfId="13422" builtinId="9" hidden="1"/>
    <cellStyle name="Followed Hyperlink" xfId="13424" builtinId="9" hidden="1"/>
    <cellStyle name="Followed Hyperlink" xfId="13426" builtinId="9" hidden="1"/>
    <cellStyle name="Followed Hyperlink" xfId="13428" builtinId="9" hidden="1"/>
    <cellStyle name="Followed Hyperlink" xfId="13430" builtinId="9" hidden="1"/>
    <cellStyle name="Followed Hyperlink" xfId="13432" builtinId="9" hidden="1"/>
    <cellStyle name="Followed Hyperlink" xfId="13434" builtinId="9" hidden="1"/>
    <cellStyle name="Followed Hyperlink" xfId="13436" builtinId="9" hidden="1"/>
    <cellStyle name="Followed Hyperlink" xfId="13438" builtinId="9" hidden="1"/>
    <cellStyle name="Followed Hyperlink" xfId="13440" builtinId="9" hidden="1"/>
    <cellStyle name="Followed Hyperlink" xfId="13442" builtinId="9" hidden="1"/>
    <cellStyle name="Followed Hyperlink" xfId="13444" builtinId="9" hidden="1"/>
    <cellStyle name="Followed Hyperlink" xfId="13446" builtinId="9" hidden="1"/>
    <cellStyle name="Followed Hyperlink" xfId="13448" builtinId="9" hidden="1"/>
    <cellStyle name="Followed Hyperlink" xfId="13450" builtinId="9" hidden="1"/>
    <cellStyle name="Followed Hyperlink" xfId="13452" builtinId="9" hidden="1"/>
    <cellStyle name="Followed Hyperlink" xfId="13454" builtinId="9" hidden="1"/>
    <cellStyle name="Followed Hyperlink" xfId="13456" builtinId="9" hidden="1"/>
    <cellStyle name="Followed Hyperlink" xfId="13458" builtinId="9" hidden="1"/>
    <cellStyle name="Followed Hyperlink" xfId="13460" builtinId="9" hidden="1"/>
    <cellStyle name="Followed Hyperlink" xfId="13462" builtinId="9" hidden="1"/>
    <cellStyle name="Followed Hyperlink" xfId="13464" builtinId="9" hidden="1"/>
    <cellStyle name="Followed Hyperlink" xfId="13466" builtinId="9" hidden="1"/>
    <cellStyle name="Followed Hyperlink" xfId="13468" builtinId="9" hidden="1"/>
    <cellStyle name="Followed Hyperlink" xfId="13470" builtinId="9" hidden="1"/>
    <cellStyle name="Followed Hyperlink" xfId="13472" builtinId="9" hidden="1"/>
    <cellStyle name="Followed Hyperlink" xfId="13474" builtinId="9" hidden="1"/>
    <cellStyle name="Followed Hyperlink" xfId="13476" builtinId="9" hidden="1"/>
    <cellStyle name="Followed Hyperlink" xfId="13478" builtinId="9" hidden="1"/>
    <cellStyle name="Followed Hyperlink" xfId="13480" builtinId="9" hidden="1"/>
    <cellStyle name="Followed Hyperlink" xfId="13482" builtinId="9" hidden="1"/>
    <cellStyle name="Followed Hyperlink" xfId="13484" builtinId="9" hidden="1"/>
    <cellStyle name="Followed Hyperlink" xfId="13486" builtinId="9" hidden="1"/>
    <cellStyle name="Followed Hyperlink" xfId="13488" builtinId="9" hidden="1"/>
    <cellStyle name="Followed Hyperlink" xfId="13490" builtinId="9" hidden="1"/>
    <cellStyle name="Followed Hyperlink" xfId="13492" builtinId="9" hidden="1"/>
    <cellStyle name="Followed Hyperlink" xfId="13494" builtinId="9" hidden="1"/>
    <cellStyle name="Followed Hyperlink" xfId="13496" builtinId="9" hidden="1"/>
    <cellStyle name="Followed Hyperlink" xfId="13498" builtinId="9" hidden="1"/>
    <cellStyle name="Followed Hyperlink" xfId="13500" builtinId="9" hidden="1"/>
    <cellStyle name="Followed Hyperlink" xfId="13502" builtinId="9" hidden="1"/>
    <cellStyle name="Followed Hyperlink" xfId="13504" builtinId="9" hidden="1"/>
    <cellStyle name="Followed Hyperlink" xfId="13506" builtinId="9" hidden="1"/>
    <cellStyle name="Followed Hyperlink" xfId="13508" builtinId="9" hidden="1"/>
    <cellStyle name="Followed Hyperlink" xfId="13510" builtinId="9" hidden="1"/>
    <cellStyle name="Followed Hyperlink" xfId="13512" builtinId="9" hidden="1"/>
    <cellStyle name="Followed Hyperlink" xfId="13514" builtinId="9" hidden="1"/>
    <cellStyle name="Followed Hyperlink" xfId="13516" builtinId="9" hidden="1"/>
    <cellStyle name="Followed Hyperlink" xfId="13518" builtinId="9" hidden="1"/>
    <cellStyle name="Followed Hyperlink" xfId="13520" builtinId="9" hidden="1"/>
    <cellStyle name="Followed Hyperlink" xfId="13522" builtinId="9" hidden="1"/>
    <cellStyle name="Followed Hyperlink" xfId="13524" builtinId="9" hidden="1"/>
    <cellStyle name="Followed Hyperlink" xfId="13526" builtinId="9" hidden="1"/>
    <cellStyle name="Followed Hyperlink" xfId="13528" builtinId="9" hidden="1"/>
    <cellStyle name="Followed Hyperlink" xfId="13530" builtinId="9" hidden="1"/>
    <cellStyle name="Followed Hyperlink" xfId="13532" builtinId="9" hidden="1"/>
    <cellStyle name="Followed Hyperlink" xfId="13534" builtinId="9" hidden="1"/>
    <cellStyle name="Followed Hyperlink" xfId="13536" builtinId="9" hidden="1"/>
    <cellStyle name="Followed Hyperlink" xfId="13538" builtinId="9" hidden="1"/>
    <cellStyle name="Followed Hyperlink" xfId="13540" builtinId="9" hidden="1"/>
    <cellStyle name="Followed Hyperlink" xfId="13542" builtinId="9" hidden="1"/>
    <cellStyle name="Followed Hyperlink" xfId="13544" builtinId="9" hidden="1"/>
    <cellStyle name="Followed Hyperlink" xfId="13546" builtinId="9" hidden="1"/>
    <cellStyle name="Followed Hyperlink" xfId="13548" builtinId="9" hidden="1"/>
    <cellStyle name="Followed Hyperlink" xfId="13550" builtinId="9" hidden="1"/>
    <cellStyle name="Followed Hyperlink" xfId="13552" builtinId="9" hidden="1"/>
    <cellStyle name="Followed Hyperlink" xfId="13554" builtinId="9" hidden="1"/>
    <cellStyle name="Followed Hyperlink" xfId="13556" builtinId="9" hidden="1"/>
    <cellStyle name="Followed Hyperlink" xfId="13558" builtinId="9" hidden="1"/>
    <cellStyle name="Followed Hyperlink" xfId="13560" builtinId="9" hidden="1"/>
    <cellStyle name="Followed Hyperlink" xfId="13562" builtinId="9" hidden="1"/>
    <cellStyle name="Followed Hyperlink" xfId="13564" builtinId="9" hidden="1"/>
    <cellStyle name="Followed Hyperlink" xfId="13566" builtinId="9" hidden="1"/>
    <cellStyle name="Followed Hyperlink" xfId="13568" builtinId="9" hidden="1"/>
    <cellStyle name="Followed Hyperlink" xfId="13570" builtinId="9" hidden="1"/>
    <cellStyle name="Followed Hyperlink" xfId="13572" builtinId="9" hidden="1"/>
    <cellStyle name="Followed Hyperlink" xfId="13574" builtinId="9" hidden="1"/>
    <cellStyle name="Followed Hyperlink" xfId="13576" builtinId="9" hidden="1"/>
    <cellStyle name="Followed Hyperlink" xfId="13578" builtinId="9" hidden="1"/>
    <cellStyle name="Followed Hyperlink" xfId="13580" builtinId="9" hidden="1"/>
    <cellStyle name="Followed Hyperlink" xfId="13582" builtinId="9" hidden="1"/>
    <cellStyle name="Followed Hyperlink" xfId="13584" builtinId="9" hidden="1"/>
    <cellStyle name="Followed Hyperlink" xfId="13586" builtinId="9" hidden="1"/>
    <cellStyle name="Followed Hyperlink" xfId="13588" builtinId="9" hidden="1"/>
    <cellStyle name="Followed Hyperlink" xfId="13590" builtinId="9" hidden="1"/>
    <cellStyle name="Followed Hyperlink" xfId="13592" builtinId="9" hidden="1"/>
    <cellStyle name="Followed Hyperlink" xfId="13594" builtinId="9" hidden="1"/>
    <cellStyle name="Followed Hyperlink" xfId="13596" builtinId="9" hidden="1"/>
    <cellStyle name="Followed Hyperlink" xfId="13598" builtinId="9" hidden="1"/>
    <cellStyle name="Followed Hyperlink" xfId="13600" builtinId="9" hidden="1"/>
    <cellStyle name="Followed Hyperlink" xfId="13602" builtinId="9" hidden="1"/>
    <cellStyle name="Followed Hyperlink" xfId="13604" builtinId="9" hidden="1"/>
    <cellStyle name="Followed Hyperlink" xfId="13606" builtinId="9" hidden="1"/>
    <cellStyle name="Followed Hyperlink" xfId="13608" builtinId="9" hidden="1"/>
    <cellStyle name="Followed Hyperlink" xfId="13610" builtinId="9" hidden="1"/>
    <cellStyle name="Followed Hyperlink" xfId="13612" builtinId="9" hidden="1"/>
    <cellStyle name="Followed Hyperlink" xfId="13614" builtinId="9" hidden="1"/>
    <cellStyle name="Followed Hyperlink" xfId="13616" builtinId="9" hidden="1"/>
    <cellStyle name="Followed Hyperlink" xfId="13618" builtinId="9" hidden="1"/>
    <cellStyle name="Followed Hyperlink" xfId="13620" builtinId="9" hidden="1"/>
    <cellStyle name="Followed Hyperlink" xfId="13622" builtinId="9" hidden="1"/>
    <cellStyle name="Followed Hyperlink" xfId="13624" builtinId="9" hidden="1"/>
    <cellStyle name="Followed Hyperlink" xfId="13626" builtinId="9" hidden="1"/>
    <cellStyle name="Followed Hyperlink" xfId="13628" builtinId="9" hidden="1"/>
    <cellStyle name="Followed Hyperlink" xfId="13630" builtinId="9" hidden="1"/>
    <cellStyle name="Followed Hyperlink" xfId="13632" builtinId="9" hidden="1"/>
    <cellStyle name="Followed Hyperlink" xfId="13634" builtinId="9" hidden="1"/>
    <cellStyle name="Followed Hyperlink" xfId="13636" builtinId="9" hidden="1"/>
    <cellStyle name="Followed Hyperlink" xfId="13638" builtinId="9" hidden="1"/>
    <cellStyle name="Followed Hyperlink" xfId="13640" builtinId="9" hidden="1"/>
    <cellStyle name="Followed Hyperlink" xfId="13642" builtinId="9" hidden="1"/>
    <cellStyle name="Followed Hyperlink" xfId="13644" builtinId="9" hidden="1"/>
    <cellStyle name="Followed Hyperlink" xfId="13646" builtinId="9" hidden="1"/>
    <cellStyle name="Followed Hyperlink" xfId="13648" builtinId="9" hidden="1"/>
    <cellStyle name="Followed Hyperlink" xfId="13650" builtinId="9" hidden="1"/>
    <cellStyle name="Followed Hyperlink" xfId="13652" builtinId="9" hidden="1"/>
    <cellStyle name="Followed Hyperlink" xfId="13654" builtinId="9" hidden="1"/>
    <cellStyle name="Followed Hyperlink" xfId="13656" builtinId="9" hidden="1"/>
    <cellStyle name="Followed Hyperlink" xfId="13658" builtinId="9" hidden="1"/>
    <cellStyle name="Followed Hyperlink" xfId="13660" builtinId="9" hidden="1"/>
    <cellStyle name="Followed Hyperlink" xfId="13662" builtinId="9" hidden="1"/>
    <cellStyle name="Followed Hyperlink" xfId="13664" builtinId="9" hidden="1"/>
    <cellStyle name="Followed Hyperlink" xfId="13666" builtinId="9" hidden="1"/>
    <cellStyle name="Followed Hyperlink" xfId="13668" builtinId="9" hidden="1"/>
    <cellStyle name="Followed Hyperlink" xfId="13670" builtinId="9" hidden="1"/>
    <cellStyle name="Followed Hyperlink" xfId="13672" builtinId="9" hidden="1"/>
    <cellStyle name="Followed Hyperlink" xfId="13674" builtinId="9" hidden="1"/>
    <cellStyle name="Followed Hyperlink" xfId="13676" builtinId="9" hidden="1"/>
    <cellStyle name="Followed Hyperlink" xfId="13678" builtinId="9" hidden="1"/>
    <cellStyle name="Followed Hyperlink" xfId="13680" builtinId="9" hidden="1"/>
    <cellStyle name="Followed Hyperlink" xfId="13682" builtinId="9" hidden="1"/>
    <cellStyle name="Followed Hyperlink" xfId="13684" builtinId="9" hidden="1"/>
    <cellStyle name="Followed Hyperlink" xfId="13686" builtinId="9" hidden="1"/>
    <cellStyle name="Followed Hyperlink" xfId="13688" builtinId="9" hidden="1"/>
    <cellStyle name="Followed Hyperlink" xfId="13690" builtinId="9" hidden="1"/>
    <cellStyle name="Followed Hyperlink" xfId="13692" builtinId="9" hidden="1"/>
    <cellStyle name="Followed Hyperlink" xfId="13694" builtinId="9" hidden="1"/>
    <cellStyle name="Followed Hyperlink" xfId="13696" builtinId="9" hidden="1"/>
    <cellStyle name="Followed Hyperlink" xfId="13698" builtinId="9" hidden="1"/>
    <cellStyle name="Followed Hyperlink" xfId="13700" builtinId="9" hidden="1"/>
    <cellStyle name="Followed Hyperlink" xfId="13702" builtinId="9" hidden="1"/>
    <cellStyle name="Followed Hyperlink" xfId="13704" builtinId="9" hidden="1"/>
    <cellStyle name="Followed Hyperlink" xfId="13706" builtinId="9" hidden="1"/>
    <cellStyle name="Followed Hyperlink" xfId="13708" builtinId="9" hidden="1"/>
    <cellStyle name="Followed Hyperlink" xfId="13710" builtinId="9" hidden="1"/>
    <cellStyle name="Followed Hyperlink" xfId="13712" builtinId="9" hidden="1"/>
    <cellStyle name="Followed Hyperlink" xfId="13714" builtinId="9" hidden="1"/>
    <cellStyle name="Followed Hyperlink" xfId="13716" builtinId="9" hidden="1"/>
    <cellStyle name="Followed Hyperlink" xfId="13718" builtinId="9" hidden="1"/>
    <cellStyle name="Followed Hyperlink" xfId="13720" builtinId="9" hidden="1"/>
    <cellStyle name="Followed Hyperlink" xfId="13722" builtinId="9" hidden="1"/>
    <cellStyle name="Followed Hyperlink" xfId="13724" builtinId="9" hidden="1"/>
    <cellStyle name="Followed Hyperlink" xfId="13726" builtinId="9" hidden="1"/>
    <cellStyle name="Followed Hyperlink" xfId="13728" builtinId="9" hidden="1"/>
    <cellStyle name="Followed Hyperlink" xfId="13730" builtinId="9" hidden="1"/>
    <cellStyle name="Followed Hyperlink" xfId="13732" builtinId="9" hidden="1"/>
    <cellStyle name="Followed Hyperlink" xfId="13734" builtinId="9" hidden="1"/>
    <cellStyle name="Followed Hyperlink" xfId="13736" builtinId="9" hidden="1"/>
    <cellStyle name="Followed Hyperlink" xfId="13738" builtinId="9" hidden="1"/>
    <cellStyle name="Followed Hyperlink" xfId="13740" builtinId="9" hidden="1"/>
    <cellStyle name="Followed Hyperlink" xfId="13742" builtinId="9" hidden="1"/>
    <cellStyle name="Followed Hyperlink" xfId="13744" builtinId="9" hidden="1"/>
    <cellStyle name="Followed Hyperlink" xfId="13746" builtinId="9" hidden="1"/>
    <cellStyle name="Followed Hyperlink" xfId="13748" builtinId="9" hidden="1"/>
    <cellStyle name="Followed Hyperlink" xfId="13750" builtinId="9" hidden="1"/>
    <cellStyle name="Followed Hyperlink" xfId="13752" builtinId="9" hidden="1"/>
    <cellStyle name="Followed Hyperlink" xfId="13754" builtinId="9" hidden="1"/>
    <cellStyle name="Followed Hyperlink" xfId="13756" builtinId="9" hidden="1"/>
    <cellStyle name="Followed Hyperlink" xfId="13758" builtinId="9" hidden="1"/>
    <cellStyle name="Followed Hyperlink" xfId="13760" builtinId="9" hidden="1"/>
    <cellStyle name="Followed Hyperlink" xfId="13762" builtinId="9" hidden="1"/>
    <cellStyle name="Followed Hyperlink" xfId="13764" builtinId="9" hidden="1"/>
    <cellStyle name="Followed Hyperlink" xfId="13766" builtinId="9" hidden="1"/>
    <cellStyle name="Followed Hyperlink" xfId="13768" builtinId="9" hidden="1"/>
    <cellStyle name="Followed Hyperlink" xfId="13770" builtinId="9" hidden="1"/>
    <cellStyle name="Followed Hyperlink" xfId="13772" builtinId="9" hidden="1"/>
    <cellStyle name="Followed Hyperlink" xfId="13774" builtinId="9" hidden="1"/>
    <cellStyle name="Followed Hyperlink" xfId="13776" builtinId="9" hidden="1"/>
    <cellStyle name="Followed Hyperlink" xfId="13778" builtinId="9" hidden="1"/>
    <cellStyle name="Followed Hyperlink" xfId="13780" builtinId="9" hidden="1"/>
    <cellStyle name="Followed Hyperlink" xfId="13782" builtinId="9" hidden="1"/>
    <cellStyle name="Followed Hyperlink" xfId="13784" builtinId="9" hidden="1"/>
    <cellStyle name="Followed Hyperlink" xfId="13786" builtinId="9" hidden="1"/>
    <cellStyle name="Followed Hyperlink" xfId="13788" builtinId="9" hidden="1"/>
    <cellStyle name="Followed Hyperlink" xfId="13790" builtinId="9" hidden="1"/>
    <cellStyle name="Followed Hyperlink" xfId="13792" builtinId="9" hidden="1"/>
    <cellStyle name="Followed Hyperlink" xfId="13794" builtinId="9" hidden="1"/>
    <cellStyle name="Followed Hyperlink" xfId="13796" builtinId="9" hidden="1"/>
    <cellStyle name="Followed Hyperlink" xfId="13798" builtinId="9" hidden="1"/>
    <cellStyle name="Followed Hyperlink" xfId="13800" builtinId="9" hidden="1"/>
    <cellStyle name="Followed Hyperlink" xfId="13802" builtinId="9" hidden="1"/>
    <cellStyle name="Followed Hyperlink" xfId="13804" builtinId="9" hidden="1"/>
    <cellStyle name="Followed Hyperlink" xfId="13806" builtinId="9" hidden="1"/>
    <cellStyle name="Followed Hyperlink" xfId="13808" builtinId="9" hidden="1"/>
    <cellStyle name="Followed Hyperlink" xfId="13810" builtinId="9" hidden="1"/>
    <cellStyle name="Followed Hyperlink" xfId="13812" builtinId="9" hidden="1"/>
    <cellStyle name="Followed Hyperlink" xfId="13814" builtinId="9" hidden="1"/>
    <cellStyle name="Followed Hyperlink" xfId="13816" builtinId="9" hidden="1"/>
    <cellStyle name="Followed Hyperlink" xfId="13818" builtinId="9" hidden="1"/>
    <cellStyle name="Followed Hyperlink" xfId="13820" builtinId="9" hidden="1"/>
    <cellStyle name="Followed Hyperlink" xfId="13822" builtinId="9" hidden="1"/>
    <cellStyle name="Followed Hyperlink" xfId="13824" builtinId="9" hidden="1"/>
    <cellStyle name="Followed Hyperlink" xfId="13826" builtinId="9" hidden="1"/>
    <cellStyle name="Followed Hyperlink" xfId="13828" builtinId="9" hidden="1"/>
    <cellStyle name="Followed Hyperlink" xfId="13830" builtinId="9" hidden="1"/>
    <cellStyle name="Followed Hyperlink" xfId="13832" builtinId="9" hidden="1"/>
    <cellStyle name="Followed Hyperlink" xfId="13834" builtinId="9" hidden="1"/>
    <cellStyle name="Followed Hyperlink" xfId="13836" builtinId="9" hidden="1"/>
    <cellStyle name="Followed Hyperlink" xfId="13838" builtinId="9" hidden="1"/>
    <cellStyle name="Followed Hyperlink" xfId="13840" builtinId="9" hidden="1"/>
    <cellStyle name="Followed Hyperlink" xfId="13842" builtinId="9" hidden="1"/>
    <cellStyle name="Followed Hyperlink" xfId="13844" builtinId="9" hidden="1"/>
    <cellStyle name="Followed Hyperlink" xfId="13846" builtinId="9" hidden="1"/>
    <cellStyle name="Followed Hyperlink" xfId="13848" builtinId="9" hidden="1"/>
    <cellStyle name="Followed Hyperlink" xfId="13850" builtinId="9" hidden="1"/>
    <cellStyle name="Followed Hyperlink" xfId="13852" builtinId="9" hidden="1"/>
    <cellStyle name="Followed Hyperlink" xfId="13854" builtinId="9" hidden="1"/>
    <cellStyle name="Followed Hyperlink" xfId="13856" builtinId="9" hidden="1"/>
    <cellStyle name="Followed Hyperlink" xfId="13858" builtinId="9" hidden="1"/>
    <cellStyle name="Followed Hyperlink" xfId="13860" builtinId="9" hidden="1"/>
    <cellStyle name="Followed Hyperlink" xfId="13862" builtinId="9" hidden="1"/>
    <cellStyle name="Followed Hyperlink" xfId="13864" builtinId="9" hidden="1"/>
    <cellStyle name="Followed Hyperlink" xfId="13866" builtinId="9" hidden="1"/>
    <cellStyle name="Followed Hyperlink" xfId="13868" builtinId="9" hidden="1"/>
    <cellStyle name="Followed Hyperlink" xfId="13870" builtinId="9" hidden="1"/>
    <cellStyle name="Followed Hyperlink" xfId="13872" builtinId="9" hidden="1"/>
    <cellStyle name="Followed Hyperlink" xfId="13874" builtinId="9" hidden="1"/>
    <cellStyle name="Followed Hyperlink" xfId="13876" builtinId="9" hidden="1"/>
    <cellStyle name="Followed Hyperlink" xfId="13878" builtinId="9" hidden="1"/>
    <cellStyle name="Followed Hyperlink" xfId="13880" builtinId="9" hidden="1"/>
    <cellStyle name="Followed Hyperlink" xfId="13882" builtinId="9" hidden="1"/>
    <cellStyle name="Followed Hyperlink" xfId="13884" builtinId="9" hidden="1"/>
    <cellStyle name="Followed Hyperlink" xfId="13886" builtinId="9" hidden="1"/>
    <cellStyle name="Followed Hyperlink" xfId="13888" builtinId="9" hidden="1"/>
    <cellStyle name="Followed Hyperlink" xfId="13890" builtinId="9" hidden="1"/>
    <cellStyle name="Followed Hyperlink" xfId="13892" builtinId="9" hidden="1"/>
    <cellStyle name="Followed Hyperlink" xfId="13894" builtinId="9" hidden="1"/>
    <cellStyle name="Followed Hyperlink" xfId="13896" builtinId="9" hidden="1"/>
    <cellStyle name="Followed Hyperlink" xfId="13898" builtinId="9" hidden="1"/>
    <cellStyle name="Followed Hyperlink" xfId="13900" builtinId="9" hidden="1"/>
    <cellStyle name="Followed Hyperlink" xfId="13902" builtinId="9" hidden="1"/>
    <cellStyle name="Followed Hyperlink" xfId="13904" builtinId="9" hidden="1"/>
    <cellStyle name="Followed Hyperlink" xfId="13906" builtinId="9" hidden="1"/>
    <cellStyle name="Followed Hyperlink" xfId="13908" builtinId="9" hidden="1"/>
    <cellStyle name="Followed Hyperlink" xfId="13910" builtinId="9" hidden="1"/>
    <cellStyle name="Followed Hyperlink" xfId="13912" builtinId="9" hidden="1"/>
    <cellStyle name="Followed Hyperlink" xfId="13914" builtinId="9" hidden="1"/>
    <cellStyle name="Followed Hyperlink" xfId="13916" builtinId="9" hidden="1"/>
    <cellStyle name="Followed Hyperlink" xfId="13918" builtinId="9" hidden="1"/>
    <cellStyle name="Followed Hyperlink" xfId="13920" builtinId="9" hidden="1"/>
    <cellStyle name="Followed Hyperlink" xfId="13922" builtinId="9" hidden="1"/>
    <cellStyle name="Followed Hyperlink" xfId="13924" builtinId="9" hidden="1"/>
    <cellStyle name="Followed Hyperlink" xfId="13926" builtinId="9" hidden="1"/>
    <cellStyle name="Followed Hyperlink" xfId="13928" builtinId="9" hidden="1"/>
    <cellStyle name="Followed Hyperlink" xfId="13930" builtinId="9" hidden="1"/>
    <cellStyle name="Followed Hyperlink" xfId="13932" builtinId="9" hidden="1"/>
    <cellStyle name="Followed Hyperlink" xfId="13934" builtinId="9" hidden="1"/>
    <cellStyle name="Followed Hyperlink" xfId="13936" builtinId="9" hidden="1"/>
    <cellStyle name="Followed Hyperlink" xfId="13938" builtinId="9" hidden="1"/>
    <cellStyle name="Followed Hyperlink" xfId="13940" builtinId="9" hidden="1"/>
    <cellStyle name="Followed Hyperlink" xfId="13942" builtinId="9" hidden="1"/>
    <cellStyle name="Followed Hyperlink" xfId="13944" builtinId="9" hidden="1"/>
    <cellStyle name="Followed Hyperlink" xfId="13946" builtinId="9" hidden="1"/>
    <cellStyle name="Followed Hyperlink" xfId="13948" builtinId="9" hidden="1"/>
    <cellStyle name="Followed Hyperlink" xfId="13950" builtinId="9" hidden="1"/>
    <cellStyle name="Followed Hyperlink" xfId="13952" builtinId="9" hidden="1"/>
    <cellStyle name="Followed Hyperlink" xfId="13954" builtinId="9" hidden="1"/>
    <cellStyle name="Followed Hyperlink" xfId="13956" builtinId="9" hidden="1"/>
    <cellStyle name="Followed Hyperlink" xfId="13958" builtinId="9" hidden="1"/>
    <cellStyle name="Followed Hyperlink" xfId="13960" builtinId="9" hidden="1"/>
    <cellStyle name="Followed Hyperlink" xfId="13962" builtinId="9" hidden="1"/>
    <cellStyle name="Followed Hyperlink" xfId="13964" builtinId="9" hidden="1"/>
    <cellStyle name="Followed Hyperlink" xfId="13966" builtinId="9" hidden="1"/>
    <cellStyle name="Followed Hyperlink" xfId="13968" builtinId="9" hidden="1"/>
    <cellStyle name="Followed Hyperlink" xfId="13970" builtinId="9" hidden="1"/>
    <cellStyle name="Followed Hyperlink" xfId="13972" builtinId="9" hidden="1"/>
    <cellStyle name="Followed Hyperlink" xfId="13974" builtinId="9" hidden="1"/>
    <cellStyle name="Followed Hyperlink" xfId="13976" builtinId="9" hidden="1"/>
    <cellStyle name="Followed Hyperlink" xfId="13978" builtinId="9" hidden="1"/>
    <cellStyle name="Followed Hyperlink" xfId="13980" builtinId="9" hidden="1"/>
    <cellStyle name="Followed Hyperlink" xfId="13982" builtinId="9" hidden="1"/>
    <cellStyle name="Followed Hyperlink" xfId="13984" builtinId="9" hidden="1"/>
    <cellStyle name="Followed Hyperlink" xfId="13986" builtinId="9" hidden="1"/>
    <cellStyle name="Followed Hyperlink" xfId="13988" builtinId="9" hidden="1"/>
    <cellStyle name="Followed Hyperlink" xfId="13990" builtinId="9" hidden="1"/>
    <cellStyle name="Followed Hyperlink" xfId="13992" builtinId="9" hidden="1"/>
    <cellStyle name="Followed Hyperlink" xfId="13994" builtinId="9" hidden="1"/>
    <cellStyle name="Followed Hyperlink" xfId="13996" builtinId="9" hidden="1"/>
    <cellStyle name="Followed Hyperlink" xfId="13998" builtinId="9" hidden="1"/>
    <cellStyle name="Followed Hyperlink" xfId="14000" builtinId="9" hidden="1"/>
    <cellStyle name="Followed Hyperlink" xfId="14002" builtinId="9" hidden="1"/>
    <cellStyle name="Followed Hyperlink" xfId="14004" builtinId="9" hidden="1"/>
    <cellStyle name="Followed Hyperlink" xfId="14006" builtinId="9" hidden="1"/>
    <cellStyle name="Followed Hyperlink" xfId="14008" builtinId="9" hidden="1"/>
    <cellStyle name="Followed Hyperlink" xfId="14010" builtinId="9" hidden="1"/>
    <cellStyle name="Followed Hyperlink" xfId="14012" builtinId="9" hidden="1"/>
    <cellStyle name="Followed Hyperlink" xfId="14014" builtinId="9" hidden="1"/>
    <cellStyle name="Followed Hyperlink" xfId="14016" builtinId="9" hidden="1"/>
    <cellStyle name="Followed Hyperlink" xfId="14018" builtinId="9" hidden="1"/>
    <cellStyle name="Followed Hyperlink" xfId="14020" builtinId="9" hidden="1"/>
    <cellStyle name="Followed Hyperlink" xfId="14022" builtinId="9" hidden="1"/>
    <cellStyle name="Followed Hyperlink" xfId="14024" builtinId="9" hidden="1"/>
    <cellStyle name="Followed Hyperlink" xfId="14026" builtinId="9" hidden="1"/>
    <cellStyle name="Followed Hyperlink" xfId="14028" builtinId="9" hidden="1"/>
    <cellStyle name="Followed Hyperlink" xfId="14030" builtinId="9" hidden="1"/>
    <cellStyle name="Followed Hyperlink" xfId="14032" builtinId="9" hidden="1"/>
    <cellStyle name="Followed Hyperlink" xfId="14034" builtinId="9" hidden="1"/>
    <cellStyle name="Followed Hyperlink" xfId="14036" builtinId="9" hidden="1"/>
    <cellStyle name="Followed Hyperlink" xfId="14038" builtinId="9" hidden="1"/>
    <cellStyle name="Followed Hyperlink" xfId="14040" builtinId="9" hidden="1"/>
    <cellStyle name="Followed Hyperlink" xfId="14042" builtinId="9" hidden="1"/>
    <cellStyle name="Followed Hyperlink" xfId="14044" builtinId="9" hidden="1"/>
    <cellStyle name="Followed Hyperlink" xfId="14046" builtinId="9" hidden="1"/>
    <cellStyle name="Followed Hyperlink" xfId="14048" builtinId="9" hidden="1"/>
    <cellStyle name="Followed Hyperlink" xfId="14050" builtinId="9" hidden="1"/>
    <cellStyle name="Followed Hyperlink" xfId="14052" builtinId="9" hidden="1"/>
    <cellStyle name="Followed Hyperlink" xfId="14054" builtinId="9" hidden="1"/>
    <cellStyle name="Followed Hyperlink" xfId="14056" builtinId="9" hidden="1"/>
    <cellStyle name="Followed Hyperlink" xfId="14058" builtinId="9" hidden="1"/>
    <cellStyle name="Followed Hyperlink" xfId="14060" builtinId="9" hidden="1"/>
    <cellStyle name="Followed Hyperlink" xfId="14062" builtinId="9" hidden="1"/>
    <cellStyle name="Followed Hyperlink" xfId="14064" builtinId="9" hidden="1"/>
    <cellStyle name="Followed Hyperlink" xfId="14066" builtinId="9" hidden="1"/>
    <cellStyle name="Followed Hyperlink" xfId="14068" builtinId="9" hidden="1"/>
    <cellStyle name="Followed Hyperlink" xfId="14070" builtinId="9" hidden="1"/>
    <cellStyle name="Followed Hyperlink" xfId="14072" builtinId="9" hidden="1"/>
    <cellStyle name="Followed Hyperlink" xfId="14074" builtinId="9" hidden="1"/>
    <cellStyle name="Followed Hyperlink" xfId="14076" builtinId="9" hidden="1"/>
    <cellStyle name="Followed Hyperlink" xfId="14078" builtinId="9" hidden="1"/>
    <cellStyle name="Followed Hyperlink" xfId="14080" builtinId="9" hidden="1"/>
    <cellStyle name="Followed Hyperlink" xfId="14082" builtinId="9" hidden="1"/>
    <cellStyle name="Followed Hyperlink" xfId="14084" builtinId="9" hidden="1"/>
    <cellStyle name="Followed Hyperlink" xfId="14086" builtinId="9" hidden="1"/>
    <cellStyle name="Followed Hyperlink" xfId="14088" builtinId="9" hidden="1"/>
    <cellStyle name="Followed Hyperlink" xfId="14090" builtinId="9" hidden="1"/>
    <cellStyle name="Followed Hyperlink" xfId="14092" builtinId="9" hidden="1"/>
    <cellStyle name="Followed Hyperlink" xfId="14094" builtinId="9" hidden="1"/>
    <cellStyle name="Followed Hyperlink" xfId="14096" builtinId="9" hidden="1"/>
    <cellStyle name="Followed Hyperlink" xfId="14098" builtinId="9" hidden="1"/>
    <cellStyle name="Followed Hyperlink" xfId="14100" builtinId="9" hidden="1"/>
    <cellStyle name="Followed Hyperlink" xfId="14102" builtinId="9" hidden="1"/>
    <cellStyle name="Followed Hyperlink" xfId="14104" builtinId="9" hidden="1"/>
    <cellStyle name="Followed Hyperlink" xfId="14106" builtinId="9" hidden="1"/>
    <cellStyle name="Followed Hyperlink" xfId="14108" builtinId="9" hidden="1"/>
    <cellStyle name="Followed Hyperlink" xfId="14110" builtinId="9" hidden="1"/>
    <cellStyle name="Followed Hyperlink" xfId="14112" builtinId="9" hidden="1"/>
    <cellStyle name="Followed Hyperlink" xfId="14114" builtinId="9" hidden="1"/>
    <cellStyle name="Followed Hyperlink" xfId="14116" builtinId="9" hidden="1"/>
    <cellStyle name="Followed Hyperlink" xfId="14118" builtinId="9" hidden="1"/>
    <cellStyle name="Followed Hyperlink" xfId="14120" builtinId="9" hidden="1"/>
    <cellStyle name="Followed Hyperlink" xfId="14122" builtinId="9" hidden="1"/>
    <cellStyle name="Followed Hyperlink" xfId="14124" builtinId="9" hidden="1"/>
    <cellStyle name="Followed Hyperlink" xfId="14126" builtinId="9" hidden="1"/>
    <cellStyle name="Followed Hyperlink" xfId="14128" builtinId="9" hidden="1"/>
    <cellStyle name="Followed Hyperlink" xfId="14130" builtinId="9" hidden="1"/>
    <cellStyle name="Followed Hyperlink" xfId="14132" builtinId="9" hidden="1"/>
    <cellStyle name="Followed Hyperlink" xfId="14134" builtinId="9" hidden="1"/>
    <cellStyle name="Followed Hyperlink" xfId="14136" builtinId="9" hidden="1"/>
    <cellStyle name="Followed Hyperlink" xfId="14138" builtinId="9" hidden="1"/>
    <cellStyle name="Followed Hyperlink" xfId="14140" builtinId="9" hidden="1"/>
    <cellStyle name="Followed Hyperlink" xfId="14142" builtinId="9" hidden="1"/>
    <cellStyle name="Followed Hyperlink" xfId="14144" builtinId="9" hidden="1"/>
    <cellStyle name="Followed Hyperlink" xfId="14146" builtinId="9" hidden="1"/>
    <cellStyle name="Followed Hyperlink" xfId="14148" builtinId="9" hidden="1"/>
    <cellStyle name="Followed Hyperlink" xfId="14150" builtinId="9" hidden="1"/>
    <cellStyle name="Followed Hyperlink" xfId="14152" builtinId="9" hidden="1"/>
    <cellStyle name="Followed Hyperlink" xfId="14154" builtinId="9" hidden="1"/>
    <cellStyle name="Followed Hyperlink" xfId="14156" builtinId="9" hidden="1"/>
    <cellStyle name="Followed Hyperlink" xfId="14158" builtinId="9" hidden="1"/>
    <cellStyle name="Followed Hyperlink" xfId="14160" builtinId="9" hidden="1"/>
    <cellStyle name="Followed Hyperlink" xfId="14162" builtinId="9" hidden="1"/>
    <cellStyle name="Followed Hyperlink" xfId="14164" builtinId="9" hidden="1"/>
    <cellStyle name="Followed Hyperlink" xfId="14166" builtinId="9" hidden="1"/>
    <cellStyle name="Followed Hyperlink" xfId="14168" builtinId="9" hidden="1"/>
    <cellStyle name="Followed Hyperlink" xfId="14170" builtinId="9" hidden="1"/>
    <cellStyle name="Followed Hyperlink" xfId="14172" builtinId="9" hidden="1"/>
    <cellStyle name="Followed Hyperlink" xfId="14174" builtinId="9" hidden="1"/>
    <cellStyle name="Followed Hyperlink" xfId="14176" builtinId="9" hidden="1"/>
    <cellStyle name="Followed Hyperlink" xfId="14178" builtinId="9" hidden="1"/>
    <cellStyle name="Followed Hyperlink" xfId="14180" builtinId="9" hidden="1"/>
    <cellStyle name="Followed Hyperlink" xfId="14182" builtinId="9" hidden="1"/>
    <cellStyle name="Followed Hyperlink" xfId="14184" builtinId="9" hidden="1"/>
    <cellStyle name="Followed Hyperlink" xfId="14186" builtinId="9" hidden="1"/>
    <cellStyle name="Followed Hyperlink" xfId="14188" builtinId="9" hidden="1"/>
    <cellStyle name="Followed Hyperlink" xfId="14190" builtinId="9" hidden="1"/>
    <cellStyle name="Followed Hyperlink" xfId="14192" builtinId="9" hidden="1"/>
    <cellStyle name="Followed Hyperlink" xfId="14194" builtinId="9" hidden="1"/>
    <cellStyle name="Followed Hyperlink" xfId="14196" builtinId="9" hidden="1"/>
    <cellStyle name="Followed Hyperlink" xfId="14198" builtinId="9" hidden="1"/>
    <cellStyle name="Followed Hyperlink" xfId="14200" builtinId="9" hidden="1"/>
    <cellStyle name="Followed Hyperlink" xfId="14202" builtinId="9" hidden="1"/>
    <cellStyle name="Followed Hyperlink" xfId="14204" builtinId="9" hidden="1"/>
    <cellStyle name="Followed Hyperlink" xfId="14206" builtinId="9" hidden="1"/>
    <cellStyle name="Followed Hyperlink" xfId="14208" builtinId="9" hidden="1"/>
    <cellStyle name="Followed Hyperlink" xfId="14210" builtinId="9" hidden="1"/>
    <cellStyle name="Followed Hyperlink" xfId="14212" builtinId="9" hidden="1"/>
    <cellStyle name="Followed Hyperlink" xfId="14214" builtinId="9" hidden="1"/>
    <cellStyle name="Followed Hyperlink" xfId="14216" builtinId="9" hidden="1"/>
    <cellStyle name="Followed Hyperlink" xfId="14218" builtinId="9" hidden="1"/>
    <cellStyle name="Followed Hyperlink" xfId="14220" builtinId="9" hidden="1"/>
    <cellStyle name="Followed Hyperlink" xfId="14222" builtinId="9" hidden="1"/>
    <cellStyle name="Followed Hyperlink" xfId="14224" builtinId="9" hidden="1"/>
    <cellStyle name="Followed Hyperlink" xfId="14226" builtinId="9" hidden="1"/>
    <cellStyle name="Followed Hyperlink" xfId="14228" builtinId="9" hidden="1"/>
    <cellStyle name="Followed Hyperlink" xfId="14230" builtinId="9" hidden="1"/>
    <cellStyle name="Followed Hyperlink" xfId="14232" builtinId="9" hidden="1"/>
    <cellStyle name="Followed Hyperlink" xfId="14234" builtinId="9" hidden="1"/>
    <cellStyle name="Followed Hyperlink" xfId="14236" builtinId="9" hidden="1"/>
    <cellStyle name="Followed Hyperlink" xfId="14238" builtinId="9" hidden="1"/>
    <cellStyle name="Followed Hyperlink" xfId="14240" builtinId="9" hidden="1"/>
    <cellStyle name="Followed Hyperlink" xfId="14242" builtinId="9" hidden="1"/>
    <cellStyle name="Followed Hyperlink" xfId="14244" builtinId="9" hidden="1"/>
    <cellStyle name="Followed Hyperlink" xfId="14246" builtinId="9" hidden="1"/>
    <cellStyle name="Followed Hyperlink" xfId="14248" builtinId="9" hidden="1"/>
    <cellStyle name="Followed Hyperlink" xfId="14250" builtinId="9" hidden="1"/>
    <cellStyle name="Followed Hyperlink" xfId="14252" builtinId="9" hidden="1"/>
    <cellStyle name="Followed Hyperlink" xfId="14254" builtinId="9" hidden="1"/>
    <cellStyle name="Followed Hyperlink" xfId="14256" builtinId="9" hidden="1"/>
    <cellStyle name="Followed Hyperlink" xfId="14258" builtinId="9" hidden="1"/>
    <cellStyle name="Followed Hyperlink" xfId="14260" builtinId="9" hidden="1"/>
    <cellStyle name="Followed Hyperlink" xfId="14262" builtinId="9" hidden="1"/>
    <cellStyle name="Followed Hyperlink" xfId="14264" builtinId="9" hidden="1"/>
    <cellStyle name="Followed Hyperlink" xfId="14266" builtinId="9" hidden="1"/>
    <cellStyle name="Followed Hyperlink" xfId="14268" builtinId="9" hidden="1"/>
    <cellStyle name="Followed Hyperlink" xfId="14270" builtinId="9" hidden="1"/>
    <cellStyle name="Followed Hyperlink" xfId="14272" builtinId="9" hidden="1"/>
    <cellStyle name="Followed Hyperlink" xfId="14274" builtinId="9" hidden="1"/>
    <cellStyle name="Followed Hyperlink" xfId="14276" builtinId="9" hidden="1"/>
    <cellStyle name="Followed Hyperlink" xfId="14278" builtinId="9" hidden="1"/>
    <cellStyle name="Followed Hyperlink" xfId="14280" builtinId="9" hidden="1"/>
    <cellStyle name="Followed Hyperlink" xfId="14282" builtinId="9" hidden="1"/>
    <cellStyle name="Followed Hyperlink" xfId="14284" builtinId="9" hidden="1"/>
    <cellStyle name="Followed Hyperlink" xfId="14286" builtinId="9" hidden="1"/>
    <cellStyle name="Followed Hyperlink" xfId="14288" builtinId="9" hidden="1"/>
    <cellStyle name="Followed Hyperlink" xfId="14290" builtinId="9" hidden="1"/>
    <cellStyle name="Followed Hyperlink" xfId="14292" builtinId="9" hidden="1"/>
    <cellStyle name="Followed Hyperlink" xfId="14294" builtinId="9" hidden="1"/>
    <cellStyle name="Followed Hyperlink" xfId="14296" builtinId="9" hidden="1"/>
    <cellStyle name="Followed Hyperlink" xfId="14298" builtinId="9" hidden="1"/>
    <cellStyle name="Followed Hyperlink" xfId="14300" builtinId="9" hidden="1"/>
    <cellStyle name="Followed Hyperlink" xfId="14302" builtinId="9" hidden="1"/>
    <cellStyle name="Followed Hyperlink" xfId="14304" builtinId="9" hidden="1"/>
    <cellStyle name="Followed Hyperlink" xfId="14306" builtinId="9" hidden="1"/>
    <cellStyle name="Followed Hyperlink" xfId="14308" builtinId="9" hidden="1"/>
    <cellStyle name="Followed Hyperlink" xfId="14310" builtinId="9" hidden="1"/>
    <cellStyle name="Followed Hyperlink" xfId="14312" builtinId="9" hidden="1"/>
    <cellStyle name="Followed Hyperlink" xfId="14314" builtinId="9" hidden="1"/>
    <cellStyle name="Followed Hyperlink" xfId="14316" builtinId="9" hidden="1"/>
    <cellStyle name="Followed Hyperlink" xfId="14318" builtinId="9" hidden="1"/>
    <cellStyle name="Followed Hyperlink" xfId="14320" builtinId="9" hidden="1"/>
    <cellStyle name="Followed Hyperlink" xfId="14322" builtinId="9" hidden="1"/>
    <cellStyle name="Followed Hyperlink" xfId="14324" builtinId="9" hidden="1"/>
    <cellStyle name="Followed Hyperlink" xfId="14326" builtinId="9" hidden="1"/>
    <cellStyle name="Followed Hyperlink" xfId="14328" builtinId="9" hidden="1"/>
    <cellStyle name="Followed Hyperlink" xfId="14330" builtinId="9" hidden="1"/>
    <cellStyle name="Followed Hyperlink" xfId="14332" builtinId="9" hidden="1"/>
    <cellStyle name="Followed Hyperlink" xfId="14334" builtinId="9" hidden="1"/>
    <cellStyle name="Followed Hyperlink" xfId="14336" builtinId="9" hidden="1"/>
    <cellStyle name="Followed Hyperlink" xfId="14338" builtinId="9" hidden="1"/>
    <cellStyle name="Followed Hyperlink" xfId="14340" builtinId="9" hidden="1"/>
    <cellStyle name="Followed Hyperlink" xfId="14342" builtinId="9" hidden="1"/>
    <cellStyle name="Followed Hyperlink" xfId="14344" builtinId="9" hidden="1"/>
    <cellStyle name="Followed Hyperlink" xfId="14346" builtinId="9" hidden="1"/>
    <cellStyle name="Followed Hyperlink" xfId="14348" builtinId="9" hidden="1"/>
    <cellStyle name="Followed Hyperlink" xfId="14350" builtinId="9" hidden="1"/>
    <cellStyle name="Followed Hyperlink" xfId="14352" builtinId="9" hidden="1"/>
    <cellStyle name="Followed Hyperlink" xfId="14354" builtinId="9" hidden="1"/>
    <cellStyle name="Followed Hyperlink" xfId="14356" builtinId="9" hidden="1"/>
    <cellStyle name="Followed Hyperlink" xfId="14358" builtinId="9" hidden="1"/>
    <cellStyle name="Followed Hyperlink" xfId="14360" builtinId="9" hidden="1"/>
    <cellStyle name="Followed Hyperlink" xfId="14362" builtinId="9" hidden="1"/>
    <cellStyle name="Followed Hyperlink" xfId="14364" builtinId="9" hidden="1"/>
    <cellStyle name="Followed Hyperlink" xfId="14366" builtinId="9" hidden="1"/>
    <cellStyle name="Followed Hyperlink" xfId="14368" builtinId="9" hidden="1"/>
    <cellStyle name="Followed Hyperlink" xfId="14370" builtinId="9" hidden="1"/>
    <cellStyle name="Followed Hyperlink" xfId="14372" builtinId="9" hidden="1"/>
    <cellStyle name="Followed Hyperlink" xfId="14374" builtinId="9" hidden="1"/>
    <cellStyle name="Followed Hyperlink" xfId="14376" builtinId="9" hidden="1"/>
    <cellStyle name="Followed Hyperlink" xfId="14378" builtinId="9" hidden="1"/>
    <cellStyle name="Followed Hyperlink" xfId="14380" builtinId="9" hidden="1"/>
    <cellStyle name="Followed Hyperlink" xfId="14382" builtinId="9" hidden="1"/>
    <cellStyle name="Followed Hyperlink" xfId="14384" builtinId="9" hidden="1"/>
    <cellStyle name="Followed Hyperlink" xfId="14386" builtinId="9" hidden="1"/>
    <cellStyle name="Followed Hyperlink" xfId="14388" builtinId="9" hidden="1"/>
    <cellStyle name="Followed Hyperlink" xfId="14390" builtinId="9" hidden="1"/>
    <cellStyle name="Followed Hyperlink" xfId="14392" builtinId="9" hidden="1"/>
    <cellStyle name="Followed Hyperlink" xfId="14394" builtinId="9" hidden="1"/>
    <cellStyle name="Followed Hyperlink" xfId="14396" builtinId="9" hidden="1"/>
    <cellStyle name="Followed Hyperlink" xfId="14398" builtinId="9" hidden="1"/>
    <cellStyle name="Followed Hyperlink" xfId="14400" builtinId="9" hidden="1"/>
    <cellStyle name="Followed Hyperlink" xfId="14402" builtinId="9" hidden="1"/>
    <cellStyle name="Followed Hyperlink" xfId="14404" builtinId="9" hidden="1"/>
    <cellStyle name="Followed Hyperlink" xfId="14406" builtinId="9" hidden="1"/>
    <cellStyle name="Followed Hyperlink" xfId="14408" builtinId="9" hidden="1"/>
    <cellStyle name="Followed Hyperlink" xfId="14410" builtinId="9" hidden="1"/>
    <cellStyle name="Followed Hyperlink" xfId="14412" builtinId="9" hidden="1"/>
    <cellStyle name="Followed Hyperlink" xfId="14414" builtinId="9" hidden="1"/>
    <cellStyle name="Followed Hyperlink" xfId="14416" builtinId="9" hidden="1"/>
    <cellStyle name="Followed Hyperlink" xfId="14418" builtinId="9" hidden="1"/>
    <cellStyle name="Followed Hyperlink" xfId="14420" builtinId="9" hidden="1"/>
    <cellStyle name="Followed Hyperlink" xfId="14422" builtinId="9" hidden="1"/>
    <cellStyle name="Followed Hyperlink" xfId="14424" builtinId="9" hidden="1"/>
    <cellStyle name="Followed Hyperlink" xfId="14426" builtinId="9" hidden="1"/>
    <cellStyle name="Followed Hyperlink" xfId="14428" builtinId="9" hidden="1"/>
    <cellStyle name="Followed Hyperlink" xfId="14430" builtinId="9" hidden="1"/>
    <cellStyle name="Followed Hyperlink" xfId="14432" builtinId="9" hidden="1"/>
    <cellStyle name="Followed Hyperlink" xfId="14434" builtinId="9" hidden="1"/>
    <cellStyle name="Followed Hyperlink" xfId="14436" builtinId="9" hidden="1"/>
    <cellStyle name="Followed Hyperlink" xfId="14438" builtinId="9" hidden="1"/>
    <cellStyle name="Followed Hyperlink" xfId="14440" builtinId="9" hidden="1"/>
    <cellStyle name="Followed Hyperlink" xfId="14442" builtinId="9" hidden="1"/>
    <cellStyle name="Followed Hyperlink" xfId="14444" builtinId="9" hidden="1"/>
    <cellStyle name="Followed Hyperlink" xfId="14446" builtinId="9" hidden="1"/>
    <cellStyle name="Followed Hyperlink" xfId="14448" builtinId="9" hidden="1"/>
    <cellStyle name="Followed Hyperlink" xfId="14450" builtinId="9" hidden="1"/>
    <cellStyle name="Followed Hyperlink" xfId="14452" builtinId="9" hidden="1"/>
    <cellStyle name="Followed Hyperlink" xfId="14454" builtinId="9" hidden="1"/>
    <cellStyle name="Followed Hyperlink" xfId="14456" builtinId="9" hidden="1"/>
    <cellStyle name="Followed Hyperlink" xfId="14458" builtinId="9" hidden="1"/>
    <cellStyle name="Followed Hyperlink" xfId="14460" builtinId="9" hidden="1"/>
    <cellStyle name="Followed Hyperlink" xfId="14462" builtinId="9" hidden="1"/>
    <cellStyle name="Followed Hyperlink" xfId="14464" builtinId="9" hidden="1"/>
    <cellStyle name="Followed Hyperlink" xfId="14466" builtinId="9" hidden="1"/>
    <cellStyle name="Followed Hyperlink" xfId="14468" builtinId="9" hidden="1"/>
    <cellStyle name="Followed Hyperlink" xfId="14470" builtinId="9" hidden="1"/>
    <cellStyle name="Followed Hyperlink" xfId="14472" builtinId="9" hidden="1"/>
    <cellStyle name="Followed Hyperlink" xfId="14474" builtinId="9" hidden="1"/>
    <cellStyle name="Followed Hyperlink" xfId="14476" builtinId="9" hidden="1"/>
    <cellStyle name="Followed Hyperlink" xfId="14478" builtinId="9" hidden="1"/>
    <cellStyle name="Followed Hyperlink" xfId="14480" builtinId="9" hidden="1"/>
    <cellStyle name="Followed Hyperlink" xfId="14482" builtinId="9" hidden="1"/>
    <cellStyle name="Followed Hyperlink" xfId="14484" builtinId="9" hidden="1"/>
    <cellStyle name="Followed Hyperlink" xfId="14486" builtinId="9" hidden="1"/>
    <cellStyle name="Followed Hyperlink" xfId="14488" builtinId="9" hidden="1"/>
    <cellStyle name="Followed Hyperlink" xfId="14490" builtinId="9" hidden="1"/>
    <cellStyle name="Followed Hyperlink" xfId="14492" builtinId="9" hidden="1"/>
    <cellStyle name="Followed Hyperlink" xfId="14494" builtinId="9" hidden="1"/>
    <cellStyle name="Followed Hyperlink" xfId="14496" builtinId="9" hidden="1"/>
    <cellStyle name="Followed Hyperlink" xfId="14498" builtinId="9" hidden="1"/>
    <cellStyle name="Followed Hyperlink" xfId="14500" builtinId="9" hidden="1"/>
    <cellStyle name="Followed Hyperlink" xfId="14502" builtinId="9" hidden="1"/>
    <cellStyle name="Followed Hyperlink" xfId="14504" builtinId="9" hidden="1"/>
    <cellStyle name="Followed Hyperlink" xfId="14506" builtinId="9" hidden="1"/>
    <cellStyle name="Followed Hyperlink" xfId="14508" builtinId="9" hidden="1"/>
    <cellStyle name="Followed Hyperlink" xfId="14510" builtinId="9" hidden="1"/>
    <cellStyle name="Followed Hyperlink" xfId="14512" builtinId="9" hidden="1"/>
    <cellStyle name="Followed Hyperlink" xfId="14514" builtinId="9" hidden="1"/>
    <cellStyle name="Followed Hyperlink" xfId="14516" builtinId="9" hidden="1"/>
    <cellStyle name="Followed Hyperlink" xfId="14518" builtinId="9" hidden="1"/>
    <cellStyle name="Followed Hyperlink" xfId="14520" builtinId="9" hidden="1"/>
    <cellStyle name="Followed Hyperlink" xfId="14522" builtinId="9" hidden="1"/>
    <cellStyle name="Followed Hyperlink" xfId="14524" builtinId="9" hidden="1"/>
    <cellStyle name="Followed Hyperlink" xfId="14526" builtinId="9" hidden="1"/>
    <cellStyle name="Followed Hyperlink" xfId="14528" builtinId="9" hidden="1"/>
    <cellStyle name="Followed Hyperlink" xfId="14530" builtinId="9" hidden="1"/>
    <cellStyle name="Followed Hyperlink" xfId="14532" builtinId="9" hidden="1"/>
    <cellStyle name="Followed Hyperlink" xfId="14534" builtinId="9" hidden="1"/>
    <cellStyle name="Followed Hyperlink" xfId="14536" builtinId="9" hidden="1"/>
    <cellStyle name="Followed Hyperlink" xfId="14538" builtinId="9" hidden="1"/>
    <cellStyle name="Followed Hyperlink" xfId="14540" builtinId="9" hidden="1"/>
    <cellStyle name="Followed Hyperlink" xfId="14542" builtinId="9" hidden="1"/>
    <cellStyle name="Followed Hyperlink" xfId="14544" builtinId="9" hidden="1"/>
    <cellStyle name="Followed Hyperlink" xfId="14546" builtinId="9" hidden="1"/>
    <cellStyle name="Followed Hyperlink" xfId="14548" builtinId="9" hidden="1"/>
    <cellStyle name="Followed Hyperlink" xfId="14550" builtinId="9" hidden="1"/>
    <cellStyle name="Followed Hyperlink" xfId="14552" builtinId="9" hidden="1"/>
    <cellStyle name="Followed Hyperlink" xfId="14554" builtinId="9" hidden="1"/>
    <cellStyle name="Followed Hyperlink" xfId="14556" builtinId="9" hidden="1"/>
    <cellStyle name="Followed Hyperlink" xfId="14558" builtinId="9" hidden="1"/>
    <cellStyle name="Followed Hyperlink" xfId="14560" builtinId="9" hidden="1"/>
    <cellStyle name="Followed Hyperlink" xfId="14562" builtinId="9" hidden="1"/>
    <cellStyle name="Followed Hyperlink" xfId="14564" builtinId="9" hidden="1"/>
    <cellStyle name="Followed Hyperlink" xfId="14566" builtinId="9" hidden="1"/>
    <cellStyle name="Followed Hyperlink" xfId="14568" builtinId="9" hidden="1"/>
    <cellStyle name="Followed Hyperlink" xfId="14570" builtinId="9" hidden="1"/>
    <cellStyle name="Followed Hyperlink" xfId="14572" builtinId="9" hidden="1"/>
    <cellStyle name="Followed Hyperlink" xfId="14574" builtinId="9" hidden="1"/>
    <cellStyle name="Followed Hyperlink" xfId="14576" builtinId="9" hidden="1"/>
    <cellStyle name="Followed Hyperlink" xfId="14578" builtinId="9" hidden="1"/>
    <cellStyle name="Followed Hyperlink" xfId="14580" builtinId="9" hidden="1"/>
    <cellStyle name="Followed Hyperlink" xfId="14582" builtinId="9" hidden="1"/>
    <cellStyle name="Followed Hyperlink" xfId="14584" builtinId="9" hidden="1"/>
    <cellStyle name="Followed Hyperlink" xfId="14586" builtinId="9" hidden="1"/>
    <cellStyle name="Followed Hyperlink" xfId="14588" builtinId="9" hidden="1"/>
    <cellStyle name="Followed Hyperlink" xfId="14590" builtinId="9" hidden="1"/>
    <cellStyle name="Followed Hyperlink" xfId="14592" builtinId="9" hidden="1"/>
    <cellStyle name="Followed Hyperlink" xfId="14594" builtinId="9" hidden="1"/>
    <cellStyle name="Followed Hyperlink" xfId="14596" builtinId="9" hidden="1"/>
    <cellStyle name="Followed Hyperlink" xfId="14598" builtinId="9" hidden="1"/>
    <cellStyle name="Followed Hyperlink" xfId="14600" builtinId="9" hidden="1"/>
    <cellStyle name="Followed Hyperlink" xfId="14602" builtinId="9" hidden="1"/>
    <cellStyle name="Followed Hyperlink" xfId="14604" builtinId="9" hidden="1"/>
    <cellStyle name="Followed Hyperlink" xfId="14606" builtinId="9" hidden="1"/>
    <cellStyle name="Followed Hyperlink" xfId="14608" builtinId="9" hidden="1"/>
    <cellStyle name="Followed Hyperlink" xfId="14610" builtinId="9" hidden="1"/>
    <cellStyle name="Followed Hyperlink" xfId="14612" builtinId="9" hidden="1"/>
    <cellStyle name="Followed Hyperlink" xfId="14614" builtinId="9" hidden="1"/>
    <cellStyle name="Followed Hyperlink" xfId="14616" builtinId="9" hidden="1"/>
    <cellStyle name="Followed Hyperlink" xfId="14618" builtinId="9" hidden="1"/>
    <cellStyle name="Followed Hyperlink" xfId="14620" builtinId="9" hidden="1"/>
    <cellStyle name="Followed Hyperlink" xfId="14622" builtinId="9" hidden="1"/>
    <cellStyle name="Followed Hyperlink" xfId="14624" builtinId="9" hidden="1"/>
    <cellStyle name="Followed Hyperlink" xfId="14626" builtinId="9" hidden="1"/>
    <cellStyle name="Followed Hyperlink" xfId="14628" builtinId="9" hidden="1"/>
    <cellStyle name="Followed Hyperlink" xfId="14630" builtinId="9" hidden="1"/>
    <cellStyle name="Followed Hyperlink" xfId="14632" builtinId="9" hidden="1"/>
    <cellStyle name="Followed Hyperlink" xfId="14634" builtinId="9" hidden="1"/>
    <cellStyle name="Followed Hyperlink" xfId="14636" builtinId="9" hidden="1"/>
    <cellStyle name="Followed Hyperlink" xfId="14638" builtinId="9" hidden="1"/>
    <cellStyle name="Followed Hyperlink" xfId="14640" builtinId="9" hidden="1"/>
    <cellStyle name="Followed Hyperlink" xfId="14642" builtinId="9" hidden="1"/>
    <cellStyle name="Followed Hyperlink" xfId="14644" builtinId="9" hidden="1"/>
    <cellStyle name="Followed Hyperlink" xfId="14646" builtinId="9" hidden="1"/>
    <cellStyle name="Followed Hyperlink" xfId="14648" builtinId="9" hidden="1"/>
    <cellStyle name="Followed Hyperlink" xfId="14650" builtinId="9" hidden="1"/>
    <cellStyle name="Followed Hyperlink" xfId="14652" builtinId="9" hidden="1"/>
    <cellStyle name="Followed Hyperlink" xfId="14654" builtinId="9" hidden="1"/>
    <cellStyle name="Followed Hyperlink" xfId="14656" builtinId="9" hidden="1"/>
    <cellStyle name="Followed Hyperlink" xfId="14658" builtinId="9" hidden="1"/>
    <cellStyle name="Followed Hyperlink" xfId="14660" builtinId="9" hidden="1"/>
    <cellStyle name="Followed Hyperlink" xfId="14662" builtinId="9" hidden="1"/>
    <cellStyle name="Followed Hyperlink" xfId="14664" builtinId="9" hidden="1"/>
    <cellStyle name="Followed Hyperlink" xfId="14666" builtinId="9" hidden="1"/>
    <cellStyle name="Followed Hyperlink" xfId="14668" builtinId="9" hidden="1"/>
    <cellStyle name="Followed Hyperlink" xfId="14670" builtinId="9" hidden="1"/>
    <cellStyle name="Followed Hyperlink" xfId="14672" builtinId="9" hidden="1"/>
    <cellStyle name="Followed Hyperlink" xfId="14674" builtinId="9" hidden="1"/>
    <cellStyle name="Followed Hyperlink" xfId="14676" builtinId="9" hidden="1"/>
    <cellStyle name="Followed Hyperlink" xfId="14678" builtinId="9" hidden="1"/>
    <cellStyle name="Followed Hyperlink" xfId="14680" builtinId="9" hidden="1"/>
    <cellStyle name="Followed Hyperlink" xfId="14682" builtinId="9" hidden="1"/>
    <cellStyle name="Followed Hyperlink" xfId="14684" builtinId="9" hidden="1"/>
    <cellStyle name="Followed Hyperlink" xfId="14686" builtinId="9" hidden="1"/>
    <cellStyle name="Followed Hyperlink" xfId="14688" builtinId="9" hidden="1"/>
    <cellStyle name="Followed Hyperlink" xfId="14690" builtinId="9" hidden="1"/>
    <cellStyle name="Followed Hyperlink" xfId="14692" builtinId="9" hidden="1"/>
    <cellStyle name="Followed Hyperlink" xfId="14694" builtinId="9" hidden="1"/>
    <cellStyle name="Followed Hyperlink" xfId="14696" builtinId="9" hidden="1"/>
    <cellStyle name="Followed Hyperlink" xfId="14698" builtinId="9" hidden="1"/>
    <cellStyle name="Followed Hyperlink" xfId="14700" builtinId="9" hidden="1"/>
    <cellStyle name="Followed Hyperlink" xfId="14702" builtinId="9" hidden="1"/>
    <cellStyle name="Followed Hyperlink" xfId="14704" builtinId="9" hidden="1"/>
    <cellStyle name="Followed Hyperlink" xfId="14706" builtinId="9" hidden="1"/>
    <cellStyle name="Followed Hyperlink" xfId="14708" builtinId="9" hidden="1"/>
    <cellStyle name="Followed Hyperlink" xfId="14710" builtinId="9" hidden="1"/>
    <cellStyle name="Followed Hyperlink" xfId="14712" builtinId="9" hidden="1"/>
    <cellStyle name="Followed Hyperlink" xfId="14714" builtinId="9" hidden="1"/>
    <cellStyle name="Followed Hyperlink" xfId="14716" builtinId="9" hidden="1"/>
    <cellStyle name="Followed Hyperlink" xfId="14718" builtinId="9" hidden="1"/>
    <cellStyle name="Followed Hyperlink" xfId="14720" builtinId="9" hidden="1"/>
    <cellStyle name="Followed Hyperlink" xfId="14722" builtinId="9" hidden="1"/>
    <cellStyle name="Followed Hyperlink" xfId="14724" builtinId="9" hidden="1"/>
    <cellStyle name="Followed Hyperlink" xfId="14726" builtinId="9" hidden="1"/>
    <cellStyle name="Followed Hyperlink" xfId="14728" builtinId="9" hidden="1"/>
    <cellStyle name="Followed Hyperlink" xfId="14730" builtinId="9" hidden="1"/>
    <cellStyle name="Followed Hyperlink" xfId="14732" builtinId="9" hidden="1"/>
    <cellStyle name="Followed Hyperlink" xfId="14734" builtinId="9" hidden="1"/>
    <cellStyle name="Followed Hyperlink" xfId="14736" builtinId="9" hidden="1"/>
    <cellStyle name="Followed Hyperlink" xfId="14738" builtinId="9" hidden="1"/>
    <cellStyle name="Followed Hyperlink" xfId="14740" builtinId="9" hidden="1"/>
    <cellStyle name="Followed Hyperlink" xfId="14742" builtinId="9" hidden="1"/>
    <cellStyle name="Followed Hyperlink" xfId="14744" builtinId="9" hidden="1"/>
    <cellStyle name="Followed Hyperlink" xfId="14746" builtinId="9" hidden="1"/>
    <cellStyle name="Followed Hyperlink" xfId="14748" builtinId="9" hidden="1"/>
    <cellStyle name="Followed Hyperlink" xfId="14750" builtinId="9" hidden="1"/>
    <cellStyle name="Followed Hyperlink" xfId="14752" builtinId="9" hidden="1"/>
    <cellStyle name="Followed Hyperlink" xfId="14754" builtinId="9" hidden="1"/>
    <cellStyle name="Followed Hyperlink" xfId="14756" builtinId="9" hidden="1"/>
    <cellStyle name="Followed Hyperlink" xfId="14758" builtinId="9" hidden="1"/>
    <cellStyle name="Followed Hyperlink" xfId="14760" builtinId="9" hidden="1"/>
    <cellStyle name="Followed Hyperlink" xfId="14762" builtinId="9" hidden="1"/>
    <cellStyle name="Followed Hyperlink" xfId="14764" builtinId="9" hidden="1"/>
    <cellStyle name="Followed Hyperlink" xfId="14766" builtinId="9" hidden="1"/>
    <cellStyle name="Followed Hyperlink" xfId="14768" builtinId="9" hidden="1"/>
    <cellStyle name="Followed Hyperlink" xfId="14770" builtinId="9" hidden="1"/>
    <cellStyle name="Followed Hyperlink" xfId="14772" builtinId="9" hidden="1"/>
    <cellStyle name="Followed Hyperlink" xfId="14774" builtinId="9" hidden="1"/>
    <cellStyle name="Followed Hyperlink" xfId="14776" builtinId="9" hidden="1"/>
    <cellStyle name="Followed Hyperlink" xfId="14778" builtinId="9" hidden="1"/>
    <cellStyle name="Followed Hyperlink" xfId="14780" builtinId="9" hidden="1"/>
    <cellStyle name="Followed Hyperlink" xfId="14782" builtinId="9" hidden="1"/>
    <cellStyle name="Followed Hyperlink" xfId="14784" builtinId="9" hidden="1"/>
    <cellStyle name="Followed Hyperlink" xfId="14786" builtinId="9" hidden="1"/>
    <cellStyle name="Followed Hyperlink" xfId="14788" builtinId="9" hidden="1"/>
    <cellStyle name="Followed Hyperlink" xfId="14790" builtinId="9" hidden="1"/>
    <cellStyle name="Followed Hyperlink" xfId="14792" builtinId="9" hidden="1"/>
    <cellStyle name="Followed Hyperlink" xfId="14794" builtinId="9" hidden="1"/>
    <cellStyle name="Followed Hyperlink" xfId="14796" builtinId="9" hidden="1"/>
    <cellStyle name="Followed Hyperlink" xfId="14798" builtinId="9" hidden="1"/>
    <cellStyle name="Followed Hyperlink" xfId="14800" builtinId="9" hidden="1"/>
    <cellStyle name="Followed Hyperlink" xfId="14802" builtinId="9" hidden="1"/>
    <cellStyle name="Followed Hyperlink" xfId="14804" builtinId="9" hidden="1"/>
    <cellStyle name="Followed Hyperlink" xfId="14806" builtinId="9" hidden="1"/>
    <cellStyle name="Followed Hyperlink" xfId="14808" builtinId="9" hidden="1"/>
    <cellStyle name="Followed Hyperlink" xfId="14810" builtinId="9" hidden="1"/>
    <cellStyle name="Followed Hyperlink" xfId="14812" builtinId="9" hidden="1"/>
    <cellStyle name="Followed Hyperlink" xfId="14814" builtinId="9" hidden="1"/>
    <cellStyle name="Followed Hyperlink" xfId="14816" builtinId="9" hidden="1"/>
    <cellStyle name="Followed Hyperlink" xfId="14818" builtinId="9" hidden="1"/>
    <cellStyle name="Followed Hyperlink" xfId="14820" builtinId="9" hidden="1"/>
    <cellStyle name="Followed Hyperlink" xfId="14822" builtinId="9" hidden="1"/>
    <cellStyle name="Followed Hyperlink" xfId="14824" builtinId="9" hidden="1"/>
    <cellStyle name="Followed Hyperlink" xfId="14826" builtinId="9" hidden="1"/>
    <cellStyle name="Followed Hyperlink" xfId="14828" builtinId="9" hidden="1"/>
    <cellStyle name="Followed Hyperlink" xfId="14830" builtinId="9" hidden="1"/>
    <cellStyle name="Followed Hyperlink" xfId="14832" builtinId="9" hidden="1"/>
    <cellStyle name="Followed Hyperlink" xfId="14834" builtinId="9" hidden="1"/>
    <cellStyle name="Followed Hyperlink" xfId="14836" builtinId="9" hidden="1"/>
    <cellStyle name="Followed Hyperlink" xfId="14838" builtinId="9" hidden="1"/>
    <cellStyle name="Followed Hyperlink" xfId="14840" builtinId="9" hidden="1"/>
    <cellStyle name="Followed Hyperlink" xfId="14842" builtinId="9" hidden="1"/>
    <cellStyle name="Followed Hyperlink" xfId="14844" builtinId="9" hidden="1"/>
    <cellStyle name="Followed Hyperlink" xfId="14846" builtinId="9" hidden="1"/>
    <cellStyle name="Followed Hyperlink" xfId="14848" builtinId="9" hidden="1"/>
    <cellStyle name="Followed Hyperlink" xfId="14850" builtinId="9" hidden="1"/>
    <cellStyle name="Followed Hyperlink" xfId="14852" builtinId="9" hidden="1"/>
    <cellStyle name="Followed Hyperlink" xfId="14854" builtinId="9" hidden="1"/>
    <cellStyle name="Followed Hyperlink" xfId="14856" builtinId="9" hidden="1"/>
    <cellStyle name="Followed Hyperlink" xfId="14858" builtinId="9" hidden="1"/>
    <cellStyle name="Followed Hyperlink" xfId="14860" builtinId="9" hidden="1"/>
    <cellStyle name="Followed Hyperlink" xfId="14862" builtinId="9" hidden="1"/>
    <cellStyle name="Followed Hyperlink" xfId="14864" builtinId="9" hidden="1"/>
    <cellStyle name="Followed Hyperlink" xfId="14866" builtinId="9" hidden="1"/>
    <cellStyle name="Followed Hyperlink" xfId="14868" builtinId="9" hidden="1"/>
    <cellStyle name="Followed Hyperlink" xfId="14870" builtinId="9" hidden="1"/>
    <cellStyle name="Followed Hyperlink" xfId="14872" builtinId="9" hidden="1"/>
    <cellStyle name="Followed Hyperlink" xfId="14874" builtinId="9" hidden="1"/>
    <cellStyle name="Followed Hyperlink" xfId="14876" builtinId="9" hidden="1"/>
    <cellStyle name="Followed Hyperlink" xfId="14878" builtinId="9" hidden="1"/>
    <cellStyle name="Followed Hyperlink" xfId="14880" builtinId="9" hidden="1"/>
    <cellStyle name="Followed Hyperlink" xfId="14882" builtinId="9" hidden="1"/>
    <cellStyle name="Followed Hyperlink" xfId="14884" builtinId="9" hidden="1"/>
    <cellStyle name="Followed Hyperlink" xfId="14886" builtinId="9" hidden="1"/>
    <cellStyle name="Followed Hyperlink" xfId="14888" builtinId="9" hidden="1"/>
    <cellStyle name="Followed Hyperlink" xfId="14890" builtinId="9" hidden="1"/>
    <cellStyle name="Followed Hyperlink" xfId="14892" builtinId="9" hidden="1"/>
    <cellStyle name="Followed Hyperlink" xfId="14894" builtinId="9" hidden="1"/>
    <cellStyle name="Followed Hyperlink" xfId="14896" builtinId="9" hidden="1"/>
    <cellStyle name="Followed Hyperlink" xfId="14898" builtinId="9" hidden="1"/>
    <cellStyle name="Followed Hyperlink" xfId="14900" builtinId="9" hidden="1"/>
    <cellStyle name="Followed Hyperlink" xfId="14902" builtinId="9" hidden="1"/>
    <cellStyle name="Followed Hyperlink" xfId="14904" builtinId="9" hidden="1"/>
    <cellStyle name="Followed Hyperlink" xfId="14906" builtinId="9" hidden="1"/>
    <cellStyle name="Followed Hyperlink" xfId="14908" builtinId="9" hidden="1"/>
    <cellStyle name="Followed Hyperlink" xfId="14910" builtinId="9" hidden="1"/>
    <cellStyle name="Followed Hyperlink" xfId="14912" builtinId="9" hidden="1"/>
    <cellStyle name="Followed Hyperlink" xfId="14914" builtinId="9" hidden="1"/>
    <cellStyle name="Followed Hyperlink" xfId="14916" builtinId="9" hidden="1"/>
    <cellStyle name="Followed Hyperlink" xfId="14918" builtinId="9" hidden="1"/>
    <cellStyle name="Followed Hyperlink" xfId="14920" builtinId="9" hidden="1"/>
    <cellStyle name="Followed Hyperlink" xfId="14922" builtinId="9" hidden="1"/>
    <cellStyle name="Followed Hyperlink" xfId="14924" builtinId="9" hidden="1"/>
    <cellStyle name="Followed Hyperlink" xfId="14926" builtinId="9" hidden="1"/>
    <cellStyle name="Followed Hyperlink" xfId="14928" builtinId="9" hidden="1"/>
    <cellStyle name="Followed Hyperlink" xfId="14930" builtinId="9" hidden="1"/>
    <cellStyle name="Followed Hyperlink" xfId="14932" builtinId="9" hidden="1"/>
    <cellStyle name="Followed Hyperlink" xfId="14934" builtinId="9" hidden="1"/>
    <cellStyle name="Followed Hyperlink" xfId="14936" builtinId="9" hidden="1"/>
    <cellStyle name="Followed Hyperlink" xfId="14938" builtinId="9" hidden="1"/>
    <cellStyle name="Followed Hyperlink" xfId="14940" builtinId="9" hidden="1"/>
    <cellStyle name="Followed Hyperlink" xfId="14942" builtinId="9" hidden="1"/>
    <cellStyle name="Followed Hyperlink" xfId="14944" builtinId="9" hidden="1"/>
    <cellStyle name="Followed Hyperlink" xfId="14946" builtinId="9" hidden="1"/>
    <cellStyle name="Followed Hyperlink" xfId="14948" builtinId="9" hidden="1"/>
    <cellStyle name="Followed Hyperlink" xfId="14950" builtinId="9" hidden="1"/>
    <cellStyle name="Followed Hyperlink" xfId="14952" builtinId="9" hidden="1"/>
    <cellStyle name="Followed Hyperlink" xfId="14954" builtinId="9" hidden="1"/>
    <cellStyle name="Followed Hyperlink" xfId="14956" builtinId="9" hidden="1"/>
    <cellStyle name="Followed Hyperlink" xfId="14958" builtinId="9" hidden="1"/>
    <cellStyle name="Followed Hyperlink" xfId="14960" builtinId="9" hidden="1"/>
    <cellStyle name="Followed Hyperlink" xfId="14962" builtinId="9" hidden="1"/>
    <cellStyle name="Followed Hyperlink" xfId="14964" builtinId="9" hidden="1"/>
    <cellStyle name="Followed Hyperlink" xfId="14966" builtinId="9" hidden="1"/>
    <cellStyle name="Followed Hyperlink" xfId="14968" builtinId="9" hidden="1"/>
    <cellStyle name="Followed Hyperlink" xfId="14970" builtinId="9" hidden="1"/>
    <cellStyle name="Followed Hyperlink" xfId="14972" builtinId="9" hidden="1"/>
    <cellStyle name="Followed Hyperlink" xfId="14974" builtinId="9" hidden="1"/>
    <cellStyle name="Followed Hyperlink" xfId="14976" builtinId="9" hidden="1"/>
    <cellStyle name="Followed Hyperlink" xfId="14978" builtinId="9" hidden="1"/>
    <cellStyle name="Followed Hyperlink" xfId="14980" builtinId="9" hidden="1"/>
    <cellStyle name="Followed Hyperlink" xfId="14982" builtinId="9" hidden="1"/>
    <cellStyle name="Followed Hyperlink" xfId="14984" builtinId="9" hidden="1"/>
    <cellStyle name="Followed Hyperlink" xfId="14986" builtinId="9" hidden="1"/>
    <cellStyle name="Followed Hyperlink" xfId="14988" builtinId="9" hidden="1"/>
    <cellStyle name="Followed Hyperlink" xfId="14990" builtinId="9" hidden="1"/>
    <cellStyle name="Followed Hyperlink" xfId="14992" builtinId="9" hidden="1"/>
    <cellStyle name="Followed Hyperlink" xfId="14994" builtinId="9" hidden="1"/>
    <cellStyle name="Followed Hyperlink" xfId="14996" builtinId="9" hidden="1"/>
    <cellStyle name="Followed Hyperlink" xfId="14998" builtinId="9" hidden="1"/>
    <cellStyle name="Followed Hyperlink" xfId="15000" builtinId="9" hidden="1"/>
    <cellStyle name="Followed Hyperlink" xfId="15002" builtinId="9" hidden="1"/>
    <cellStyle name="Followed Hyperlink" xfId="15004" builtinId="9" hidden="1"/>
    <cellStyle name="Followed Hyperlink" xfId="15006" builtinId="9" hidden="1"/>
    <cellStyle name="Followed Hyperlink" xfId="1500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Hyperlink" xfId="4379" builtinId="8" hidden="1"/>
    <cellStyle name="Hyperlink" xfId="4381" builtinId="8" hidden="1"/>
    <cellStyle name="Hyperlink" xfId="4383" builtinId="8" hidden="1"/>
    <cellStyle name="Hyperlink" xfId="4385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Hyperlink" xfId="4403" builtinId="8" hidden="1"/>
    <cellStyle name="Hyperlink" xfId="4405" builtinId="8" hidden="1"/>
    <cellStyle name="Hyperlink" xfId="4407" builtinId="8" hidden="1"/>
    <cellStyle name="Hyperlink" xfId="4409" builtinId="8" hidden="1"/>
    <cellStyle name="Hyperlink" xfId="4411" builtinId="8" hidden="1"/>
    <cellStyle name="Hyperlink" xfId="4413" builtinId="8" hidden="1"/>
    <cellStyle name="Hyperlink" xfId="4415" builtinId="8" hidden="1"/>
    <cellStyle name="Hyperlink" xfId="4417" builtinId="8" hidden="1"/>
    <cellStyle name="Hyperlink" xfId="4419" builtinId="8" hidden="1"/>
    <cellStyle name="Hyperlink" xfId="4421" builtinId="8" hidden="1"/>
    <cellStyle name="Hyperlink" xfId="4423" builtinId="8" hidden="1"/>
    <cellStyle name="Hyperlink" xfId="4425" builtinId="8" hidden="1"/>
    <cellStyle name="Hyperlink" xfId="4427" builtinId="8" hidden="1"/>
    <cellStyle name="Hyperlink" xfId="4429" builtinId="8" hidden="1"/>
    <cellStyle name="Hyperlink" xfId="4431" builtinId="8" hidden="1"/>
    <cellStyle name="Hyperlink" xfId="4433" builtinId="8" hidden="1"/>
    <cellStyle name="Hyperlink" xfId="4435" builtinId="8" hidden="1"/>
    <cellStyle name="Hyperlink" xfId="4437" builtinId="8" hidden="1"/>
    <cellStyle name="Hyperlink" xfId="4439" builtinId="8" hidden="1"/>
    <cellStyle name="Hyperlink" xfId="4441" builtinId="8" hidden="1"/>
    <cellStyle name="Hyperlink" xfId="4443" builtinId="8" hidden="1"/>
    <cellStyle name="Hyperlink" xfId="4445" builtinId="8" hidden="1"/>
    <cellStyle name="Hyperlink" xfId="4447" builtinId="8" hidden="1"/>
    <cellStyle name="Hyperlink" xfId="4449" builtinId="8" hidden="1"/>
    <cellStyle name="Hyperlink" xfId="4451" builtinId="8" hidden="1"/>
    <cellStyle name="Hyperlink" xfId="4453" builtinId="8" hidden="1"/>
    <cellStyle name="Hyperlink" xfId="4455" builtinId="8" hidden="1"/>
    <cellStyle name="Hyperlink" xfId="4457" builtinId="8" hidden="1"/>
    <cellStyle name="Hyperlink" xfId="4459" builtinId="8" hidden="1"/>
    <cellStyle name="Hyperlink" xfId="4461" builtinId="8" hidden="1"/>
    <cellStyle name="Hyperlink" xfId="4463" builtinId="8" hidden="1"/>
    <cellStyle name="Hyperlink" xfId="4465" builtinId="8" hidden="1"/>
    <cellStyle name="Hyperlink" xfId="4467" builtinId="8" hidden="1"/>
    <cellStyle name="Hyperlink" xfId="4469" builtinId="8" hidden="1"/>
    <cellStyle name="Hyperlink" xfId="4471" builtinId="8" hidden="1"/>
    <cellStyle name="Hyperlink" xfId="4473" builtinId="8" hidden="1"/>
    <cellStyle name="Hyperlink" xfId="4475" builtinId="8" hidden="1"/>
    <cellStyle name="Hyperlink" xfId="4477" builtinId="8" hidden="1"/>
    <cellStyle name="Hyperlink" xfId="4479" builtinId="8" hidden="1"/>
    <cellStyle name="Hyperlink" xfId="4481" builtinId="8" hidden="1"/>
    <cellStyle name="Hyperlink" xfId="4483" builtinId="8" hidden="1"/>
    <cellStyle name="Hyperlink" xfId="4485" builtinId="8" hidden="1"/>
    <cellStyle name="Hyperlink" xfId="4487" builtinId="8" hidden="1"/>
    <cellStyle name="Hyperlink" xfId="4489" builtinId="8" hidden="1"/>
    <cellStyle name="Hyperlink" xfId="4491" builtinId="8" hidden="1"/>
    <cellStyle name="Hyperlink" xfId="4493" builtinId="8" hidden="1"/>
    <cellStyle name="Hyperlink" xfId="4495" builtinId="8" hidden="1"/>
    <cellStyle name="Hyperlink" xfId="4497" builtinId="8" hidden="1"/>
    <cellStyle name="Hyperlink" xfId="4499" builtinId="8" hidden="1"/>
    <cellStyle name="Hyperlink" xfId="4501" builtinId="8" hidden="1"/>
    <cellStyle name="Hyperlink" xfId="4503" builtinId="8" hidden="1"/>
    <cellStyle name="Hyperlink" xfId="4505" builtinId="8" hidden="1"/>
    <cellStyle name="Hyperlink" xfId="4507" builtinId="8" hidden="1"/>
    <cellStyle name="Hyperlink" xfId="4509" builtinId="8" hidden="1"/>
    <cellStyle name="Hyperlink" xfId="4511" builtinId="8" hidden="1"/>
    <cellStyle name="Hyperlink" xfId="4513" builtinId="8" hidden="1"/>
    <cellStyle name="Hyperlink" xfId="4515" builtinId="8" hidden="1"/>
    <cellStyle name="Hyperlink" xfId="4517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31" builtinId="8" hidden="1"/>
    <cellStyle name="Hyperlink" xfId="4533" builtinId="8" hidden="1"/>
    <cellStyle name="Hyperlink" xfId="4535" builtinId="8" hidden="1"/>
    <cellStyle name="Hyperlink" xfId="4537" builtinId="8" hidden="1"/>
    <cellStyle name="Hyperlink" xfId="4539" builtinId="8" hidden="1"/>
    <cellStyle name="Hyperlink" xfId="4541" builtinId="8" hidden="1"/>
    <cellStyle name="Hyperlink" xfId="4543" builtinId="8" hidden="1"/>
    <cellStyle name="Hyperlink" xfId="4545" builtinId="8" hidden="1"/>
    <cellStyle name="Hyperlink" xfId="4547" builtinId="8" hidden="1"/>
    <cellStyle name="Hyperlink" xfId="4549" builtinId="8" hidden="1"/>
    <cellStyle name="Hyperlink" xfId="4551" builtinId="8" hidden="1"/>
    <cellStyle name="Hyperlink" xfId="4553" builtinId="8" hidden="1"/>
    <cellStyle name="Hyperlink" xfId="4555" builtinId="8" hidden="1"/>
    <cellStyle name="Hyperlink" xfId="4557" builtinId="8" hidden="1"/>
    <cellStyle name="Hyperlink" xfId="4559" builtinId="8" hidden="1"/>
    <cellStyle name="Hyperlink" xfId="4561" builtinId="8" hidden="1"/>
    <cellStyle name="Hyperlink" xfId="4563" builtinId="8" hidden="1"/>
    <cellStyle name="Hyperlink" xfId="4565" builtinId="8" hidden="1"/>
    <cellStyle name="Hyperlink" xfId="4567" builtinId="8" hidden="1"/>
    <cellStyle name="Hyperlink" xfId="4569" builtinId="8" hidden="1"/>
    <cellStyle name="Hyperlink" xfId="4571" builtinId="8" hidden="1"/>
    <cellStyle name="Hyperlink" xfId="4573" builtinId="8" hidden="1"/>
    <cellStyle name="Hyperlink" xfId="4575" builtinId="8" hidden="1"/>
    <cellStyle name="Hyperlink" xfId="4577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695" builtinId="8" hidden="1"/>
    <cellStyle name="Hyperlink" xfId="4697" builtinId="8" hidden="1"/>
    <cellStyle name="Hyperlink" xfId="4699" builtinId="8" hidden="1"/>
    <cellStyle name="Hyperlink" xfId="4701" builtinId="8" hidden="1"/>
    <cellStyle name="Hyperlink" xfId="4703" builtinId="8" hidden="1"/>
    <cellStyle name="Hyperlink" xfId="4705" builtinId="8" hidden="1"/>
    <cellStyle name="Hyperlink" xfId="4707" builtinId="8" hidden="1"/>
    <cellStyle name="Hyperlink" xfId="4709" builtinId="8" hidden="1"/>
    <cellStyle name="Hyperlink" xfId="4711" builtinId="8" hidden="1"/>
    <cellStyle name="Hyperlink" xfId="4713" builtinId="8" hidden="1"/>
    <cellStyle name="Hyperlink" xfId="4715" builtinId="8" hidden="1"/>
    <cellStyle name="Hyperlink" xfId="4717" builtinId="8" hidden="1"/>
    <cellStyle name="Hyperlink" xfId="4719" builtinId="8" hidden="1"/>
    <cellStyle name="Hyperlink" xfId="4721" builtinId="8" hidden="1"/>
    <cellStyle name="Hyperlink" xfId="4723" builtinId="8" hidden="1"/>
    <cellStyle name="Hyperlink" xfId="4725" builtinId="8" hidden="1"/>
    <cellStyle name="Hyperlink" xfId="4727" builtinId="8" hidden="1"/>
    <cellStyle name="Hyperlink" xfId="4729" builtinId="8" hidden="1"/>
    <cellStyle name="Hyperlink" xfId="4731" builtinId="8" hidden="1"/>
    <cellStyle name="Hyperlink" xfId="4733" builtinId="8" hidden="1"/>
    <cellStyle name="Hyperlink" xfId="4735" builtinId="8" hidden="1"/>
    <cellStyle name="Hyperlink" xfId="4737" builtinId="8" hidden="1"/>
    <cellStyle name="Hyperlink" xfId="4739" builtinId="8" hidden="1"/>
    <cellStyle name="Hyperlink" xfId="4741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3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4847" builtinId="8" hidden="1"/>
    <cellStyle name="Hyperlink" xfId="4849" builtinId="8" hidden="1"/>
    <cellStyle name="Hyperlink" xfId="4851" builtinId="8" hidden="1"/>
    <cellStyle name="Hyperlink" xfId="4853" builtinId="8" hidden="1"/>
    <cellStyle name="Hyperlink" xfId="4855" builtinId="8" hidden="1"/>
    <cellStyle name="Hyperlink" xfId="4857" builtinId="8" hidden="1"/>
    <cellStyle name="Hyperlink" xfId="4859" builtinId="8" hidden="1"/>
    <cellStyle name="Hyperlink" xfId="4861" builtinId="8" hidden="1"/>
    <cellStyle name="Hyperlink" xfId="4863" builtinId="8" hidden="1"/>
    <cellStyle name="Hyperlink" xfId="4865" builtinId="8" hidden="1"/>
    <cellStyle name="Hyperlink" xfId="4867" builtinId="8" hidden="1"/>
    <cellStyle name="Hyperlink" xfId="4869" builtinId="8" hidden="1"/>
    <cellStyle name="Hyperlink" xfId="4871" builtinId="8" hidden="1"/>
    <cellStyle name="Hyperlink" xfId="4873" builtinId="8" hidden="1"/>
    <cellStyle name="Hyperlink" xfId="4875" builtinId="8" hidden="1"/>
    <cellStyle name="Hyperlink" xfId="4877" builtinId="8" hidden="1"/>
    <cellStyle name="Hyperlink" xfId="4879" builtinId="8" hidden="1"/>
    <cellStyle name="Hyperlink" xfId="4881" builtinId="8" hidden="1"/>
    <cellStyle name="Hyperlink" xfId="4883" builtinId="8" hidden="1"/>
    <cellStyle name="Hyperlink" xfId="4885" builtinId="8" hidden="1"/>
    <cellStyle name="Hyperlink" xfId="4887" builtinId="8" hidden="1"/>
    <cellStyle name="Hyperlink" xfId="4889" builtinId="8" hidden="1"/>
    <cellStyle name="Hyperlink" xfId="4891" builtinId="8" hidden="1"/>
    <cellStyle name="Hyperlink" xfId="4893" builtinId="8" hidden="1"/>
    <cellStyle name="Hyperlink" xfId="4895" builtinId="8" hidden="1"/>
    <cellStyle name="Hyperlink" xfId="4897" builtinId="8" hidden="1"/>
    <cellStyle name="Hyperlink" xfId="4899" builtinId="8" hidden="1"/>
    <cellStyle name="Hyperlink" xfId="4901" builtinId="8" hidden="1"/>
    <cellStyle name="Hyperlink" xfId="4903" builtinId="8" hidden="1"/>
    <cellStyle name="Hyperlink" xfId="4905" builtinId="8" hidden="1"/>
    <cellStyle name="Hyperlink" xfId="4907" builtinId="8" hidden="1"/>
    <cellStyle name="Hyperlink" xfId="4909" builtinId="8" hidden="1"/>
    <cellStyle name="Hyperlink" xfId="4911" builtinId="8" hidden="1"/>
    <cellStyle name="Hyperlink" xfId="4913" builtinId="8" hidden="1"/>
    <cellStyle name="Hyperlink" xfId="4915" builtinId="8" hidden="1"/>
    <cellStyle name="Hyperlink" xfId="4917" builtinId="8" hidden="1"/>
    <cellStyle name="Hyperlink" xfId="4919" builtinId="8" hidden="1"/>
    <cellStyle name="Hyperlink" xfId="4921" builtinId="8" hidden="1"/>
    <cellStyle name="Hyperlink" xfId="4923" builtinId="8" hidden="1"/>
    <cellStyle name="Hyperlink" xfId="4925" builtinId="8" hidden="1"/>
    <cellStyle name="Hyperlink" xfId="4927" builtinId="8" hidden="1"/>
    <cellStyle name="Hyperlink" xfId="4929" builtinId="8" hidden="1"/>
    <cellStyle name="Hyperlink" xfId="4931" builtinId="8" hidden="1"/>
    <cellStyle name="Hyperlink" xfId="4933" builtinId="8" hidden="1"/>
    <cellStyle name="Hyperlink" xfId="4935" builtinId="8" hidden="1"/>
    <cellStyle name="Hyperlink" xfId="4937" builtinId="8" hidden="1"/>
    <cellStyle name="Hyperlink" xfId="4939" builtinId="8" hidden="1"/>
    <cellStyle name="Hyperlink" xfId="4941" builtinId="8" hidden="1"/>
    <cellStyle name="Hyperlink" xfId="4943" builtinId="8" hidden="1"/>
    <cellStyle name="Hyperlink" xfId="4945" builtinId="8" hidden="1"/>
    <cellStyle name="Hyperlink" xfId="4947" builtinId="8" hidden="1"/>
    <cellStyle name="Hyperlink" xfId="4949" builtinId="8" hidden="1"/>
    <cellStyle name="Hyperlink" xfId="4951" builtinId="8" hidden="1"/>
    <cellStyle name="Hyperlink" xfId="4953" builtinId="8" hidden="1"/>
    <cellStyle name="Hyperlink" xfId="4955" builtinId="8" hidden="1"/>
    <cellStyle name="Hyperlink" xfId="4957" builtinId="8" hidden="1"/>
    <cellStyle name="Hyperlink" xfId="4959" builtinId="8" hidden="1"/>
    <cellStyle name="Hyperlink" xfId="4961" builtinId="8" hidden="1"/>
    <cellStyle name="Hyperlink" xfId="4963" builtinId="8" hidden="1"/>
    <cellStyle name="Hyperlink" xfId="4965" builtinId="8" hidden="1"/>
    <cellStyle name="Hyperlink" xfId="4967" builtinId="8" hidden="1"/>
    <cellStyle name="Hyperlink" xfId="4969" builtinId="8" hidden="1"/>
    <cellStyle name="Hyperlink" xfId="4971" builtinId="8" hidden="1"/>
    <cellStyle name="Hyperlink" xfId="4973" builtinId="8" hidden="1"/>
    <cellStyle name="Hyperlink" xfId="4975" builtinId="8" hidden="1"/>
    <cellStyle name="Hyperlink" xfId="4977" builtinId="8" hidden="1"/>
    <cellStyle name="Hyperlink" xfId="4979" builtinId="8" hidden="1"/>
    <cellStyle name="Hyperlink" xfId="4981" builtinId="8" hidden="1"/>
    <cellStyle name="Hyperlink" xfId="4983" builtinId="8" hidden="1"/>
    <cellStyle name="Hyperlink" xfId="4985" builtinId="8" hidden="1"/>
    <cellStyle name="Hyperlink" xfId="4987" builtinId="8" hidden="1"/>
    <cellStyle name="Hyperlink" xfId="4989" builtinId="8" hidden="1"/>
    <cellStyle name="Hyperlink" xfId="4991" builtinId="8" hidden="1"/>
    <cellStyle name="Hyperlink" xfId="4993" builtinId="8" hidden="1"/>
    <cellStyle name="Hyperlink" xfId="4995" builtinId="8" hidden="1"/>
    <cellStyle name="Hyperlink" xfId="4997" builtinId="8" hidden="1"/>
    <cellStyle name="Hyperlink" xfId="4999" builtinId="8" hidden="1"/>
    <cellStyle name="Hyperlink" xfId="5001" builtinId="8" hidden="1"/>
    <cellStyle name="Hyperlink" xfId="5003" builtinId="8" hidden="1"/>
    <cellStyle name="Hyperlink" xfId="5005" builtinId="8" hidden="1"/>
    <cellStyle name="Hyperlink" xfId="5007" builtinId="8" hidden="1"/>
    <cellStyle name="Hyperlink" xfId="5009" builtinId="8" hidden="1"/>
    <cellStyle name="Hyperlink" xfId="5011" builtinId="8" hidden="1"/>
    <cellStyle name="Hyperlink" xfId="5013" builtinId="8" hidden="1"/>
    <cellStyle name="Hyperlink" xfId="5015" builtinId="8" hidden="1"/>
    <cellStyle name="Hyperlink" xfId="5017" builtinId="8" hidden="1"/>
    <cellStyle name="Hyperlink" xfId="5019" builtinId="8" hidden="1"/>
    <cellStyle name="Hyperlink" xfId="5021" builtinId="8" hidden="1"/>
    <cellStyle name="Hyperlink" xfId="5023" builtinId="8" hidden="1"/>
    <cellStyle name="Hyperlink" xfId="5025" builtinId="8" hidden="1"/>
    <cellStyle name="Hyperlink" xfId="5027" builtinId="8" hidden="1"/>
    <cellStyle name="Hyperlink" xfId="5029" builtinId="8" hidden="1"/>
    <cellStyle name="Hyperlink" xfId="5031" builtinId="8" hidden="1"/>
    <cellStyle name="Hyperlink" xfId="5033" builtinId="8" hidden="1"/>
    <cellStyle name="Hyperlink" xfId="5035" builtinId="8" hidden="1"/>
    <cellStyle name="Hyperlink" xfId="5037" builtinId="8" hidden="1"/>
    <cellStyle name="Hyperlink" xfId="5039" builtinId="8" hidden="1"/>
    <cellStyle name="Hyperlink" xfId="5041" builtinId="8" hidden="1"/>
    <cellStyle name="Hyperlink" xfId="5043" builtinId="8" hidden="1"/>
    <cellStyle name="Hyperlink" xfId="5045" builtinId="8" hidden="1"/>
    <cellStyle name="Hyperlink" xfId="5047" builtinId="8" hidden="1"/>
    <cellStyle name="Hyperlink" xfId="5049" builtinId="8" hidden="1"/>
    <cellStyle name="Hyperlink" xfId="5051" builtinId="8" hidden="1"/>
    <cellStyle name="Hyperlink" xfId="5053" builtinId="8" hidden="1"/>
    <cellStyle name="Hyperlink" xfId="5055" builtinId="8" hidden="1"/>
    <cellStyle name="Hyperlink" xfId="5057" builtinId="8" hidden="1"/>
    <cellStyle name="Hyperlink" xfId="5059" builtinId="8" hidden="1"/>
    <cellStyle name="Hyperlink" xfId="5061" builtinId="8" hidden="1"/>
    <cellStyle name="Hyperlink" xfId="5063" builtinId="8" hidden="1"/>
    <cellStyle name="Hyperlink" xfId="5065" builtinId="8" hidden="1"/>
    <cellStyle name="Hyperlink" xfId="5067" builtinId="8" hidden="1"/>
    <cellStyle name="Hyperlink" xfId="5069" builtinId="8" hidden="1"/>
    <cellStyle name="Hyperlink" xfId="5071" builtinId="8" hidden="1"/>
    <cellStyle name="Hyperlink" xfId="5073" builtinId="8" hidden="1"/>
    <cellStyle name="Hyperlink" xfId="5075" builtinId="8" hidden="1"/>
    <cellStyle name="Hyperlink" xfId="5077" builtinId="8" hidden="1"/>
    <cellStyle name="Hyperlink" xfId="5079" builtinId="8" hidden="1"/>
    <cellStyle name="Hyperlink" xfId="5081" builtinId="8" hidden="1"/>
    <cellStyle name="Hyperlink" xfId="5083" builtinId="8" hidden="1"/>
    <cellStyle name="Hyperlink" xfId="5085" builtinId="8" hidden="1"/>
    <cellStyle name="Hyperlink" xfId="5087" builtinId="8" hidden="1"/>
    <cellStyle name="Hyperlink" xfId="5089" builtinId="8" hidden="1"/>
    <cellStyle name="Hyperlink" xfId="5091" builtinId="8" hidden="1"/>
    <cellStyle name="Hyperlink" xfId="5093" builtinId="8" hidden="1"/>
    <cellStyle name="Hyperlink" xfId="5095" builtinId="8" hidden="1"/>
    <cellStyle name="Hyperlink" xfId="5097" builtinId="8" hidden="1"/>
    <cellStyle name="Hyperlink" xfId="5099" builtinId="8" hidden="1"/>
    <cellStyle name="Hyperlink" xfId="5101" builtinId="8" hidden="1"/>
    <cellStyle name="Hyperlink" xfId="5103" builtinId="8" hidden="1"/>
    <cellStyle name="Hyperlink" xfId="5105" builtinId="8" hidden="1"/>
    <cellStyle name="Hyperlink" xfId="5107" builtinId="8" hidden="1"/>
    <cellStyle name="Hyperlink" xfId="5109" builtinId="8" hidden="1"/>
    <cellStyle name="Hyperlink" xfId="5111" builtinId="8" hidden="1"/>
    <cellStyle name="Hyperlink" xfId="5113" builtinId="8" hidden="1"/>
    <cellStyle name="Hyperlink" xfId="5115" builtinId="8" hidden="1"/>
    <cellStyle name="Hyperlink" xfId="5117" builtinId="8" hidden="1"/>
    <cellStyle name="Hyperlink" xfId="5119" builtinId="8" hidden="1"/>
    <cellStyle name="Hyperlink" xfId="5121" builtinId="8" hidden="1"/>
    <cellStyle name="Hyperlink" xfId="5123" builtinId="8" hidden="1"/>
    <cellStyle name="Hyperlink" xfId="5125" builtinId="8" hidden="1"/>
    <cellStyle name="Hyperlink" xfId="5127" builtinId="8" hidden="1"/>
    <cellStyle name="Hyperlink" xfId="5129" builtinId="8" hidden="1"/>
    <cellStyle name="Hyperlink" xfId="5131" builtinId="8" hidden="1"/>
    <cellStyle name="Hyperlink" xfId="5133" builtinId="8" hidden="1"/>
    <cellStyle name="Hyperlink" xfId="5135" builtinId="8" hidden="1"/>
    <cellStyle name="Hyperlink" xfId="5137" builtinId="8" hidden="1"/>
    <cellStyle name="Hyperlink" xfId="5139" builtinId="8" hidden="1"/>
    <cellStyle name="Hyperlink" xfId="5141" builtinId="8" hidden="1"/>
    <cellStyle name="Hyperlink" xfId="5143" builtinId="8" hidden="1"/>
    <cellStyle name="Hyperlink" xfId="5145" builtinId="8" hidden="1"/>
    <cellStyle name="Hyperlink" xfId="5147" builtinId="8" hidden="1"/>
    <cellStyle name="Hyperlink" xfId="5149" builtinId="8" hidden="1"/>
    <cellStyle name="Hyperlink" xfId="5151" builtinId="8" hidden="1"/>
    <cellStyle name="Hyperlink" xfId="5153" builtinId="8" hidden="1"/>
    <cellStyle name="Hyperlink" xfId="5155" builtinId="8" hidden="1"/>
    <cellStyle name="Hyperlink" xfId="5157" builtinId="8" hidden="1"/>
    <cellStyle name="Hyperlink" xfId="5159" builtinId="8" hidden="1"/>
    <cellStyle name="Hyperlink" xfId="5161" builtinId="8" hidden="1"/>
    <cellStyle name="Hyperlink" xfId="5163" builtinId="8" hidden="1"/>
    <cellStyle name="Hyperlink" xfId="5165" builtinId="8" hidden="1"/>
    <cellStyle name="Hyperlink" xfId="5167" builtinId="8" hidden="1"/>
    <cellStyle name="Hyperlink" xfId="5169" builtinId="8" hidden="1"/>
    <cellStyle name="Hyperlink" xfId="5171" builtinId="8" hidden="1"/>
    <cellStyle name="Hyperlink" xfId="5173" builtinId="8" hidden="1"/>
    <cellStyle name="Hyperlink" xfId="5175" builtinId="8" hidden="1"/>
    <cellStyle name="Hyperlink" xfId="5177" builtinId="8" hidden="1"/>
    <cellStyle name="Hyperlink" xfId="5179" builtinId="8" hidden="1"/>
    <cellStyle name="Hyperlink" xfId="5181" builtinId="8" hidden="1"/>
    <cellStyle name="Hyperlink" xfId="5183" builtinId="8" hidden="1"/>
    <cellStyle name="Hyperlink" xfId="5185" builtinId="8" hidden="1"/>
    <cellStyle name="Hyperlink" xfId="5187" builtinId="8" hidden="1"/>
    <cellStyle name="Hyperlink" xfId="5189" builtinId="8" hidden="1"/>
    <cellStyle name="Hyperlink" xfId="5191" builtinId="8" hidden="1"/>
    <cellStyle name="Hyperlink" xfId="5193" builtinId="8" hidden="1"/>
    <cellStyle name="Hyperlink" xfId="5195" builtinId="8" hidden="1"/>
    <cellStyle name="Hyperlink" xfId="5197" builtinId="8" hidden="1"/>
    <cellStyle name="Hyperlink" xfId="5199" builtinId="8" hidden="1"/>
    <cellStyle name="Hyperlink" xfId="5201" builtinId="8" hidden="1"/>
    <cellStyle name="Hyperlink" xfId="5203" builtinId="8" hidden="1"/>
    <cellStyle name="Hyperlink" xfId="5205" builtinId="8" hidden="1"/>
    <cellStyle name="Hyperlink" xfId="5207" builtinId="8" hidden="1"/>
    <cellStyle name="Hyperlink" xfId="5209" builtinId="8" hidden="1"/>
    <cellStyle name="Hyperlink" xfId="5211" builtinId="8" hidden="1"/>
    <cellStyle name="Hyperlink" xfId="5213" builtinId="8" hidden="1"/>
    <cellStyle name="Hyperlink" xfId="5215" builtinId="8" hidden="1"/>
    <cellStyle name="Hyperlink" xfId="5217" builtinId="8" hidden="1"/>
    <cellStyle name="Hyperlink" xfId="5219" builtinId="8" hidden="1"/>
    <cellStyle name="Hyperlink" xfId="5221" builtinId="8" hidden="1"/>
    <cellStyle name="Hyperlink" xfId="5223" builtinId="8" hidden="1"/>
    <cellStyle name="Hyperlink" xfId="5225" builtinId="8" hidden="1"/>
    <cellStyle name="Hyperlink" xfId="5227" builtinId="8" hidden="1"/>
    <cellStyle name="Hyperlink" xfId="5229" builtinId="8" hidden="1"/>
    <cellStyle name="Hyperlink" xfId="5231" builtinId="8" hidden="1"/>
    <cellStyle name="Hyperlink" xfId="5233" builtinId="8" hidden="1"/>
    <cellStyle name="Hyperlink" xfId="5235" builtinId="8" hidden="1"/>
    <cellStyle name="Hyperlink" xfId="5237" builtinId="8" hidden="1"/>
    <cellStyle name="Hyperlink" xfId="5239" builtinId="8" hidden="1"/>
    <cellStyle name="Hyperlink" xfId="5241" builtinId="8" hidden="1"/>
    <cellStyle name="Hyperlink" xfId="5243" builtinId="8" hidden="1"/>
    <cellStyle name="Hyperlink" xfId="5245" builtinId="8" hidden="1"/>
    <cellStyle name="Hyperlink" xfId="5247" builtinId="8" hidden="1"/>
    <cellStyle name="Hyperlink" xfId="5249" builtinId="8" hidden="1"/>
    <cellStyle name="Hyperlink" xfId="5251" builtinId="8" hidden="1"/>
    <cellStyle name="Hyperlink" xfId="5253" builtinId="8" hidden="1"/>
    <cellStyle name="Hyperlink" xfId="5255" builtinId="8" hidden="1"/>
    <cellStyle name="Hyperlink" xfId="5257" builtinId="8" hidden="1"/>
    <cellStyle name="Hyperlink" xfId="5259" builtinId="8" hidden="1"/>
    <cellStyle name="Hyperlink" xfId="5261" builtinId="8" hidden="1"/>
    <cellStyle name="Hyperlink" xfId="5263" builtinId="8" hidden="1"/>
    <cellStyle name="Hyperlink" xfId="5265" builtinId="8" hidden="1"/>
    <cellStyle name="Hyperlink" xfId="5267" builtinId="8" hidden="1"/>
    <cellStyle name="Hyperlink" xfId="5269" builtinId="8" hidden="1"/>
    <cellStyle name="Hyperlink" xfId="5271" builtinId="8" hidden="1"/>
    <cellStyle name="Hyperlink" xfId="5273" builtinId="8" hidden="1"/>
    <cellStyle name="Hyperlink" xfId="5275" builtinId="8" hidden="1"/>
    <cellStyle name="Hyperlink" xfId="5277" builtinId="8" hidden="1"/>
    <cellStyle name="Hyperlink" xfId="5279" builtinId="8" hidden="1"/>
    <cellStyle name="Hyperlink" xfId="5281" builtinId="8" hidden="1"/>
    <cellStyle name="Hyperlink" xfId="5283" builtinId="8" hidden="1"/>
    <cellStyle name="Hyperlink" xfId="5285" builtinId="8" hidden="1"/>
    <cellStyle name="Hyperlink" xfId="5287" builtinId="8" hidden="1"/>
    <cellStyle name="Hyperlink" xfId="5289" builtinId="8" hidden="1"/>
    <cellStyle name="Hyperlink" xfId="5291" builtinId="8" hidden="1"/>
    <cellStyle name="Hyperlink" xfId="5293" builtinId="8" hidden="1"/>
    <cellStyle name="Hyperlink" xfId="5295" builtinId="8" hidden="1"/>
    <cellStyle name="Hyperlink" xfId="5297" builtinId="8" hidden="1"/>
    <cellStyle name="Hyperlink" xfId="5299" builtinId="8" hidden="1"/>
    <cellStyle name="Hyperlink" xfId="5301" builtinId="8" hidden="1"/>
    <cellStyle name="Hyperlink" xfId="5303" builtinId="8" hidden="1"/>
    <cellStyle name="Hyperlink" xfId="5305" builtinId="8" hidden="1"/>
    <cellStyle name="Hyperlink" xfId="5307" builtinId="8" hidden="1"/>
    <cellStyle name="Hyperlink" xfId="5309" builtinId="8" hidden="1"/>
    <cellStyle name="Hyperlink" xfId="5311" builtinId="8" hidden="1"/>
    <cellStyle name="Hyperlink" xfId="5313" builtinId="8" hidden="1"/>
    <cellStyle name="Hyperlink" xfId="5315" builtinId="8" hidden="1"/>
    <cellStyle name="Hyperlink" xfId="5317" builtinId="8" hidden="1"/>
    <cellStyle name="Hyperlink" xfId="5319" builtinId="8" hidden="1"/>
    <cellStyle name="Hyperlink" xfId="5321" builtinId="8" hidden="1"/>
    <cellStyle name="Hyperlink" xfId="5323" builtinId="8" hidden="1"/>
    <cellStyle name="Hyperlink" xfId="5325" builtinId="8" hidden="1"/>
    <cellStyle name="Hyperlink" xfId="5327" builtinId="8" hidden="1"/>
    <cellStyle name="Hyperlink" xfId="5329" builtinId="8" hidden="1"/>
    <cellStyle name="Hyperlink" xfId="5331" builtinId="8" hidden="1"/>
    <cellStyle name="Hyperlink" xfId="5333" builtinId="8" hidden="1"/>
    <cellStyle name="Hyperlink" xfId="5335" builtinId="8" hidden="1"/>
    <cellStyle name="Hyperlink" xfId="5337" builtinId="8" hidden="1"/>
    <cellStyle name="Hyperlink" xfId="5339" builtinId="8" hidden="1"/>
    <cellStyle name="Hyperlink" xfId="5341" builtinId="8" hidden="1"/>
    <cellStyle name="Hyperlink" xfId="5343" builtinId="8" hidden="1"/>
    <cellStyle name="Hyperlink" xfId="5345" builtinId="8" hidden="1"/>
    <cellStyle name="Hyperlink" xfId="5347" builtinId="8" hidden="1"/>
    <cellStyle name="Hyperlink" xfId="5349" builtinId="8" hidden="1"/>
    <cellStyle name="Hyperlink" xfId="5351" builtinId="8" hidden="1"/>
    <cellStyle name="Hyperlink" xfId="5353" builtinId="8" hidden="1"/>
    <cellStyle name="Hyperlink" xfId="5355" builtinId="8" hidden="1"/>
    <cellStyle name="Hyperlink" xfId="5357" builtinId="8" hidden="1"/>
    <cellStyle name="Hyperlink" xfId="5359" builtinId="8" hidden="1"/>
    <cellStyle name="Hyperlink" xfId="5361" builtinId="8" hidden="1"/>
    <cellStyle name="Hyperlink" xfId="5363" builtinId="8" hidden="1"/>
    <cellStyle name="Hyperlink" xfId="5365" builtinId="8" hidden="1"/>
    <cellStyle name="Hyperlink" xfId="5367" builtinId="8" hidden="1"/>
    <cellStyle name="Hyperlink" xfId="5369" builtinId="8" hidden="1"/>
    <cellStyle name="Hyperlink" xfId="5371" builtinId="8" hidden="1"/>
    <cellStyle name="Hyperlink" xfId="5373" builtinId="8" hidden="1"/>
    <cellStyle name="Hyperlink" xfId="5375" builtinId="8" hidden="1"/>
    <cellStyle name="Hyperlink" xfId="5377" builtinId="8" hidden="1"/>
    <cellStyle name="Hyperlink" xfId="5379" builtinId="8" hidden="1"/>
    <cellStyle name="Hyperlink" xfId="5381" builtinId="8" hidden="1"/>
    <cellStyle name="Hyperlink" xfId="5383" builtinId="8" hidden="1"/>
    <cellStyle name="Hyperlink" xfId="5385" builtinId="8" hidden="1"/>
    <cellStyle name="Hyperlink" xfId="5387" builtinId="8" hidden="1"/>
    <cellStyle name="Hyperlink" xfId="5389" builtinId="8" hidden="1"/>
    <cellStyle name="Hyperlink" xfId="5391" builtinId="8" hidden="1"/>
    <cellStyle name="Hyperlink" xfId="5393" builtinId="8" hidden="1"/>
    <cellStyle name="Hyperlink" xfId="5395" builtinId="8" hidden="1"/>
    <cellStyle name="Hyperlink" xfId="5397" builtinId="8" hidden="1"/>
    <cellStyle name="Hyperlink" xfId="5399" builtinId="8" hidden="1"/>
    <cellStyle name="Hyperlink" xfId="5401" builtinId="8" hidden="1"/>
    <cellStyle name="Hyperlink" xfId="5403" builtinId="8" hidden="1"/>
    <cellStyle name="Hyperlink" xfId="5405" builtinId="8" hidden="1"/>
    <cellStyle name="Hyperlink" xfId="5407" builtinId="8" hidden="1"/>
    <cellStyle name="Hyperlink" xfId="5409" builtinId="8" hidden="1"/>
    <cellStyle name="Hyperlink" xfId="5411" builtinId="8" hidden="1"/>
    <cellStyle name="Hyperlink" xfId="5413" builtinId="8" hidden="1"/>
    <cellStyle name="Hyperlink" xfId="5415" builtinId="8" hidden="1"/>
    <cellStyle name="Hyperlink" xfId="5417" builtinId="8" hidden="1"/>
    <cellStyle name="Hyperlink" xfId="5419" builtinId="8" hidden="1"/>
    <cellStyle name="Hyperlink" xfId="5421" builtinId="8" hidden="1"/>
    <cellStyle name="Hyperlink" xfId="5423" builtinId="8" hidden="1"/>
    <cellStyle name="Hyperlink" xfId="5425" builtinId="8" hidden="1"/>
    <cellStyle name="Hyperlink" xfId="5427" builtinId="8" hidden="1"/>
    <cellStyle name="Hyperlink" xfId="5429" builtinId="8" hidden="1"/>
    <cellStyle name="Hyperlink" xfId="5431" builtinId="8" hidden="1"/>
    <cellStyle name="Hyperlink" xfId="5433" builtinId="8" hidden="1"/>
    <cellStyle name="Hyperlink" xfId="5435" builtinId="8" hidden="1"/>
    <cellStyle name="Hyperlink" xfId="5437" builtinId="8" hidden="1"/>
    <cellStyle name="Hyperlink" xfId="5439" builtinId="8" hidden="1"/>
    <cellStyle name="Hyperlink" xfId="5441" builtinId="8" hidden="1"/>
    <cellStyle name="Hyperlink" xfId="5443" builtinId="8" hidden="1"/>
    <cellStyle name="Hyperlink" xfId="5445" builtinId="8" hidden="1"/>
    <cellStyle name="Hyperlink" xfId="5447" builtinId="8" hidden="1"/>
    <cellStyle name="Hyperlink" xfId="5449" builtinId="8" hidden="1"/>
    <cellStyle name="Hyperlink" xfId="5451" builtinId="8" hidden="1"/>
    <cellStyle name="Hyperlink" xfId="5453" builtinId="8" hidden="1"/>
    <cellStyle name="Hyperlink" xfId="5455" builtinId="8" hidden="1"/>
    <cellStyle name="Hyperlink" xfId="5457" builtinId="8" hidden="1"/>
    <cellStyle name="Hyperlink" xfId="5459" builtinId="8" hidden="1"/>
    <cellStyle name="Hyperlink" xfId="5461" builtinId="8" hidden="1"/>
    <cellStyle name="Hyperlink" xfId="5463" builtinId="8" hidden="1"/>
    <cellStyle name="Hyperlink" xfId="5465" builtinId="8" hidden="1"/>
    <cellStyle name="Hyperlink" xfId="5467" builtinId="8" hidden="1"/>
    <cellStyle name="Hyperlink" xfId="5469" builtinId="8" hidden="1"/>
    <cellStyle name="Hyperlink" xfId="5471" builtinId="8" hidden="1"/>
    <cellStyle name="Hyperlink" xfId="5473" builtinId="8" hidden="1"/>
    <cellStyle name="Hyperlink" xfId="5475" builtinId="8" hidden="1"/>
    <cellStyle name="Hyperlink" xfId="5477" builtinId="8" hidden="1"/>
    <cellStyle name="Hyperlink" xfId="5479" builtinId="8" hidden="1"/>
    <cellStyle name="Hyperlink" xfId="5481" builtinId="8" hidden="1"/>
    <cellStyle name="Hyperlink" xfId="5483" builtinId="8" hidden="1"/>
    <cellStyle name="Hyperlink" xfId="5485" builtinId="8" hidden="1"/>
    <cellStyle name="Hyperlink" xfId="5487" builtinId="8" hidden="1"/>
    <cellStyle name="Hyperlink" xfId="5489" builtinId="8" hidden="1"/>
    <cellStyle name="Hyperlink" xfId="5491" builtinId="8" hidden="1"/>
    <cellStyle name="Hyperlink" xfId="5493" builtinId="8" hidden="1"/>
    <cellStyle name="Hyperlink" xfId="5495" builtinId="8" hidden="1"/>
    <cellStyle name="Hyperlink" xfId="5497" builtinId="8" hidden="1"/>
    <cellStyle name="Hyperlink" xfId="5499" builtinId="8" hidden="1"/>
    <cellStyle name="Hyperlink" xfId="5501" builtinId="8" hidden="1"/>
    <cellStyle name="Hyperlink" xfId="5503" builtinId="8" hidden="1"/>
    <cellStyle name="Hyperlink" xfId="5505" builtinId="8" hidden="1"/>
    <cellStyle name="Hyperlink" xfId="5507" builtinId="8" hidden="1"/>
    <cellStyle name="Hyperlink" xfId="5509" builtinId="8" hidden="1"/>
    <cellStyle name="Hyperlink" xfId="5511" builtinId="8" hidden="1"/>
    <cellStyle name="Hyperlink" xfId="5513" builtinId="8" hidden="1"/>
    <cellStyle name="Hyperlink" xfId="5515" builtinId="8" hidden="1"/>
    <cellStyle name="Hyperlink" xfId="5517" builtinId="8" hidden="1"/>
    <cellStyle name="Hyperlink" xfId="5519" builtinId="8" hidden="1"/>
    <cellStyle name="Hyperlink" xfId="5521" builtinId="8" hidden="1"/>
    <cellStyle name="Hyperlink" xfId="5523" builtinId="8" hidden="1"/>
    <cellStyle name="Hyperlink" xfId="5525" builtinId="8" hidden="1"/>
    <cellStyle name="Hyperlink" xfId="5527" builtinId="8" hidden="1"/>
    <cellStyle name="Hyperlink" xfId="5529" builtinId="8" hidden="1"/>
    <cellStyle name="Hyperlink" xfId="5531" builtinId="8" hidden="1"/>
    <cellStyle name="Hyperlink" xfId="5533" builtinId="8" hidden="1"/>
    <cellStyle name="Hyperlink" xfId="5535" builtinId="8" hidden="1"/>
    <cellStyle name="Hyperlink" xfId="5537" builtinId="8" hidden="1"/>
    <cellStyle name="Hyperlink" xfId="5539" builtinId="8" hidden="1"/>
    <cellStyle name="Hyperlink" xfId="5541" builtinId="8" hidden="1"/>
    <cellStyle name="Hyperlink" xfId="5543" builtinId="8" hidden="1"/>
    <cellStyle name="Hyperlink" xfId="5545" builtinId="8" hidden="1"/>
    <cellStyle name="Hyperlink" xfId="5547" builtinId="8" hidden="1"/>
    <cellStyle name="Hyperlink" xfId="5549" builtinId="8" hidden="1"/>
    <cellStyle name="Hyperlink" xfId="5551" builtinId="8" hidden="1"/>
    <cellStyle name="Hyperlink" xfId="5553" builtinId="8" hidden="1"/>
    <cellStyle name="Hyperlink" xfId="5555" builtinId="8" hidden="1"/>
    <cellStyle name="Hyperlink" xfId="5557" builtinId="8" hidden="1"/>
    <cellStyle name="Hyperlink" xfId="5559" builtinId="8" hidden="1"/>
    <cellStyle name="Hyperlink" xfId="5561" builtinId="8" hidden="1"/>
    <cellStyle name="Hyperlink" xfId="5563" builtinId="8" hidden="1"/>
    <cellStyle name="Hyperlink" xfId="5565" builtinId="8" hidden="1"/>
    <cellStyle name="Hyperlink" xfId="5567" builtinId="8" hidden="1"/>
    <cellStyle name="Hyperlink" xfId="5569" builtinId="8" hidden="1"/>
    <cellStyle name="Hyperlink" xfId="5571" builtinId="8" hidden="1"/>
    <cellStyle name="Hyperlink" xfId="5573" builtinId="8" hidden="1"/>
    <cellStyle name="Hyperlink" xfId="5575" builtinId="8" hidden="1"/>
    <cellStyle name="Hyperlink" xfId="5577" builtinId="8" hidden="1"/>
    <cellStyle name="Hyperlink" xfId="5579" builtinId="8" hidden="1"/>
    <cellStyle name="Hyperlink" xfId="5581" builtinId="8" hidden="1"/>
    <cellStyle name="Hyperlink" xfId="5583" builtinId="8" hidden="1"/>
    <cellStyle name="Hyperlink" xfId="5585" builtinId="8" hidden="1"/>
    <cellStyle name="Hyperlink" xfId="5587" builtinId="8" hidden="1"/>
    <cellStyle name="Hyperlink" xfId="5589" builtinId="8" hidden="1"/>
    <cellStyle name="Hyperlink" xfId="5591" builtinId="8" hidden="1"/>
    <cellStyle name="Hyperlink" xfId="5593" builtinId="8" hidden="1"/>
    <cellStyle name="Hyperlink" xfId="5595" builtinId="8" hidden="1"/>
    <cellStyle name="Hyperlink" xfId="5597" builtinId="8" hidden="1"/>
    <cellStyle name="Hyperlink" xfId="5599" builtinId="8" hidden="1"/>
    <cellStyle name="Hyperlink" xfId="5601" builtinId="8" hidden="1"/>
    <cellStyle name="Hyperlink" xfId="5603" builtinId="8" hidden="1"/>
    <cellStyle name="Hyperlink" xfId="5605" builtinId="8" hidden="1"/>
    <cellStyle name="Hyperlink" xfId="5607" builtinId="8" hidden="1"/>
    <cellStyle name="Hyperlink" xfId="5609" builtinId="8" hidden="1"/>
    <cellStyle name="Hyperlink" xfId="5611" builtinId="8" hidden="1"/>
    <cellStyle name="Hyperlink" xfId="5613" builtinId="8" hidden="1"/>
    <cellStyle name="Hyperlink" xfId="5615" builtinId="8" hidden="1"/>
    <cellStyle name="Hyperlink" xfId="5617" builtinId="8" hidden="1"/>
    <cellStyle name="Hyperlink" xfId="5619" builtinId="8" hidden="1"/>
    <cellStyle name="Hyperlink" xfId="5621" builtinId="8" hidden="1"/>
    <cellStyle name="Hyperlink" xfId="5623" builtinId="8" hidden="1"/>
    <cellStyle name="Hyperlink" xfId="5625" builtinId="8" hidden="1"/>
    <cellStyle name="Hyperlink" xfId="5627" builtinId="8" hidden="1"/>
    <cellStyle name="Hyperlink" xfId="5629" builtinId="8" hidden="1"/>
    <cellStyle name="Hyperlink" xfId="5631" builtinId="8" hidden="1"/>
    <cellStyle name="Hyperlink" xfId="5633" builtinId="8" hidden="1"/>
    <cellStyle name="Hyperlink" xfId="5635" builtinId="8" hidden="1"/>
    <cellStyle name="Hyperlink" xfId="5637" builtinId="8" hidden="1"/>
    <cellStyle name="Hyperlink" xfId="5639" builtinId="8" hidden="1"/>
    <cellStyle name="Hyperlink" xfId="5641" builtinId="8" hidden="1"/>
    <cellStyle name="Hyperlink" xfId="5643" builtinId="8" hidden="1"/>
    <cellStyle name="Hyperlink" xfId="5645" builtinId="8" hidden="1"/>
    <cellStyle name="Hyperlink" xfId="5647" builtinId="8" hidden="1"/>
    <cellStyle name="Hyperlink" xfId="5649" builtinId="8" hidden="1"/>
    <cellStyle name="Hyperlink" xfId="5651" builtinId="8" hidden="1"/>
    <cellStyle name="Hyperlink" xfId="5653" builtinId="8" hidden="1"/>
    <cellStyle name="Hyperlink" xfId="5655" builtinId="8" hidden="1"/>
    <cellStyle name="Hyperlink" xfId="5657" builtinId="8" hidden="1"/>
    <cellStyle name="Hyperlink" xfId="5659" builtinId="8" hidden="1"/>
    <cellStyle name="Hyperlink" xfId="5661" builtinId="8" hidden="1"/>
    <cellStyle name="Hyperlink" xfId="5663" builtinId="8" hidden="1"/>
    <cellStyle name="Hyperlink" xfId="5665" builtinId="8" hidden="1"/>
    <cellStyle name="Hyperlink" xfId="5667" builtinId="8" hidden="1"/>
    <cellStyle name="Hyperlink" xfId="5669" builtinId="8" hidden="1"/>
    <cellStyle name="Hyperlink" xfId="5671" builtinId="8" hidden="1"/>
    <cellStyle name="Hyperlink" xfId="5673" builtinId="8" hidden="1"/>
    <cellStyle name="Hyperlink" xfId="5675" builtinId="8" hidden="1"/>
    <cellStyle name="Hyperlink" xfId="5677" builtinId="8" hidden="1"/>
    <cellStyle name="Hyperlink" xfId="5679" builtinId="8" hidden="1"/>
    <cellStyle name="Hyperlink" xfId="5681" builtinId="8" hidden="1"/>
    <cellStyle name="Hyperlink" xfId="5683" builtinId="8" hidden="1"/>
    <cellStyle name="Hyperlink" xfId="5685" builtinId="8" hidden="1"/>
    <cellStyle name="Hyperlink" xfId="5687" builtinId="8" hidden="1"/>
    <cellStyle name="Hyperlink" xfId="5689" builtinId="8" hidden="1"/>
    <cellStyle name="Hyperlink" xfId="5691" builtinId="8" hidden="1"/>
    <cellStyle name="Hyperlink" xfId="5693" builtinId="8" hidden="1"/>
    <cellStyle name="Hyperlink" xfId="5695" builtinId="8" hidden="1"/>
    <cellStyle name="Hyperlink" xfId="5697" builtinId="8" hidden="1"/>
    <cellStyle name="Hyperlink" xfId="5699" builtinId="8" hidden="1"/>
    <cellStyle name="Hyperlink" xfId="5701" builtinId="8" hidden="1"/>
    <cellStyle name="Hyperlink" xfId="5703" builtinId="8" hidden="1"/>
    <cellStyle name="Hyperlink" xfId="5705" builtinId="8" hidden="1"/>
    <cellStyle name="Hyperlink" xfId="5707" builtinId="8" hidden="1"/>
    <cellStyle name="Hyperlink" xfId="5709" builtinId="8" hidden="1"/>
    <cellStyle name="Hyperlink" xfId="5711" builtinId="8" hidden="1"/>
    <cellStyle name="Hyperlink" xfId="5713" builtinId="8" hidden="1"/>
    <cellStyle name="Hyperlink" xfId="5715" builtinId="8" hidden="1"/>
    <cellStyle name="Hyperlink" xfId="5717" builtinId="8" hidden="1"/>
    <cellStyle name="Hyperlink" xfId="5719" builtinId="8" hidden="1"/>
    <cellStyle name="Hyperlink" xfId="5721" builtinId="8" hidden="1"/>
    <cellStyle name="Hyperlink" xfId="5723" builtinId="8" hidden="1"/>
    <cellStyle name="Hyperlink" xfId="5725" builtinId="8" hidden="1"/>
    <cellStyle name="Hyperlink" xfId="5727" builtinId="8" hidden="1"/>
    <cellStyle name="Hyperlink" xfId="5729" builtinId="8" hidden="1"/>
    <cellStyle name="Hyperlink" xfId="5731" builtinId="8" hidden="1"/>
    <cellStyle name="Hyperlink" xfId="5733" builtinId="8" hidden="1"/>
    <cellStyle name="Hyperlink" xfId="5735" builtinId="8" hidden="1"/>
    <cellStyle name="Hyperlink" xfId="5737" builtinId="8" hidden="1"/>
    <cellStyle name="Hyperlink" xfId="5739" builtinId="8" hidden="1"/>
    <cellStyle name="Hyperlink" xfId="5741" builtinId="8" hidden="1"/>
    <cellStyle name="Hyperlink" xfId="5743" builtinId="8" hidden="1"/>
    <cellStyle name="Hyperlink" xfId="5745" builtinId="8" hidden="1"/>
    <cellStyle name="Hyperlink" xfId="5747" builtinId="8" hidden="1"/>
    <cellStyle name="Hyperlink" xfId="5749" builtinId="8" hidden="1"/>
    <cellStyle name="Hyperlink" xfId="5751" builtinId="8" hidden="1"/>
    <cellStyle name="Hyperlink" xfId="5753" builtinId="8" hidden="1"/>
    <cellStyle name="Hyperlink" xfId="5755" builtinId="8" hidden="1"/>
    <cellStyle name="Hyperlink" xfId="5757" builtinId="8" hidden="1"/>
    <cellStyle name="Hyperlink" xfId="5759" builtinId="8" hidden="1"/>
    <cellStyle name="Hyperlink" xfId="5761" builtinId="8" hidden="1"/>
    <cellStyle name="Hyperlink" xfId="5763" builtinId="8" hidden="1"/>
    <cellStyle name="Hyperlink" xfId="5765" builtinId="8" hidden="1"/>
    <cellStyle name="Hyperlink" xfId="5767" builtinId="8" hidden="1"/>
    <cellStyle name="Hyperlink" xfId="5769" builtinId="8" hidden="1"/>
    <cellStyle name="Hyperlink" xfId="5771" builtinId="8" hidden="1"/>
    <cellStyle name="Hyperlink" xfId="5773" builtinId="8" hidden="1"/>
    <cellStyle name="Hyperlink" xfId="5775" builtinId="8" hidden="1"/>
    <cellStyle name="Hyperlink" xfId="5777" builtinId="8" hidden="1"/>
    <cellStyle name="Hyperlink" xfId="5779" builtinId="8" hidden="1"/>
    <cellStyle name="Hyperlink" xfId="5781" builtinId="8" hidden="1"/>
    <cellStyle name="Hyperlink" xfId="5783" builtinId="8" hidden="1"/>
    <cellStyle name="Hyperlink" xfId="5785" builtinId="8" hidden="1"/>
    <cellStyle name="Hyperlink" xfId="5787" builtinId="8" hidden="1"/>
    <cellStyle name="Hyperlink" xfId="5789" builtinId="8" hidden="1"/>
    <cellStyle name="Hyperlink" xfId="5791" builtinId="8" hidden="1"/>
    <cellStyle name="Hyperlink" xfId="5793" builtinId="8" hidden="1"/>
    <cellStyle name="Hyperlink" xfId="5795" builtinId="8" hidden="1"/>
    <cellStyle name="Hyperlink" xfId="5797" builtinId="8" hidden="1"/>
    <cellStyle name="Hyperlink" xfId="5799" builtinId="8" hidden="1"/>
    <cellStyle name="Hyperlink" xfId="5801" builtinId="8" hidden="1"/>
    <cellStyle name="Hyperlink" xfId="5803" builtinId="8" hidden="1"/>
    <cellStyle name="Hyperlink" xfId="5805" builtinId="8" hidden="1"/>
    <cellStyle name="Hyperlink" xfId="5807" builtinId="8" hidden="1"/>
    <cellStyle name="Hyperlink" xfId="5809" builtinId="8" hidden="1"/>
    <cellStyle name="Hyperlink" xfId="5811" builtinId="8" hidden="1"/>
    <cellStyle name="Hyperlink" xfId="5813" builtinId="8" hidden="1"/>
    <cellStyle name="Hyperlink" xfId="5815" builtinId="8" hidden="1"/>
    <cellStyle name="Hyperlink" xfId="5817" builtinId="8" hidden="1"/>
    <cellStyle name="Hyperlink" xfId="5819" builtinId="8" hidden="1"/>
    <cellStyle name="Hyperlink" xfId="5821" builtinId="8" hidden="1"/>
    <cellStyle name="Hyperlink" xfId="5823" builtinId="8" hidden="1"/>
    <cellStyle name="Hyperlink" xfId="5825" builtinId="8" hidden="1"/>
    <cellStyle name="Hyperlink" xfId="5827" builtinId="8" hidden="1"/>
    <cellStyle name="Hyperlink" xfId="5829" builtinId="8" hidden="1"/>
    <cellStyle name="Hyperlink" xfId="5831" builtinId="8" hidden="1"/>
    <cellStyle name="Hyperlink" xfId="5833" builtinId="8" hidden="1"/>
    <cellStyle name="Hyperlink" xfId="5835" builtinId="8" hidden="1"/>
    <cellStyle name="Hyperlink" xfId="5837" builtinId="8" hidden="1"/>
    <cellStyle name="Hyperlink" xfId="5839" builtinId="8" hidden="1"/>
    <cellStyle name="Hyperlink" xfId="5841" builtinId="8" hidden="1"/>
    <cellStyle name="Hyperlink" xfId="5843" builtinId="8" hidden="1"/>
    <cellStyle name="Hyperlink" xfId="5845" builtinId="8" hidden="1"/>
    <cellStyle name="Hyperlink" xfId="5847" builtinId="8" hidden="1"/>
    <cellStyle name="Hyperlink" xfId="5849" builtinId="8" hidden="1"/>
    <cellStyle name="Hyperlink" xfId="5851" builtinId="8" hidden="1"/>
    <cellStyle name="Hyperlink" xfId="5853" builtinId="8" hidden="1"/>
    <cellStyle name="Hyperlink" xfId="5855" builtinId="8" hidden="1"/>
    <cellStyle name="Hyperlink" xfId="5857" builtinId="8" hidden="1"/>
    <cellStyle name="Hyperlink" xfId="5859" builtinId="8" hidden="1"/>
    <cellStyle name="Hyperlink" xfId="5861" builtinId="8" hidden="1"/>
    <cellStyle name="Hyperlink" xfId="5863" builtinId="8" hidden="1"/>
    <cellStyle name="Hyperlink" xfId="5865" builtinId="8" hidden="1"/>
    <cellStyle name="Hyperlink" xfId="5867" builtinId="8" hidden="1"/>
    <cellStyle name="Hyperlink" xfId="5869" builtinId="8" hidden="1"/>
    <cellStyle name="Hyperlink" xfId="5871" builtinId="8" hidden="1"/>
    <cellStyle name="Hyperlink" xfId="5873" builtinId="8" hidden="1"/>
    <cellStyle name="Hyperlink" xfId="5875" builtinId="8" hidden="1"/>
    <cellStyle name="Hyperlink" xfId="5877" builtinId="8" hidden="1"/>
    <cellStyle name="Hyperlink" xfId="5879" builtinId="8" hidden="1"/>
    <cellStyle name="Hyperlink" xfId="5881" builtinId="8" hidden="1"/>
    <cellStyle name="Hyperlink" xfId="5883" builtinId="8" hidden="1"/>
    <cellStyle name="Hyperlink" xfId="5885" builtinId="8" hidden="1"/>
    <cellStyle name="Hyperlink" xfId="5887" builtinId="8" hidden="1"/>
    <cellStyle name="Hyperlink" xfId="5889" builtinId="8" hidden="1"/>
    <cellStyle name="Hyperlink" xfId="5891" builtinId="8" hidden="1"/>
    <cellStyle name="Hyperlink" xfId="5893" builtinId="8" hidden="1"/>
    <cellStyle name="Hyperlink" xfId="5895" builtinId="8" hidden="1"/>
    <cellStyle name="Hyperlink" xfId="5897" builtinId="8" hidden="1"/>
    <cellStyle name="Hyperlink" xfId="5899" builtinId="8" hidden="1"/>
    <cellStyle name="Hyperlink" xfId="5901" builtinId="8" hidden="1"/>
    <cellStyle name="Hyperlink" xfId="5903" builtinId="8" hidden="1"/>
    <cellStyle name="Hyperlink" xfId="5905" builtinId="8" hidden="1"/>
    <cellStyle name="Hyperlink" xfId="5907" builtinId="8" hidden="1"/>
    <cellStyle name="Hyperlink" xfId="5909" builtinId="8" hidden="1"/>
    <cellStyle name="Hyperlink" xfId="5911" builtinId="8" hidden="1"/>
    <cellStyle name="Hyperlink" xfId="5913" builtinId="8" hidden="1"/>
    <cellStyle name="Hyperlink" xfId="5915" builtinId="8" hidden="1"/>
    <cellStyle name="Hyperlink" xfId="5917" builtinId="8" hidden="1"/>
    <cellStyle name="Hyperlink" xfId="5919" builtinId="8" hidden="1"/>
    <cellStyle name="Hyperlink" xfId="5921" builtinId="8" hidden="1"/>
    <cellStyle name="Hyperlink" xfId="5923" builtinId="8" hidden="1"/>
    <cellStyle name="Hyperlink" xfId="5925" builtinId="8" hidden="1"/>
    <cellStyle name="Hyperlink" xfId="5927" builtinId="8" hidden="1"/>
    <cellStyle name="Hyperlink" xfId="5929" builtinId="8" hidden="1"/>
    <cellStyle name="Hyperlink" xfId="5931" builtinId="8" hidden="1"/>
    <cellStyle name="Hyperlink" xfId="5933" builtinId="8" hidden="1"/>
    <cellStyle name="Hyperlink" xfId="5935" builtinId="8" hidden="1"/>
    <cellStyle name="Hyperlink" xfId="5937" builtinId="8" hidden="1"/>
    <cellStyle name="Hyperlink" xfId="5939" builtinId="8" hidden="1"/>
    <cellStyle name="Hyperlink" xfId="5941" builtinId="8" hidden="1"/>
    <cellStyle name="Hyperlink" xfId="5943" builtinId="8" hidden="1"/>
    <cellStyle name="Hyperlink" xfId="5945" builtinId="8" hidden="1"/>
    <cellStyle name="Hyperlink" xfId="5947" builtinId="8" hidden="1"/>
    <cellStyle name="Hyperlink" xfId="5949" builtinId="8" hidden="1"/>
    <cellStyle name="Hyperlink" xfId="5951" builtinId="8" hidden="1"/>
    <cellStyle name="Hyperlink" xfId="5953" builtinId="8" hidden="1"/>
    <cellStyle name="Hyperlink" xfId="5955" builtinId="8" hidden="1"/>
    <cellStyle name="Hyperlink" xfId="5957" builtinId="8" hidden="1"/>
    <cellStyle name="Hyperlink" xfId="5959" builtinId="8" hidden="1"/>
    <cellStyle name="Hyperlink" xfId="5961" builtinId="8" hidden="1"/>
    <cellStyle name="Hyperlink" xfId="5963" builtinId="8" hidden="1"/>
    <cellStyle name="Hyperlink" xfId="5965" builtinId="8" hidden="1"/>
    <cellStyle name="Hyperlink" xfId="5967" builtinId="8" hidden="1"/>
    <cellStyle name="Hyperlink" xfId="5969" builtinId="8" hidden="1"/>
    <cellStyle name="Hyperlink" xfId="5971" builtinId="8" hidden="1"/>
    <cellStyle name="Hyperlink" xfId="5973" builtinId="8" hidden="1"/>
    <cellStyle name="Hyperlink" xfId="5975" builtinId="8" hidden="1"/>
    <cellStyle name="Hyperlink" xfId="5977" builtinId="8" hidden="1"/>
    <cellStyle name="Hyperlink" xfId="5979" builtinId="8" hidden="1"/>
    <cellStyle name="Hyperlink" xfId="5981" builtinId="8" hidden="1"/>
    <cellStyle name="Hyperlink" xfId="5983" builtinId="8" hidden="1"/>
    <cellStyle name="Hyperlink" xfId="5985" builtinId="8" hidden="1"/>
    <cellStyle name="Hyperlink" xfId="5987" builtinId="8" hidden="1"/>
    <cellStyle name="Hyperlink" xfId="5989" builtinId="8" hidden="1"/>
    <cellStyle name="Hyperlink" xfId="5991" builtinId="8" hidden="1"/>
    <cellStyle name="Hyperlink" xfId="5993" builtinId="8" hidden="1"/>
    <cellStyle name="Hyperlink" xfId="5995" builtinId="8" hidden="1"/>
    <cellStyle name="Hyperlink" xfId="5997" builtinId="8" hidden="1"/>
    <cellStyle name="Hyperlink" xfId="5999" builtinId="8" hidden="1"/>
    <cellStyle name="Hyperlink" xfId="6001" builtinId="8" hidden="1"/>
    <cellStyle name="Hyperlink" xfId="6003" builtinId="8" hidden="1"/>
    <cellStyle name="Hyperlink" xfId="6005" builtinId="8" hidden="1"/>
    <cellStyle name="Hyperlink" xfId="6007" builtinId="8" hidden="1"/>
    <cellStyle name="Hyperlink" xfId="6009" builtinId="8" hidden="1"/>
    <cellStyle name="Hyperlink" xfId="6011" builtinId="8" hidden="1"/>
    <cellStyle name="Hyperlink" xfId="6013" builtinId="8" hidden="1"/>
    <cellStyle name="Hyperlink" xfId="6015" builtinId="8" hidden="1"/>
    <cellStyle name="Hyperlink" xfId="6017" builtinId="8" hidden="1"/>
    <cellStyle name="Hyperlink" xfId="6019" builtinId="8" hidden="1"/>
    <cellStyle name="Hyperlink" xfId="6021" builtinId="8" hidden="1"/>
    <cellStyle name="Hyperlink" xfId="6023" builtinId="8" hidden="1"/>
    <cellStyle name="Hyperlink" xfId="6025" builtinId="8" hidden="1"/>
    <cellStyle name="Hyperlink" xfId="6027" builtinId="8" hidden="1"/>
    <cellStyle name="Hyperlink" xfId="6029" builtinId="8" hidden="1"/>
    <cellStyle name="Hyperlink" xfId="6031" builtinId="8" hidden="1"/>
    <cellStyle name="Hyperlink" xfId="6033" builtinId="8" hidden="1"/>
    <cellStyle name="Hyperlink" xfId="6035" builtinId="8" hidden="1"/>
    <cellStyle name="Hyperlink" xfId="6037" builtinId="8" hidden="1"/>
    <cellStyle name="Hyperlink" xfId="6039" builtinId="8" hidden="1"/>
    <cellStyle name="Hyperlink" xfId="6041" builtinId="8" hidden="1"/>
    <cellStyle name="Hyperlink" xfId="6043" builtinId="8" hidden="1"/>
    <cellStyle name="Hyperlink" xfId="6045" builtinId="8" hidden="1"/>
    <cellStyle name="Hyperlink" xfId="6047" builtinId="8" hidden="1"/>
    <cellStyle name="Hyperlink" xfId="6049" builtinId="8" hidden="1"/>
    <cellStyle name="Hyperlink" xfId="6051" builtinId="8" hidden="1"/>
    <cellStyle name="Hyperlink" xfId="6053" builtinId="8" hidden="1"/>
    <cellStyle name="Hyperlink" xfId="6055" builtinId="8" hidden="1"/>
    <cellStyle name="Hyperlink" xfId="6057" builtinId="8" hidden="1"/>
    <cellStyle name="Hyperlink" xfId="6059" builtinId="8" hidden="1"/>
    <cellStyle name="Hyperlink" xfId="6061" builtinId="8" hidden="1"/>
    <cellStyle name="Hyperlink" xfId="6063" builtinId="8" hidden="1"/>
    <cellStyle name="Hyperlink" xfId="6065" builtinId="8" hidden="1"/>
    <cellStyle name="Hyperlink" xfId="6067" builtinId="8" hidden="1"/>
    <cellStyle name="Hyperlink" xfId="6069" builtinId="8" hidden="1"/>
    <cellStyle name="Hyperlink" xfId="6071" builtinId="8" hidden="1"/>
    <cellStyle name="Hyperlink" xfId="6073" builtinId="8" hidden="1"/>
    <cellStyle name="Hyperlink" xfId="6075" builtinId="8" hidden="1"/>
    <cellStyle name="Hyperlink" xfId="6077" builtinId="8" hidden="1"/>
    <cellStyle name="Hyperlink" xfId="6079" builtinId="8" hidden="1"/>
    <cellStyle name="Hyperlink" xfId="6081" builtinId="8" hidden="1"/>
    <cellStyle name="Hyperlink" xfId="6083" builtinId="8" hidden="1"/>
    <cellStyle name="Hyperlink" xfId="6085" builtinId="8" hidden="1"/>
    <cellStyle name="Hyperlink" xfId="6087" builtinId="8" hidden="1"/>
    <cellStyle name="Hyperlink" xfId="6089" builtinId="8" hidden="1"/>
    <cellStyle name="Hyperlink" xfId="6091" builtinId="8" hidden="1"/>
    <cellStyle name="Hyperlink" xfId="6093" builtinId="8" hidden="1"/>
    <cellStyle name="Hyperlink" xfId="6095" builtinId="8" hidden="1"/>
    <cellStyle name="Hyperlink" xfId="6097" builtinId="8" hidden="1"/>
    <cellStyle name="Hyperlink" xfId="6099" builtinId="8" hidden="1"/>
    <cellStyle name="Hyperlink" xfId="6101" builtinId="8" hidden="1"/>
    <cellStyle name="Hyperlink" xfId="6103" builtinId="8" hidden="1"/>
    <cellStyle name="Hyperlink" xfId="6105" builtinId="8" hidden="1"/>
    <cellStyle name="Hyperlink" xfId="6107" builtinId="8" hidden="1"/>
    <cellStyle name="Hyperlink" xfId="6109" builtinId="8" hidden="1"/>
    <cellStyle name="Hyperlink" xfId="6111" builtinId="8" hidden="1"/>
    <cellStyle name="Hyperlink" xfId="6113" builtinId="8" hidden="1"/>
    <cellStyle name="Hyperlink" xfId="6115" builtinId="8" hidden="1"/>
    <cellStyle name="Hyperlink" xfId="6117" builtinId="8" hidden="1"/>
    <cellStyle name="Hyperlink" xfId="6119" builtinId="8" hidden="1"/>
    <cellStyle name="Hyperlink" xfId="6121" builtinId="8" hidden="1"/>
    <cellStyle name="Hyperlink" xfId="6123" builtinId="8" hidden="1"/>
    <cellStyle name="Hyperlink" xfId="6125" builtinId="8" hidden="1"/>
    <cellStyle name="Hyperlink" xfId="6127" builtinId="8" hidden="1"/>
    <cellStyle name="Hyperlink" xfId="6129" builtinId="8" hidden="1"/>
    <cellStyle name="Hyperlink" xfId="6131" builtinId="8" hidden="1"/>
    <cellStyle name="Hyperlink" xfId="6133" builtinId="8" hidden="1"/>
    <cellStyle name="Hyperlink" xfId="6135" builtinId="8" hidden="1"/>
    <cellStyle name="Hyperlink" xfId="6137" builtinId="8" hidden="1"/>
    <cellStyle name="Hyperlink" xfId="6139" builtinId="8" hidden="1"/>
    <cellStyle name="Hyperlink" xfId="6141" builtinId="8" hidden="1"/>
    <cellStyle name="Hyperlink" xfId="6143" builtinId="8" hidden="1"/>
    <cellStyle name="Hyperlink" xfId="6145" builtinId="8" hidden="1"/>
    <cellStyle name="Hyperlink" xfId="6147" builtinId="8" hidden="1"/>
    <cellStyle name="Hyperlink" xfId="6149" builtinId="8" hidden="1"/>
    <cellStyle name="Hyperlink" xfId="6151" builtinId="8" hidden="1"/>
    <cellStyle name="Hyperlink" xfId="6153" builtinId="8" hidden="1"/>
    <cellStyle name="Hyperlink" xfId="6155" builtinId="8" hidden="1"/>
    <cellStyle name="Hyperlink" xfId="6157" builtinId="8" hidden="1"/>
    <cellStyle name="Hyperlink" xfId="6159" builtinId="8" hidden="1"/>
    <cellStyle name="Hyperlink" xfId="6161" builtinId="8" hidden="1"/>
    <cellStyle name="Hyperlink" xfId="6163" builtinId="8" hidden="1"/>
    <cellStyle name="Hyperlink" xfId="6165" builtinId="8" hidden="1"/>
    <cellStyle name="Hyperlink" xfId="6167" builtinId="8" hidden="1"/>
    <cellStyle name="Hyperlink" xfId="6169" builtinId="8" hidden="1"/>
    <cellStyle name="Hyperlink" xfId="6171" builtinId="8" hidden="1"/>
    <cellStyle name="Hyperlink" xfId="6173" builtinId="8" hidden="1"/>
    <cellStyle name="Hyperlink" xfId="6175" builtinId="8" hidden="1"/>
    <cellStyle name="Hyperlink" xfId="6177" builtinId="8" hidden="1"/>
    <cellStyle name="Hyperlink" xfId="6179" builtinId="8" hidden="1"/>
    <cellStyle name="Hyperlink" xfId="6181" builtinId="8" hidden="1"/>
    <cellStyle name="Hyperlink" xfId="6183" builtinId="8" hidden="1"/>
    <cellStyle name="Hyperlink" xfId="6185" builtinId="8" hidden="1"/>
    <cellStyle name="Hyperlink" xfId="6187" builtinId="8" hidden="1"/>
    <cellStyle name="Hyperlink" xfId="6189" builtinId="8" hidden="1"/>
    <cellStyle name="Hyperlink" xfId="6191" builtinId="8" hidden="1"/>
    <cellStyle name="Hyperlink" xfId="6193" builtinId="8" hidden="1"/>
    <cellStyle name="Hyperlink" xfId="6195" builtinId="8" hidden="1"/>
    <cellStyle name="Hyperlink" xfId="6197" builtinId="8" hidden="1"/>
    <cellStyle name="Hyperlink" xfId="6199" builtinId="8" hidden="1"/>
    <cellStyle name="Hyperlink" xfId="6201" builtinId="8" hidden="1"/>
    <cellStyle name="Hyperlink" xfId="6203" builtinId="8" hidden="1"/>
    <cellStyle name="Hyperlink" xfId="6205" builtinId="8" hidden="1"/>
    <cellStyle name="Hyperlink" xfId="6207" builtinId="8" hidden="1"/>
    <cellStyle name="Hyperlink" xfId="6209" builtinId="8" hidden="1"/>
    <cellStyle name="Hyperlink" xfId="6211" builtinId="8" hidden="1"/>
    <cellStyle name="Hyperlink" xfId="6213" builtinId="8" hidden="1"/>
    <cellStyle name="Hyperlink" xfId="6215" builtinId="8" hidden="1"/>
    <cellStyle name="Hyperlink" xfId="6217" builtinId="8" hidden="1"/>
    <cellStyle name="Hyperlink" xfId="6219" builtinId="8" hidden="1"/>
    <cellStyle name="Hyperlink" xfId="6221" builtinId="8" hidden="1"/>
    <cellStyle name="Hyperlink" xfId="6223" builtinId="8" hidden="1"/>
    <cellStyle name="Hyperlink" xfId="6225" builtinId="8" hidden="1"/>
    <cellStyle name="Hyperlink" xfId="6227" builtinId="8" hidden="1"/>
    <cellStyle name="Hyperlink" xfId="6229" builtinId="8" hidden="1"/>
    <cellStyle name="Hyperlink" xfId="6231" builtinId="8" hidden="1"/>
    <cellStyle name="Hyperlink" xfId="6233" builtinId="8" hidden="1"/>
    <cellStyle name="Hyperlink" xfId="6235" builtinId="8" hidden="1"/>
    <cellStyle name="Hyperlink" xfId="6237" builtinId="8" hidden="1"/>
    <cellStyle name="Hyperlink" xfId="6239" builtinId="8" hidden="1"/>
    <cellStyle name="Hyperlink" xfId="6241" builtinId="8" hidden="1"/>
    <cellStyle name="Hyperlink" xfId="6243" builtinId="8" hidden="1"/>
    <cellStyle name="Hyperlink" xfId="6245" builtinId="8" hidden="1"/>
    <cellStyle name="Hyperlink" xfId="6247" builtinId="8" hidden="1"/>
    <cellStyle name="Hyperlink" xfId="6249" builtinId="8" hidden="1"/>
    <cellStyle name="Hyperlink" xfId="6251" builtinId="8" hidden="1"/>
    <cellStyle name="Hyperlink" xfId="6253" builtinId="8" hidden="1"/>
    <cellStyle name="Hyperlink" xfId="6255" builtinId="8" hidden="1"/>
    <cellStyle name="Hyperlink" xfId="6257" builtinId="8" hidden="1"/>
    <cellStyle name="Hyperlink" xfId="6259" builtinId="8" hidden="1"/>
    <cellStyle name="Hyperlink" xfId="6261" builtinId="8" hidden="1"/>
    <cellStyle name="Hyperlink" xfId="6263" builtinId="8" hidden="1"/>
    <cellStyle name="Hyperlink" xfId="6265" builtinId="8" hidden="1"/>
    <cellStyle name="Hyperlink" xfId="6267" builtinId="8" hidden="1"/>
    <cellStyle name="Hyperlink" xfId="6269" builtinId="8" hidden="1"/>
    <cellStyle name="Hyperlink" xfId="6271" builtinId="8" hidden="1"/>
    <cellStyle name="Hyperlink" xfId="6273" builtinId="8" hidden="1"/>
    <cellStyle name="Hyperlink" xfId="6275" builtinId="8" hidden="1"/>
    <cellStyle name="Hyperlink" xfId="6277" builtinId="8" hidden="1"/>
    <cellStyle name="Hyperlink" xfId="6279" builtinId="8" hidden="1"/>
    <cellStyle name="Hyperlink" xfId="6281" builtinId="8" hidden="1"/>
    <cellStyle name="Hyperlink" xfId="6283" builtinId="8" hidden="1"/>
    <cellStyle name="Hyperlink" xfId="6285" builtinId="8" hidden="1"/>
    <cellStyle name="Hyperlink" xfId="6287" builtinId="8" hidden="1"/>
    <cellStyle name="Hyperlink" xfId="6289" builtinId="8" hidden="1"/>
    <cellStyle name="Hyperlink" xfId="6291" builtinId="8" hidden="1"/>
    <cellStyle name="Hyperlink" xfId="6293" builtinId="8" hidden="1"/>
    <cellStyle name="Hyperlink" xfId="6295" builtinId="8" hidden="1"/>
    <cellStyle name="Hyperlink" xfId="6297" builtinId="8" hidden="1"/>
    <cellStyle name="Hyperlink" xfId="6299" builtinId="8" hidden="1"/>
    <cellStyle name="Hyperlink" xfId="6301" builtinId="8" hidden="1"/>
    <cellStyle name="Hyperlink" xfId="6303" builtinId="8" hidden="1"/>
    <cellStyle name="Hyperlink" xfId="6305" builtinId="8" hidden="1"/>
    <cellStyle name="Hyperlink" xfId="6307" builtinId="8" hidden="1"/>
    <cellStyle name="Hyperlink" xfId="6309" builtinId="8" hidden="1"/>
    <cellStyle name="Hyperlink" xfId="6311" builtinId="8" hidden="1"/>
    <cellStyle name="Hyperlink" xfId="6313" builtinId="8" hidden="1"/>
    <cellStyle name="Hyperlink" xfId="6315" builtinId="8" hidden="1"/>
    <cellStyle name="Hyperlink" xfId="6317" builtinId="8" hidden="1"/>
    <cellStyle name="Hyperlink" xfId="6319" builtinId="8" hidden="1"/>
    <cellStyle name="Hyperlink" xfId="6321" builtinId="8" hidden="1"/>
    <cellStyle name="Hyperlink" xfId="6323" builtinId="8" hidden="1"/>
    <cellStyle name="Hyperlink" xfId="6325" builtinId="8" hidden="1"/>
    <cellStyle name="Hyperlink" xfId="6327" builtinId="8" hidden="1"/>
    <cellStyle name="Hyperlink" xfId="6329" builtinId="8" hidden="1"/>
    <cellStyle name="Hyperlink" xfId="6331" builtinId="8" hidden="1"/>
    <cellStyle name="Hyperlink" xfId="6333" builtinId="8" hidden="1"/>
    <cellStyle name="Hyperlink" xfId="6335" builtinId="8" hidden="1"/>
    <cellStyle name="Hyperlink" xfId="6337" builtinId="8" hidden="1"/>
    <cellStyle name="Hyperlink" xfId="6339" builtinId="8" hidden="1"/>
    <cellStyle name="Hyperlink" xfId="6341" builtinId="8" hidden="1"/>
    <cellStyle name="Hyperlink" xfId="6343" builtinId="8" hidden="1"/>
    <cellStyle name="Hyperlink" xfId="6345" builtinId="8" hidden="1"/>
    <cellStyle name="Hyperlink" xfId="6347" builtinId="8" hidden="1"/>
    <cellStyle name="Hyperlink" xfId="6349" builtinId="8" hidden="1"/>
    <cellStyle name="Hyperlink" xfId="6351" builtinId="8" hidden="1"/>
    <cellStyle name="Hyperlink" xfId="6353" builtinId="8" hidden="1"/>
    <cellStyle name="Hyperlink" xfId="6355" builtinId="8" hidden="1"/>
    <cellStyle name="Hyperlink" xfId="6357" builtinId="8" hidden="1"/>
    <cellStyle name="Hyperlink" xfId="6359" builtinId="8" hidden="1"/>
    <cellStyle name="Hyperlink" xfId="6361" builtinId="8" hidden="1"/>
    <cellStyle name="Hyperlink" xfId="6363" builtinId="8" hidden="1"/>
    <cellStyle name="Hyperlink" xfId="6365" builtinId="8" hidden="1"/>
    <cellStyle name="Hyperlink" xfId="6367" builtinId="8" hidden="1"/>
    <cellStyle name="Hyperlink" xfId="6369" builtinId="8" hidden="1"/>
    <cellStyle name="Hyperlink" xfId="6371" builtinId="8" hidden="1"/>
    <cellStyle name="Hyperlink" xfId="6373" builtinId="8" hidden="1"/>
    <cellStyle name="Hyperlink" xfId="6375" builtinId="8" hidden="1"/>
    <cellStyle name="Hyperlink" xfId="6377" builtinId="8" hidden="1"/>
    <cellStyle name="Hyperlink" xfId="6379" builtinId="8" hidden="1"/>
    <cellStyle name="Hyperlink" xfId="6381" builtinId="8" hidden="1"/>
    <cellStyle name="Hyperlink" xfId="6383" builtinId="8" hidden="1"/>
    <cellStyle name="Hyperlink" xfId="6385" builtinId="8" hidden="1"/>
    <cellStyle name="Hyperlink" xfId="6387" builtinId="8" hidden="1"/>
    <cellStyle name="Hyperlink" xfId="6389" builtinId="8" hidden="1"/>
    <cellStyle name="Hyperlink" xfId="6391" builtinId="8" hidden="1"/>
    <cellStyle name="Hyperlink" xfId="6393" builtinId="8" hidden="1"/>
    <cellStyle name="Hyperlink" xfId="6395" builtinId="8" hidden="1"/>
    <cellStyle name="Hyperlink" xfId="6397" builtinId="8" hidden="1"/>
    <cellStyle name="Hyperlink" xfId="6399" builtinId="8" hidden="1"/>
    <cellStyle name="Hyperlink" xfId="6401" builtinId="8" hidden="1"/>
    <cellStyle name="Hyperlink" xfId="6403" builtinId="8" hidden="1"/>
    <cellStyle name="Hyperlink" xfId="6405" builtinId="8" hidden="1"/>
    <cellStyle name="Hyperlink" xfId="6407" builtinId="8" hidden="1"/>
    <cellStyle name="Hyperlink" xfId="6409" builtinId="8" hidden="1"/>
    <cellStyle name="Hyperlink" xfId="6411" builtinId="8" hidden="1"/>
    <cellStyle name="Hyperlink" xfId="6413" builtinId="8" hidden="1"/>
    <cellStyle name="Hyperlink" xfId="6415" builtinId="8" hidden="1"/>
    <cellStyle name="Hyperlink" xfId="6417" builtinId="8" hidden="1"/>
    <cellStyle name="Hyperlink" xfId="6419" builtinId="8" hidden="1"/>
    <cellStyle name="Hyperlink" xfId="6421" builtinId="8" hidden="1"/>
    <cellStyle name="Hyperlink" xfId="6423" builtinId="8" hidden="1"/>
    <cellStyle name="Hyperlink" xfId="6425" builtinId="8" hidden="1"/>
    <cellStyle name="Hyperlink" xfId="6427" builtinId="8" hidden="1"/>
    <cellStyle name="Hyperlink" xfId="6429" builtinId="8" hidden="1"/>
    <cellStyle name="Hyperlink" xfId="6431" builtinId="8" hidden="1"/>
    <cellStyle name="Hyperlink" xfId="6433" builtinId="8" hidden="1"/>
    <cellStyle name="Hyperlink" xfId="6435" builtinId="8" hidden="1"/>
    <cellStyle name="Hyperlink" xfId="6437" builtinId="8" hidden="1"/>
    <cellStyle name="Hyperlink" xfId="6439" builtinId="8" hidden="1"/>
    <cellStyle name="Hyperlink" xfId="6441" builtinId="8" hidden="1"/>
    <cellStyle name="Hyperlink" xfId="6443" builtinId="8" hidden="1"/>
    <cellStyle name="Hyperlink" xfId="6445" builtinId="8" hidden="1"/>
    <cellStyle name="Hyperlink" xfId="6447" builtinId="8" hidden="1"/>
    <cellStyle name="Hyperlink" xfId="6449" builtinId="8" hidden="1"/>
    <cellStyle name="Hyperlink" xfId="6451" builtinId="8" hidden="1"/>
    <cellStyle name="Hyperlink" xfId="6453" builtinId="8" hidden="1"/>
    <cellStyle name="Hyperlink" xfId="6455" builtinId="8" hidden="1"/>
    <cellStyle name="Hyperlink" xfId="6457" builtinId="8" hidden="1"/>
    <cellStyle name="Hyperlink" xfId="6459" builtinId="8" hidden="1"/>
    <cellStyle name="Hyperlink" xfId="6461" builtinId="8" hidden="1"/>
    <cellStyle name="Hyperlink" xfId="6463" builtinId="8" hidden="1"/>
    <cellStyle name="Hyperlink" xfId="6465" builtinId="8" hidden="1"/>
    <cellStyle name="Hyperlink" xfId="6467" builtinId="8" hidden="1"/>
    <cellStyle name="Hyperlink" xfId="6469" builtinId="8" hidden="1"/>
    <cellStyle name="Hyperlink" xfId="6471" builtinId="8" hidden="1"/>
    <cellStyle name="Hyperlink" xfId="6473" builtinId="8" hidden="1"/>
    <cellStyle name="Hyperlink" xfId="6475" builtinId="8" hidden="1"/>
    <cellStyle name="Hyperlink" xfId="6477" builtinId="8" hidden="1"/>
    <cellStyle name="Hyperlink" xfId="6479" builtinId="8" hidden="1"/>
    <cellStyle name="Hyperlink" xfId="6481" builtinId="8" hidden="1"/>
    <cellStyle name="Hyperlink" xfId="6483" builtinId="8" hidden="1"/>
    <cellStyle name="Hyperlink" xfId="6485" builtinId="8" hidden="1"/>
    <cellStyle name="Hyperlink" xfId="6487" builtinId="8" hidden="1"/>
    <cellStyle name="Hyperlink" xfId="6489" builtinId="8" hidden="1"/>
    <cellStyle name="Hyperlink" xfId="6491" builtinId="8" hidden="1"/>
    <cellStyle name="Hyperlink" xfId="6493" builtinId="8" hidden="1"/>
    <cellStyle name="Hyperlink" xfId="6495" builtinId="8" hidden="1"/>
    <cellStyle name="Hyperlink" xfId="6497" builtinId="8" hidden="1"/>
    <cellStyle name="Hyperlink" xfId="6499" builtinId="8" hidden="1"/>
    <cellStyle name="Hyperlink" xfId="6501" builtinId="8" hidden="1"/>
    <cellStyle name="Hyperlink" xfId="6503" builtinId="8" hidden="1"/>
    <cellStyle name="Hyperlink" xfId="6505" builtinId="8" hidden="1"/>
    <cellStyle name="Hyperlink" xfId="6507" builtinId="8" hidden="1"/>
    <cellStyle name="Hyperlink" xfId="6509" builtinId="8" hidden="1"/>
    <cellStyle name="Hyperlink" xfId="6511" builtinId="8" hidden="1"/>
    <cellStyle name="Hyperlink" xfId="6513" builtinId="8" hidden="1"/>
    <cellStyle name="Hyperlink" xfId="6515" builtinId="8" hidden="1"/>
    <cellStyle name="Hyperlink" xfId="6517" builtinId="8" hidden="1"/>
    <cellStyle name="Hyperlink" xfId="6519" builtinId="8" hidden="1"/>
    <cellStyle name="Hyperlink" xfId="6521" builtinId="8" hidden="1"/>
    <cellStyle name="Hyperlink" xfId="6523" builtinId="8" hidden="1"/>
    <cellStyle name="Hyperlink" xfId="6525" builtinId="8" hidden="1"/>
    <cellStyle name="Hyperlink" xfId="6527" builtinId="8" hidden="1"/>
    <cellStyle name="Hyperlink" xfId="6529" builtinId="8" hidden="1"/>
    <cellStyle name="Hyperlink" xfId="6531" builtinId="8" hidden="1"/>
    <cellStyle name="Hyperlink" xfId="6533" builtinId="8" hidden="1"/>
    <cellStyle name="Hyperlink" xfId="6535" builtinId="8" hidden="1"/>
    <cellStyle name="Hyperlink" xfId="6537" builtinId="8" hidden="1"/>
    <cellStyle name="Hyperlink" xfId="6539" builtinId="8" hidden="1"/>
    <cellStyle name="Hyperlink" xfId="6541" builtinId="8" hidden="1"/>
    <cellStyle name="Hyperlink" xfId="6543" builtinId="8" hidden="1"/>
    <cellStyle name="Hyperlink" xfId="6545" builtinId="8" hidden="1"/>
    <cellStyle name="Hyperlink" xfId="6547" builtinId="8" hidden="1"/>
    <cellStyle name="Hyperlink" xfId="6549" builtinId="8" hidden="1"/>
    <cellStyle name="Hyperlink" xfId="6551" builtinId="8" hidden="1"/>
    <cellStyle name="Hyperlink" xfId="6553" builtinId="8" hidden="1"/>
    <cellStyle name="Hyperlink" xfId="6555" builtinId="8" hidden="1"/>
    <cellStyle name="Hyperlink" xfId="6557" builtinId="8" hidden="1"/>
    <cellStyle name="Hyperlink" xfId="6559" builtinId="8" hidden="1"/>
    <cellStyle name="Hyperlink" xfId="6561" builtinId="8" hidden="1"/>
    <cellStyle name="Hyperlink" xfId="6563" builtinId="8" hidden="1"/>
    <cellStyle name="Hyperlink" xfId="6565" builtinId="8" hidden="1"/>
    <cellStyle name="Hyperlink" xfId="6567" builtinId="8" hidden="1"/>
    <cellStyle name="Hyperlink" xfId="6569" builtinId="8" hidden="1"/>
    <cellStyle name="Hyperlink" xfId="6571" builtinId="8" hidden="1"/>
    <cellStyle name="Hyperlink" xfId="6573" builtinId="8" hidden="1"/>
    <cellStyle name="Hyperlink" xfId="6575" builtinId="8" hidden="1"/>
    <cellStyle name="Hyperlink" xfId="6577" builtinId="8" hidden="1"/>
    <cellStyle name="Hyperlink" xfId="6579" builtinId="8" hidden="1"/>
    <cellStyle name="Hyperlink" xfId="6581" builtinId="8" hidden="1"/>
    <cellStyle name="Hyperlink" xfId="6583" builtinId="8" hidden="1"/>
    <cellStyle name="Hyperlink" xfId="6585" builtinId="8" hidden="1"/>
    <cellStyle name="Hyperlink" xfId="6587" builtinId="8" hidden="1"/>
    <cellStyle name="Hyperlink" xfId="6589" builtinId="8" hidden="1"/>
    <cellStyle name="Hyperlink" xfId="6591" builtinId="8" hidden="1"/>
    <cellStyle name="Hyperlink" xfId="6593" builtinId="8" hidden="1"/>
    <cellStyle name="Hyperlink" xfId="6595" builtinId="8" hidden="1"/>
    <cellStyle name="Hyperlink" xfId="6597" builtinId="8" hidden="1"/>
    <cellStyle name="Hyperlink" xfId="6599" builtinId="8" hidden="1"/>
    <cellStyle name="Hyperlink" xfId="6601" builtinId="8" hidden="1"/>
    <cellStyle name="Hyperlink" xfId="6603" builtinId="8" hidden="1"/>
    <cellStyle name="Hyperlink" xfId="6605" builtinId="8" hidden="1"/>
    <cellStyle name="Hyperlink" xfId="6607" builtinId="8" hidden="1"/>
    <cellStyle name="Hyperlink" xfId="6609" builtinId="8" hidden="1"/>
    <cellStyle name="Hyperlink" xfId="6611" builtinId="8" hidden="1"/>
    <cellStyle name="Hyperlink" xfId="6613" builtinId="8" hidden="1"/>
    <cellStyle name="Hyperlink" xfId="6615" builtinId="8" hidden="1"/>
    <cellStyle name="Hyperlink" xfId="6617" builtinId="8" hidden="1"/>
    <cellStyle name="Hyperlink" xfId="6619" builtinId="8" hidden="1"/>
    <cellStyle name="Hyperlink" xfId="6621" builtinId="8" hidden="1"/>
    <cellStyle name="Hyperlink" xfId="6623" builtinId="8" hidden="1"/>
    <cellStyle name="Hyperlink" xfId="6625" builtinId="8" hidden="1"/>
    <cellStyle name="Hyperlink" xfId="6627" builtinId="8" hidden="1"/>
    <cellStyle name="Hyperlink" xfId="6629" builtinId="8" hidden="1"/>
    <cellStyle name="Hyperlink" xfId="6631" builtinId="8" hidden="1"/>
    <cellStyle name="Hyperlink" xfId="6633" builtinId="8" hidden="1"/>
    <cellStyle name="Hyperlink" xfId="6635" builtinId="8" hidden="1"/>
    <cellStyle name="Hyperlink" xfId="6637" builtinId="8" hidden="1"/>
    <cellStyle name="Hyperlink" xfId="6639" builtinId="8" hidden="1"/>
    <cellStyle name="Hyperlink" xfId="6641" builtinId="8" hidden="1"/>
    <cellStyle name="Hyperlink" xfId="6643" builtinId="8" hidden="1"/>
    <cellStyle name="Hyperlink" xfId="6645" builtinId="8" hidden="1"/>
    <cellStyle name="Hyperlink" xfId="6647" builtinId="8" hidden="1"/>
    <cellStyle name="Hyperlink" xfId="6649" builtinId="8" hidden="1"/>
    <cellStyle name="Hyperlink" xfId="6651" builtinId="8" hidden="1"/>
    <cellStyle name="Hyperlink" xfId="6653" builtinId="8" hidden="1"/>
    <cellStyle name="Hyperlink" xfId="6655" builtinId="8" hidden="1"/>
    <cellStyle name="Hyperlink" xfId="6657" builtinId="8" hidden="1"/>
    <cellStyle name="Hyperlink" xfId="6659" builtinId="8" hidden="1"/>
    <cellStyle name="Hyperlink" xfId="6661" builtinId="8" hidden="1"/>
    <cellStyle name="Hyperlink" xfId="6663" builtinId="8" hidden="1"/>
    <cellStyle name="Hyperlink" xfId="6665" builtinId="8" hidden="1"/>
    <cellStyle name="Hyperlink" xfId="6667" builtinId="8" hidden="1"/>
    <cellStyle name="Hyperlink" xfId="6669" builtinId="8" hidden="1"/>
    <cellStyle name="Hyperlink" xfId="6671" builtinId="8" hidden="1"/>
    <cellStyle name="Hyperlink" xfId="6673" builtinId="8" hidden="1"/>
    <cellStyle name="Hyperlink" xfId="6675" builtinId="8" hidden="1"/>
    <cellStyle name="Hyperlink" xfId="6677" builtinId="8" hidden="1"/>
    <cellStyle name="Hyperlink" xfId="6679" builtinId="8" hidden="1"/>
    <cellStyle name="Hyperlink" xfId="6681" builtinId="8" hidden="1"/>
    <cellStyle name="Hyperlink" xfId="6683" builtinId="8" hidden="1"/>
    <cellStyle name="Hyperlink" xfId="6685" builtinId="8" hidden="1"/>
    <cellStyle name="Hyperlink" xfId="6687" builtinId="8" hidden="1"/>
    <cellStyle name="Hyperlink" xfId="6689" builtinId="8" hidden="1"/>
    <cellStyle name="Hyperlink" xfId="6691" builtinId="8" hidden="1"/>
    <cellStyle name="Hyperlink" xfId="6693" builtinId="8" hidden="1"/>
    <cellStyle name="Hyperlink" xfId="6695" builtinId="8" hidden="1"/>
    <cellStyle name="Hyperlink" xfId="6697" builtinId="8" hidden="1"/>
    <cellStyle name="Hyperlink" xfId="6699" builtinId="8" hidden="1"/>
    <cellStyle name="Hyperlink" xfId="6701" builtinId="8" hidden="1"/>
    <cellStyle name="Hyperlink" xfId="6703" builtinId="8" hidden="1"/>
    <cellStyle name="Hyperlink" xfId="6705" builtinId="8" hidden="1"/>
    <cellStyle name="Hyperlink" xfId="6707" builtinId="8" hidden="1"/>
    <cellStyle name="Hyperlink" xfId="6709" builtinId="8" hidden="1"/>
    <cellStyle name="Hyperlink" xfId="6711" builtinId="8" hidden="1"/>
    <cellStyle name="Hyperlink" xfId="6713" builtinId="8" hidden="1"/>
    <cellStyle name="Hyperlink" xfId="6715" builtinId="8" hidden="1"/>
    <cellStyle name="Hyperlink" xfId="6717" builtinId="8" hidden="1"/>
    <cellStyle name="Hyperlink" xfId="6719" builtinId="8" hidden="1"/>
    <cellStyle name="Hyperlink" xfId="6721" builtinId="8" hidden="1"/>
    <cellStyle name="Hyperlink" xfId="6723" builtinId="8" hidden="1"/>
    <cellStyle name="Hyperlink" xfId="6725" builtinId="8" hidden="1"/>
    <cellStyle name="Hyperlink" xfId="6727" builtinId="8" hidden="1"/>
    <cellStyle name="Hyperlink" xfId="6729" builtinId="8" hidden="1"/>
    <cellStyle name="Hyperlink" xfId="6731" builtinId="8" hidden="1"/>
    <cellStyle name="Hyperlink" xfId="6733" builtinId="8" hidden="1"/>
    <cellStyle name="Hyperlink" xfId="6735" builtinId="8" hidden="1"/>
    <cellStyle name="Hyperlink" xfId="6737" builtinId="8" hidden="1"/>
    <cellStyle name="Hyperlink" xfId="6739" builtinId="8" hidden="1"/>
    <cellStyle name="Hyperlink" xfId="6741" builtinId="8" hidden="1"/>
    <cellStyle name="Hyperlink" xfId="6743" builtinId="8" hidden="1"/>
    <cellStyle name="Hyperlink" xfId="6745" builtinId="8" hidden="1"/>
    <cellStyle name="Hyperlink" xfId="6747" builtinId="8" hidden="1"/>
    <cellStyle name="Hyperlink" xfId="6749" builtinId="8" hidden="1"/>
    <cellStyle name="Hyperlink" xfId="6751" builtinId="8" hidden="1"/>
    <cellStyle name="Hyperlink" xfId="6753" builtinId="8" hidden="1"/>
    <cellStyle name="Hyperlink" xfId="6755" builtinId="8" hidden="1"/>
    <cellStyle name="Hyperlink" xfId="6757" builtinId="8" hidden="1"/>
    <cellStyle name="Hyperlink" xfId="6759" builtinId="8" hidden="1"/>
    <cellStyle name="Hyperlink" xfId="6761" builtinId="8" hidden="1"/>
    <cellStyle name="Hyperlink" xfId="6763" builtinId="8" hidden="1"/>
    <cellStyle name="Hyperlink" xfId="6765" builtinId="8" hidden="1"/>
    <cellStyle name="Hyperlink" xfId="6767" builtinId="8" hidden="1"/>
    <cellStyle name="Hyperlink" xfId="6769" builtinId="8" hidden="1"/>
    <cellStyle name="Hyperlink" xfId="6771" builtinId="8" hidden="1"/>
    <cellStyle name="Hyperlink" xfId="6773" builtinId="8" hidden="1"/>
    <cellStyle name="Hyperlink" xfId="6775" builtinId="8" hidden="1"/>
    <cellStyle name="Hyperlink" xfId="6777" builtinId="8" hidden="1"/>
    <cellStyle name="Hyperlink" xfId="6779" builtinId="8" hidden="1"/>
    <cellStyle name="Hyperlink" xfId="6781" builtinId="8" hidden="1"/>
    <cellStyle name="Hyperlink" xfId="6783" builtinId="8" hidden="1"/>
    <cellStyle name="Hyperlink" xfId="6785" builtinId="8" hidden="1"/>
    <cellStyle name="Hyperlink" xfId="6787" builtinId="8" hidden="1"/>
    <cellStyle name="Hyperlink" xfId="6789" builtinId="8" hidden="1"/>
    <cellStyle name="Hyperlink" xfId="6791" builtinId="8" hidden="1"/>
    <cellStyle name="Hyperlink" xfId="6793" builtinId="8" hidden="1"/>
    <cellStyle name="Hyperlink" xfId="6795" builtinId="8" hidden="1"/>
    <cellStyle name="Hyperlink" xfId="6797" builtinId="8" hidden="1"/>
    <cellStyle name="Hyperlink" xfId="6799" builtinId="8" hidden="1"/>
    <cellStyle name="Hyperlink" xfId="6801" builtinId="8" hidden="1"/>
    <cellStyle name="Hyperlink" xfId="6803" builtinId="8" hidden="1"/>
    <cellStyle name="Hyperlink" xfId="6805" builtinId="8" hidden="1"/>
    <cellStyle name="Hyperlink" xfId="6807" builtinId="8" hidden="1"/>
    <cellStyle name="Hyperlink" xfId="6809" builtinId="8" hidden="1"/>
    <cellStyle name="Hyperlink" xfId="6811" builtinId="8" hidden="1"/>
    <cellStyle name="Hyperlink" xfId="6813" builtinId="8" hidden="1"/>
    <cellStyle name="Hyperlink" xfId="6815" builtinId="8" hidden="1"/>
    <cellStyle name="Hyperlink" xfId="6817" builtinId="8" hidden="1"/>
    <cellStyle name="Hyperlink" xfId="6819" builtinId="8" hidden="1"/>
    <cellStyle name="Hyperlink" xfId="6821" builtinId="8" hidden="1"/>
    <cellStyle name="Hyperlink" xfId="6823" builtinId="8" hidden="1"/>
    <cellStyle name="Hyperlink" xfId="6825" builtinId="8" hidden="1"/>
    <cellStyle name="Hyperlink" xfId="6827" builtinId="8" hidden="1"/>
    <cellStyle name="Hyperlink" xfId="6829" builtinId="8" hidden="1"/>
    <cellStyle name="Hyperlink" xfId="6831" builtinId="8" hidden="1"/>
    <cellStyle name="Hyperlink" xfId="6833" builtinId="8" hidden="1"/>
    <cellStyle name="Hyperlink" xfId="6835" builtinId="8" hidden="1"/>
    <cellStyle name="Hyperlink" xfId="6837" builtinId="8" hidden="1"/>
    <cellStyle name="Hyperlink" xfId="6839" builtinId="8" hidden="1"/>
    <cellStyle name="Hyperlink" xfId="6841" builtinId="8" hidden="1"/>
    <cellStyle name="Hyperlink" xfId="6843" builtinId="8" hidden="1"/>
    <cellStyle name="Hyperlink" xfId="6845" builtinId="8" hidden="1"/>
    <cellStyle name="Hyperlink" xfId="6847" builtinId="8" hidden="1"/>
    <cellStyle name="Hyperlink" xfId="6849" builtinId="8" hidden="1"/>
    <cellStyle name="Hyperlink" xfId="6851" builtinId="8" hidden="1"/>
    <cellStyle name="Hyperlink" xfId="6853" builtinId="8" hidden="1"/>
    <cellStyle name="Hyperlink" xfId="6855" builtinId="8" hidden="1"/>
    <cellStyle name="Hyperlink" xfId="6857" builtinId="8" hidden="1"/>
    <cellStyle name="Hyperlink" xfId="6859" builtinId="8" hidden="1"/>
    <cellStyle name="Hyperlink" xfId="6861" builtinId="8" hidden="1"/>
    <cellStyle name="Hyperlink" xfId="6863" builtinId="8" hidden="1"/>
    <cellStyle name="Hyperlink" xfId="6865" builtinId="8" hidden="1"/>
    <cellStyle name="Hyperlink" xfId="6867" builtinId="8" hidden="1"/>
    <cellStyle name="Hyperlink" xfId="6869" builtinId="8" hidden="1"/>
    <cellStyle name="Hyperlink" xfId="6871" builtinId="8" hidden="1"/>
    <cellStyle name="Hyperlink" xfId="6873" builtinId="8" hidden="1"/>
    <cellStyle name="Hyperlink" xfId="6875" builtinId="8" hidden="1"/>
    <cellStyle name="Hyperlink" xfId="6877" builtinId="8" hidden="1"/>
    <cellStyle name="Hyperlink" xfId="6879" builtinId="8" hidden="1"/>
    <cellStyle name="Hyperlink" xfId="6881" builtinId="8" hidden="1"/>
    <cellStyle name="Hyperlink" xfId="6883" builtinId="8" hidden="1"/>
    <cellStyle name="Hyperlink" xfId="6885" builtinId="8" hidden="1"/>
    <cellStyle name="Hyperlink" xfId="6887" builtinId="8" hidden="1"/>
    <cellStyle name="Hyperlink" xfId="6889" builtinId="8" hidden="1"/>
    <cellStyle name="Hyperlink" xfId="6891" builtinId="8" hidden="1"/>
    <cellStyle name="Hyperlink" xfId="6893" builtinId="8" hidden="1"/>
    <cellStyle name="Hyperlink" xfId="6895" builtinId="8" hidden="1"/>
    <cellStyle name="Hyperlink" xfId="6897" builtinId="8" hidden="1"/>
    <cellStyle name="Hyperlink" xfId="6899" builtinId="8" hidden="1"/>
    <cellStyle name="Hyperlink" xfId="6901" builtinId="8" hidden="1"/>
    <cellStyle name="Hyperlink" xfId="6903" builtinId="8" hidden="1"/>
    <cellStyle name="Hyperlink" xfId="6905" builtinId="8" hidden="1"/>
    <cellStyle name="Hyperlink" xfId="6907" builtinId="8" hidden="1"/>
    <cellStyle name="Hyperlink" xfId="6909" builtinId="8" hidden="1"/>
    <cellStyle name="Hyperlink" xfId="6911" builtinId="8" hidden="1"/>
    <cellStyle name="Hyperlink" xfId="6913" builtinId="8" hidden="1"/>
    <cellStyle name="Hyperlink" xfId="6915" builtinId="8" hidden="1"/>
    <cellStyle name="Hyperlink" xfId="6917" builtinId="8" hidden="1"/>
    <cellStyle name="Hyperlink" xfId="6919" builtinId="8" hidden="1"/>
    <cellStyle name="Hyperlink" xfId="6921" builtinId="8" hidden="1"/>
    <cellStyle name="Hyperlink" xfId="6923" builtinId="8" hidden="1"/>
    <cellStyle name="Hyperlink" xfId="6925" builtinId="8" hidden="1"/>
    <cellStyle name="Hyperlink" xfId="6927" builtinId="8" hidden="1"/>
    <cellStyle name="Hyperlink" xfId="6929" builtinId="8" hidden="1"/>
    <cellStyle name="Hyperlink" xfId="6931" builtinId="8" hidden="1"/>
    <cellStyle name="Hyperlink" xfId="6933" builtinId="8" hidden="1"/>
    <cellStyle name="Hyperlink" xfId="6935" builtinId="8" hidden="1"/>
    <cellStyle name="Hyperlink" xfId="6937" builtinId="8" hidden="1"/>
    <cellStyle name="Hyperlink" xfId="6939" builtinId="8" hidden="1"/>
    <cellStyle name="Hyperlink" xfId="6941" builtinId="8" hidden="1"/>
    <cellStyle name="Hyperlink" xfId="6943" builtinId="8" hidden="1"/>
    <cellStyle name="Hyperlink" xfId="6945" builtinId="8" hidden="1"/>
    <cellStyle name="Hyperlink" xfId="6947" builtinId="8" hidden="1"/>
    <cellStyle name="Hyperlink" xfId="6949" builtinId="8" hidden="1"/>
    <cellStyle name="Hyperlink" xfId="6951" builtinId="8" hidden="1"/>
    <cellStyle name="Hyperlink" xfId="6953" builtinId="8" hidden="1"/>
    <cellStyle name="Hyperlink" xfId="6955" builtinId="8" hidden="1"/>
    <cellStyle name="Hyperlink" xfId="6957" builtinId="8" hidden="1"/>
    <cellStyle name="Hyperlink" xfId="6959" builtinId="8" hidden="1"/>
    <cellStyle name="Hyperlink" xfId="6961" builtinId="8" hidden="1"/>
    <cellStyle name="Hyperlink" xfId="6963" builtinId="8" hidden="1"/>
    <cellStyle name="Hyperlink" xfId="6965" builtinId="8" hidden="1"/>
    <cellStyle name="Hyperlink" xfId="6967" builtinId="8" hidden="1"/>
    <cellStyle name="Hyperlink" xfId="6969" builtinId="8" hidden="1"/>
    <cellStyle name="Hyperlink" xfId="6971" builtinId="8" hidden="1"/>
    <cellStyle name="Hyperlink" xfId="6973" builtinId="8" hidden="1"/>
    <cellStyle name="Hyperlink" xfId="6975" builtinId="8" hidden="1"/>
    <cellStyle name="Hyperlink" xfId="6977" builtinId="8" hidden="1"/>
    <cellStyle name="Hyperlink" xfId="6979" builtinId="8" hidden="1"/>
    <cellStyle name="Hyperlink" xfId="6981" builtinId="8" hidden="1"/>
    <cellStyle name="Hyperlink" xfId="6983" builtinId="8" hidden="1"/>
    <cellStyle name="Hyperlink" xfId="6985" builtinId="8" hidden="1"/>
    <cellStyle name="Hyperlink" xfId="6987" builtinId="8" hidden="1"/>
    <cellStyle name="Hyperlink" xfId="6989" builtinId="8" hidden="1"/>
    <cellStyle name="Hyperlink" xfId="6991" builtinId="8" hidden="1"/>
    <cellStyle name="Hyperlink" xfId="6993" builtinId="8" hidden="1"/>
    <cellStyle name="Hyperlink" xfId="6995" builtinId="8" hidden="1"/>
    <cellStyle name="Hyperlink" xfId="6997" builtinId="8" hidden="1"/>
    <cellStyle name="Hyperlink" xfId="6999" builtinId="8" hidden="1"/>
    <cellStyle name="Hyperlink" xfId="7001" builtinId="8" hidden="1"/>
    <cellStyle name="Hyperlink" xfId="7003" builtinId="8" hidden="1"/>
    <cellStyle name="Hyperlink" xfId="7005" builtinId="8" hidden="1"/>
    <cellStyle name="Hyperlink" xfId="7007" builtinId="8" hidden="1"/>
    <cellStyle name="Hyperlink" xfId="7009" builtinId="8" hidden="1"/>
    <cellStyle name="Hyperlink" xfId="7011" builtinId="8" hidden="1"/>
    <cellStyle name="Hyperlink" xfId="7013" builtinId="8" hidden="1"/>
    <cellStyle name="Hyperlink" xfId="7015" builtinId="8" hidden="1"/>
    <cellStyle name="Hyperlink" xfId="7017" builtinId="8" hidden="1"/>
    <cellStyle name="Hyperlink" xfId="7019" builtinId="8" hidden="1"/>
    <cellStyle name="Hyperlink" xfId="7021" builtinId="8" hidden="1"/>
    <cellStyle name="Hyperlink" xfId="7023" builtinId="8" hidden="1"/>
    <cellStyle name="Hyperlink" xfId="7025" builtinId="8" hidden="1"/>
    <cellStyle name="Hyperlink" xfId="7027" builtinId="8" hidden="1"/>
    <cellStyle name="Hyperlink" xfId="7029" builtinId="8" hidden="1"/>
    <cellStyle name="Hyperlink" xfId="7031" builtinId="8" hidden="1"/>
    <cellStyle name="Hyperlink" xfId="7033" builtinId="8" hidden="1"/>
    <cellStyle name="Hyperlink" xfId="7035" builtinId="8" hidden="1"/>
    <cellStyle name="Hyperlink" xfId="7037" builtinId="8" hidden="1"/>
    <cellStyle name="Hyperlink" xfId="7039" builtinId="8" hidden="1"/>
    <cellStyle name="Hyperlink" xfId="7041" builtinId="8" hidden="1"/>
    <cellStyle name="Hyperlink" xfId="7043" builtinId="8" hidden="1"/>
    <cellStyle name="Hyperlink" xfId="7045" builtinId="8" hidden="1"/>
    <cellStyle name="Hyperlink" xfId="7047" builtinId="8" hidden="1"/>
    <cellStyle name="Hyperlink" xfId="7049" builtinId="8" hidden="1"/>
    <cellStyle name="Hyperlink" xfId="7051" builtinId="8" hidden="1"/>
    <cellStyle name="Hyperlink" xfId="7053" builtinId="8" hidden="1"/>
    <cellStyle name="Hyperlink" xfId="7055" builtinId="8" hidden="1"/>
    <cellStyle name="Hyperlink" xfId="7057" builtinId="8" hidden="1"/>
    <cellStyle name="Hyperlink" xfId="7059" builtinId="8" hidden="1"/>
    <cellStyle name="Hyperlink" xfId="7061" builtinId="8" hidden="1"/>
    <cellStyle name="Hyperlink" xfId="7063" builtinId="8" hidden="1"/>
    <cellStyle name="Hyperlink" xfId="7065" builtinId="8" hidden="1"/>
    <cellStyle name="Hyperlink" xfId="7067" builtinId="8" hidden="1"/>
    <cellStyle name="Hyperlink" xfId="7069" builtinId="8" hidden="1"/>
    <cellStyle name="Hyperlink" xfId="7071" builtinId="8" hidden="1"/>
    <cellStyle name="Hyperlink" xfId="7073" builtinId="8" hidden="1"/>
    <cellStyle name="Hyperlink" xfId="7075" builtinId="8" hidden="1"/>
    <cellStyle name="Hyperlink" xfId="7077" builtinId="8" hidden="1"/>
    <cellStyle name="Hyperlink" xfId="7079" builtinId="8" hidden="1"/>
    <cellStyle name="Hyperlink" xfId="7081" builtinId="8" hidden="1"/>
    <cellStyle name="Hyperlink" xfId="7083" builtinId="8" hidden="1"/>
    <cellStyle name="Hyperlink" xfId="7085" builtinId="8" hidden="1"/>
    <cellStyle name="Hyperlink" xfId="7087" builtinId="8" hidden="1"/>
    <cellStyle name="Hyperlink" xfId="7089" builtinId="8" hidden="1"/>
    <cellStyle name="Hyperlink" xfId="7091" builtinId="8" hidden="1"/>
    <cellStyle name="Hyperlink" xfId="7093" builtinId="8" hidden="1"/>
    <cellStyle name="Hyperlink" xfId="7095" builtinId="8" hidden="1"/>
    <cellStyle name="Hyperlink" xfId="7097" builtinId="8" hidden="1"/>
    <cellStyle name="Hyperlink" xfId="7099" builtinId="8" hidden="1"/>
    <cellStyle name="Hyperlink" xfId="7101" builtinId="8" hidden="1"/>
    <cellStyle name="Hyperlink" xfId="7103" builtinId="8" hidden="1"/>
    <cellStyle name="Hyperlink" xfId="7105" builtinId="8" hidden="1"/>
    <cellStyle name="Hyperlink" xfId="7107" builtinId="8" hidden="1"/>
    <cellStyle name="Hyperlink" xfId="7109" builtinId="8" hidden="1"/>
    <cellStyle name="Hyperlink" xfId="7111" builtinId="8" hidden="1"/>
    <cellStyle name="Hyperlink" xfId="7113" builtinId="8" hidden="1"/>
    <cellStyle name="Hyperlink" xfId="7115" builtinId="8" hidden="1"/>
    <cellStyle name="Hyperlink" xfId="7117" builtinId="8" hidden="1"/>
    <cellStyle name="Hyperlink" xfId="7119" builtinId="8" hidden="1"/>
    <cellStyle name="Hyperlink" xfId="7121" builtinId="8" hidden="1"/>
    <cellStyle name="Hyperlink" xfId="7123" builtinId="8" hidden="1"/>
    <cellStyle name="Hyperlink" xfId="7125" builtinId="8" hidden="1"/>
    <cellStyle name="Hyperlink" xfId="7127" builtinId="8" hidden="1"/>
    <cellStyle name="Hyperlink" xfId="7129" builtinId="8" hidden="1"/>
    <cellStyle name="Hyperlink" xfId="7131" builtinId="8" hidden="1"/>
    <cellStyle name="Hyperlink" xfId="7133" builtinId="8" hidden="1"/>
    <cellStyle name="Hyperlink" xfId="7135" builtinId="8" hidden="1"/>
    <cellStyle name="Hyperlink" xfId="7137" builtinId="8" hidden="1"/>
    <cellStyle name="Hyperlink" xfId="7139" builtinId="8" hidden="1"/>
    <cellStyle name="Hyperlink" xfId="7141" builtinId="8" hidden="1"/>
    <cellStyle name="Hyperlink" xfId="7143" builtinId="8" hidden="1"/>
    <cellStyle name="Hyperlink" xfId="7145" builtinId="8" hidden="1"/>
    <cellStyle name="Hyperlink" xfId="7147" builtinId="8" hidden="1"/>
    <cellStyle name="Hyperlink" xfId="7149" builtinId="8" hidden="1"/>
    <cellStyle name="Hyperlink" xfId="7151" builtinId="8" hidden="1"/>
    <cellStyle name="Hyperlink" xfId="7153" builtinId="8" hidden="1"/>
    <cellStyle name="Hyperlink" xfId="7155" builtinId="8" hidden="1"/>
    <cellStyle name="Hyperlink" xfId="7157" builtinId="8" hidden="1"/>
    <cellStyle name="Hyperlink" xfId="7159" builtinId="8" hidden="1"/>
    <cellStyle name="Hyperlink" xfId="7161" builtinId="8" hidden="1"/>
    <cellStyle name="Hyperlink" xfId="7163" builtinId="8" hidden="1"/>
    <cellStyle name="Hyperlink" xfId="7165" builtinId="8" hidden="1"/>
    <cellStyle name="Hyperlink" xfId="7167" builtinId="8" hidden="1"/>
    <cellStyle name="Hyperlink" xfId="7169" builtinId="8" hidden="1"/>
    <cellStyle name="Hyperlink" xfId="7171" builtinId="8" hidden="1"/>
    <cellStyle name="Hyperlink" xfId="7173" builtinId="8" hidden="1"/>
    <cellStyle name="Hyperlink" xfId="7175" builtinId="8" hidden="1"/>
    <cellStyle name="Hyperlink" xfId="7177" builtinId="8" hidden="1"/>
    <cellStyle name="Hyperlink" xfId="7179" builtinId="8" hidden="1"/>
    <cellStyle name="Hyperlink" xfId="7181" builtinId="8" hidden="1"/>
    <cellStyle name="Hyperlink" xfId="7183" builtinId="8" hidden="1"/>
    <cellStyle name="Hyperlink" xfId="7185" builtinId="8" hidden="1"/>
    <cellStyle name="Hyperlink" xfId="7187" builtinId="8" hidden="1"/>
    <cellStyle name="Hyperlink" xfId="7189" builtinId="8" hidden="1"/>
    <cellStyle name="Hyperlink" xfId="7191" builtinId="8" hidden="1"/>
    <cellStyle name="Hyperlink" xfId="7193" builtinId="8" hidden="1"/>
    <cellStyle name="Hyperlink" xfId="7195" builtinId="8" hidden="1"/>
    <cellStyle name="Hyperlink" xfId="7197" builtinId="8" hidden="1"/>
    <cellStyle name="Hyperlink" xfId="7199" builtinId="8" hidden="1"/>
    <cellStyle name="Hyperlink" xfId="7201" builtinId="8" hidden="1"/>
    <cellStyle name="Hyperlink" xfId="7203" builtinId="8" hidden="1"/>
    <cellStyle name="Hyperlink" xfId="7205" builtinId="8" hidden="1"/>
    <cellStyle name="Hyperlink" xfId="7207" builtinId="8" hidden="1"/>
    <cellStyle name="Hyperlink" xfId="7209" builtinId="8" hidden="1"/>
    <cellStyle name="Hyperlink" xfId="7211" builtinId="8" hidden="1"/>
    <cellStyle name="Hyperlink" xfId="7213" builtinId="8" hidden="1"/>
    <cellStyle name="Hyperlink" xfId="7215" builtinId="8" hidden="1"/>
    <cellStyle name="Hyperlink" xfId="7217" builtinId="8" hidden="1"/>
    <cellStyle name="Hyperlink" xfId="7219" builtinId="8" hidden="1"/>
    <cellStyle name="Hyperlink" xfId="7221" builtinId="8" hidden="1"/>
    <cellStyle name="Hyperlink" xfId="7223" builtinId="8" hidden="1"/>
    <cellStyle name="Hyperlink" xfId="7225" builtinId="8" hidden="1"/>
    <cellStyle name="Hyperlink" xfId="7227" builtinId="8" hidden="1"/>
    <cellStyle name="Hyperlink" xfId="7229" builtinId="8" hidden="1"/>
    <cellStyle name="Hyperlink" xfId="7231" builtinId="8" hidden="1"/>
    <cellStyle name="Hyperlink" xfId="7233" builtinId="8" hidden="1"/>
    <cellStyle name="Hyperlink" xfId="7235" builtinId="8" hidden="1"/>
    <cellStyle name="Hyperlink" xfId="7237" builtinId="8" hidden="1"/>
    <cellStyle name="Hyperlink" xfId="7239" builtinId="8" hidden="1"/>
    <cellStyle name="Hyperlink" xfId="7241" builtinId="8" hidden="1"/>
    <cellStyle name="Hyperlink" xfId="7243" builtinId="8" hidden="1"/>
    <cellStyle name="Hyperlink" xfId="7245" builtinId="8" hidden="1"/>
    <cellStyle name="Hyperlink" xfId="7247" builtinId="8" hidden="1"/>
    <cellStyle name="Hyperlink" xfId="7249" builtinId="8" hidden="1"/>
    <cellStyle name="Hyperlink" xfId="7251" builtinId="8" hidden="1"/>
    <cellStyle name="Hyperlink" xfId="7253" builtinId="8" hidden="1"/>
    <cellStyle name="Hyperlink" xfId="7255" builtinId="8" hidden="1"/>
    <cellStyle name="Hyperlink" xfId="7257" builtinId="8" hidden="1"/>
    <cellStyle name="Hyperlink" xfId="7259" builtinId="8" hidden="1"/>
    <cellStyle name="Hyperlink" xfId="7261" builtinId="8" hidden="1"/>
    <cellStyle name="Hyperlink" xfId="7263" builtinId="8" hidden="1"/>
    <cellStyle name="Hyperlink" xfId="7265" builtinId="8" hidden="1"/>
    <cellStyle name="Hyperlink" xfId="7267" builtinId="8" hidden="1"/>
    <cellStyle name="Hyperlink" xfId="7269" builtinId="8" hidden="1"/>
    <cellStyle name="Hyperlink" xfId="7271" builtinId="8" hidden="1"/>
    <cellStyle name="Hyperlink" xfId="7273" builtinId="8" hidden="1"/>
    <cellStyle name="Hyperlink" xfId="7275" builtinId="8" hidden="1"/>
    <cellStyle name="Hyperlink" xfId="7277" builtinId="8" hidden="1"/>
    <cellStyle name="Hyperlink" xfId="7279" builtinId="8" hidden="1"/>
    <cellStyle name="Hyperlink" xfId="7281" builtinId="8" hidden="1"/>
    <cellStyle name="Hyperlink" xfId="7283" builtinId="8" hidden="1"/>
    <cellStyle name="Hyperlink" xfId="7285" builtinId="8" hidden="1"/>
    <cellStyle name="Hyperlink" xfId="7287" builtinId="8" hidden="1"/>
    <cellStyle name="Hyperlink" xfId="7289" builtinId="8" hidden="1"/>
    <cellStyle name="Hyperlink" xfId="7291" builtinId="8" hidden="1"/>
    <cellStyle name="Hyperlink" xfId="7293" builtinId="8" hidden="1"/>
    <cellStyle name="Hyperlink" xfId="7295" builtinId="8" hidden="1"/>
    <cellStyle name="Hyperlink" xfId="7297" builtinId="8" hidden="1"/>
    <cellStyle name="Hyperlink" xfId="7299" builtinId="8" hidden="1"/>
    <cellStyle name="Hyperlink" xfId="7301" builtinId="8" hidden="1"/>
    <cellStyle name="Hyperlink" xfId="7303" builtinId="8" hidden="1"/>
    <cellStyle name="Hyperlink" xfId="7305" builtinId="8" hidden="1"/>
    <cellStyle name="Hyperlink" xfId="7307" builtinId="8" hidden="1"/>
    <cellStyle name="Hyperlink" xfId="7309" builtinId="8" hidden="1"/>
    <cellStyle name="Hyperlink" xfId="7311" builtinId="8" hidden="1"/>
    <cellStyle name="Hyperlink" xfId="7313" builtinId="8" hidden="1"/>
    <cellStyle name="Hyperlink" xfId="7315" builtinId="8" hidden="1"/>
    <cellStyle name="Hyperlink" xfId="7317" builtinId="8" hidden="1"/>
    <cellStyle name="Hyperlink" xfId="7319" builtinId="8" hidden="1"/>
    <cellStyle name="Hyperlink" xfId="7321" builtinId="8" hidden="1"/>
    <cellStyle name="Hyperlink" xfId="7323" builtinId="8" hidden="1"/>
    <cellStyle name="Hyperlink" xfId="7325" builtinId="8" hidden="1"/>
    <cellStyle name="Hyperlink" xfId="7327" builtinId="8" hidden="1"/>
    <cellStyle name="Hyperlink" xfId="7329" builtinId="8" hidden="1"/>
    <cellStyle name="Hyperlink" xfId="7331" builtinId="8" hidden="1"/>
    <cellStyle name="Hyperlink" xfId="7333" builtinId="8" hidden="1"/>
    <cellStyle name="Hyperlink" xfId="7335" builtinId="8" hidden="1"/>
    <cellStyle name="Hyperlink" xfId="7337" builtinId="8" hidden="1"/>
    <cellStyle name="Hyperlink" xfId="7339" builtinId="8" hidden="1"/>
    <cellStyle name="Hyperlink" xfId="7341" builtinId="8" hidden="1"/>
    <cellStyle name="Hyperlink" xfId="7343" builtinId="8" hidden="1"/>
    <cellStyle name="Hyperlink" xfId="7345" builtinId="8" hidden="1"/>
    <cellStyle name="Hyperlink" xfId="7347" builtinId="8" hidden="1"/>
    <cellStyle name="Hyperlink" xfId="7349" builtinId="8" hidden="1"/>
    <cellStyle name="Hyperlink" xfId="7351" builtinId="8" hidden="1"/>
    <cellStyle name="Hyperlink" xfId="7353" builtinId="8" hidden="1"/>
    <cellStyle name="Hyperlink" xfId="7355" builtinId="8" hidden="1"/>
    <cellStyle name="Hyperlink" xfId="7357" builtinId="8" hidden="1"/>
    <cellStyle name="Hyperlink" xfId="7359" builtinId="8" hidden="1"/>
    <cellStyle name="Hyperlink" xfId="7361" builtinId="8" hidden="1"/>
    <cellStyle name="Hyperlink" xfId="7363" builtinId="8" hidden="1"/>
    <cellStyle name="Hyperlink" xfId="7365" builtinId="8" hidden="1"/>
    <cellStyle name="Hyperlink" xfId="7367" builtinId="8" hidden="1"/>
    <cellStyle name="Hyperlink" xfId="7369" builtinId="8" hidden="1"/>
    <cellStyle name="Hyperlink" xfId="7371" builtinId="8" hidden="1"/>
    <cellStyle name="Hyperlink" xfId="7373" builtinId="8" hidden="1"/>
    <cellStyle name="Hyperlink" xfId="7375" builtinId="8" hidden="1"/>
    <cellStyle name="Hyperlink" xfId="7377" builtinId="8" hidden="1"/>
    <cellStyle name="Hyperlink" xfId="7379" builtinId="8" hidden="1"/>
    <cellStyle name="Hyperlink" xfId="7381" builtinId="8" hidden="1"/>
    <cellStyle name="Hyperlink" xfId="7383" builtinId="8" hidden="1"/>
    <cellStyle name="Hyperlink" xfId="7385" builtinId="8" hidden="1"/>
    <cellStyle name="Hyperlink" xfId="7387" builtinId="8" hidden="1"/>
    <cellStyle name="Hyperlink" xfId="7389" builtinId="8" hidden="1"/>
    <cellStyle name="Hyperlink" xfId="7391" builtinId="8" hidden="1"/>
    <cellStyle name="Hyperlink" xfId="7393" builtinId="8" hidden="1"/>
    <cellStyle name="Hyperlink" xfId="7395" builtinId="8" hidden="1"/>
    <cellStyle name="Hyperlink" xfId="7397" builtinId="8" hidden="1"/>
    <cellStyle name="Hyperlink" xfId="7399" builtinId="8" hidden="1"/>
    <cellStyle name="Hyperlink" xfId="7401" builtinId="8" hidden="1"/>
    <cellStyle name="Hyperlink" xfId="7403" builtinId="8" hidden="1"/>
    <cellStyle name="Hyperlink" xfId="7405" builtinId="8" hidden="1"/>
    <cellStyle name="Hyperlink" xfId="7407" builtinId="8" hidden="1"/>
    <cellStyle name="Hyperlink" xfId="7409" builtinId="8" hidden="1"/>
    <cellStyle name="Hyperlink" xfId="7411" builtinId="8" hidden="1"/>
    <cellStyle name="Hyperlink" xfId="7413" builtinId="8" hidden="1"/>
    <cellStyle name="Hyperlink" xfId="7415" builtinId="8" hidden="1"/>
    <cellStyle name="Hyperlink" xfId="7417" builtinId="8" hidden="1"/>
    <cellStyle name="Hyperlink" xfId="7419" builtinId="8" hidden="1"/>
    <cellStyle name="Hyperlink" xfId="7421" builtinId="8" hidden="1"/>
    <cellStyle name="Hyperlink" xfId="7423" builtinId="8" hidden="1"/>
    <cellStyle name="Hyperlink" xfId="7425" builtinId="8" hidden="1"/>
    <cellStyle name="Hyperlink" xfId="7427" builtinId="8" hidden="1"/>
    <cellStyle name="Hyperlink" xfId="7429" builtinId="8" hidden="1"/>
    <cellStyle name="Hyperlink" xfId="7431" builtinId="8" hidden="1"/>
    <cellStyle name="Hyperlink" xfId="7433" builtinId="8" hidden="1"/>
    <cellStyle name="Hyperlink" xfId="7435" builtinId="8" hidden="1"/>
    <cellStyle name="Hyperlink" xfId="7437" builtinId="8" hidden="1"/>
    <cellStyle name="Hyperlink" xfId="7439" builtinId="8" hidden="1"/>
    <cellStyle name="Hyperlink" xfId="7441" builtinId="8" hidden="1"/>
    <cellStyle name="Hyperlink" xfId="7443" builtinId="8" hidden="1"/>
    <cellStyle name="Hyperlink" xfId="7445" builtinId="8" hidden="1"/>
    <cellStyle name="Hyperlink" xfId="7447" builtinId="8" hidden="1"/>
    <cellStyle name="Hyperlink" xfId="7449" builtinId="8" hidden="1"/>
    <cellStyle name="Hyperlink" xfId="7451" builtinId="8" hidden="1"/>
    <cellStyle name="Hyperlink" xfId="7453" builtinId="8" hidden="1"/>
    <cellStyle name="Hyperlink" xfId="7455" builtinId="8" hidden="1"/>
    <cellStyle name="Hyperlink" xfId="7457" builtinId="8" hidden="1"/>
    <cellStyle name="Hyperlink" xfId="7459" builtinId="8" hidden="1"/>
    <cellStyle name="Hyperlink" xfId="7461" builtinId="8" hidden="1"/>
    <cellStyle name="Hyperlink" xfId="7463" builtinId="8" hidden="1"/>
    <cellStyle name="Hyperlink" xfId="7465" builtinId="8" hidden="1"/>
    <cellStyle name="Hyperlink" xfId="7467" builtinId="8" hidden="1"/>
    <cellStyle name="Hyperlink" xfId="7469" builtinId="8" hidden="1"/>
    <cellStyle name="Hyperlink" xfId="7471" builtinId="8" hidden="1"/>
    <cellStyle name="Hyperlink" xfId="7473" builtinId="8" hidden="1"/>
    <cellStyle name="Hyperlink" xfId="7475" builtinId="8" hidden="1"/>
    <cellStyle name="Hyperlink" xfId="7477" builtinId="8" hidden="1"/>
    <cellStyle name="Hyperlink" xfId="7479" builtinId="8" hidden="1"/>
    <cellStyle name="Hyperlink" xfId="7481" builtinId="8" hidden="1"/>
    <cellStyle name="Hyperlink" xfId="7483" builtinId="8" hidden="1"/>
    <cellStyle name="Hyperlink" xfId="7485" builtinId="8" hidden="1"/>
    <cellStyle name="Hyperlink" xfId="7487" builtinId="8" hidden="1"/>
    <cellStyle name="Hyperlink" xfId="7489" builtinId="8" hidden="1"/>
    <cellStyle name="Hyperlink" xfId="7491" builtinId="8" hidden="1"/>
    <cellStyle name="Hyperlink" xfId="7493" builtinId="8" hidden="1"/>
    <cellStyle name="Hyperlink" xfId="7495" builtinId="8" hidden="1"/>
    <cellStyle name="Hyperlink" xfId="7497" builtinId="8" hidden="1"/>
    <cellStyle name="Hyperlink" xfId="7499" builtinId="8" hidden="1"/>
    <cellStyle name="Hyperlink" xfId="7501" builtinId="8" hidden="1"/>
    <cellStyle name="Hyperlink" xfId="7503" builtinId="8" hidden="1"/>
    <cellStyle name="Hyperlink" xfId="7505" builtinId="8" hidden="1"/>
    <cellStyle name="Hyperlink" xfId="7507" builtinId="8" hidden="1"/>
    <cellStyle name="Hyperlink" xfId="7509" builtinId="8" hidden="1"/>
    <cellStyle name="Hyperlink" xfId="7511" builtinId="8" hidden="1"/>
    <cellStyle name="Hyperlink" xfId="7513" builtinId="8" hidden="1"/>
    <cellStyle name="Hyperlink" xfId="7515" builtinId="8" hidden="1"/>
    <cellStyle name="Hyperlink" xfId="7517" builtinId="8" hidden="1"/>
    <cellStyle name="Hyperlink" xfId="7519" builtinId="8" hidden="1"/>
    <cellStyle name="Hyperlink" xfId="7521" builtinId="8" hidden="1"/>
    <cellStyle name="Hyperlink" xfId="7523" builtinId="8" hidden="1"/>
    <cellStyle name="Hyperlink" xfId="7525" builtinId="8" hidden="1"/>
    <cellStyle name="Hyperlink" xfId="7527" builtinId="8" hidden="1"/>
    <cellStyle name="Hyperlink" xfId="7529" builtinId="8" hidden="1"/>
    <cellStyle name="Hyperlink" xfId="7531" builtinId="8" hidden="1"/>
    <cellStyle name="Hyperlink" xfId="7533" builtinId="8" hidden="1"/>
    <cellStyle name="Hyperlink" xfId="7535" builtinId="8" hidden="1"/>
    <cellStyle name="Hyperlink" xfId="7537" builtinId="8" hidden="1"/>
    <cellStyle name="Hyperlink" xfId="7539" builtinId="8" hidden="1"/>
    <cellStyle name="Hyperlink" xfId="7541" builtinId="8" hidden="1"/>
    <cellStyle name="Hyperlink" xfId="7543" builtinId="8" hidden="1"/>
    <cellStyle name="Hyperlink" xfId="7545" builtinId="8" hidden="1"/>
    <cellStyle name="Hyperlink" xfId="7547" builtinId="8" hidden="1"/>
    <cellStyle name="Hyperlink" xfId="7549" builtinId="8" hidden="1"/>
    <cellStyle name="Hyperlink" xfId="7551" builtinId="8" hidden="1"/>
    <cellStyle name="Hyperlink" xfId="7553" builtinId="8" hidden="1"/>
    <cellStyle name="Hyperlink" xfId="7555" builtinId="8" hidden="1"/>
    <cellStyle name="Hyperlink" xfId="7557" builtinId="8" hidden="1"/>
    <cellStyle name="Hyperlink" xfId="7559" builtinId="8" hidden="1"/>
    <cellStyle name="Hyperlink" xfId="7561" builtinId="8" hidden="1"/>
    <cellStyle name="Hyperlink" xfId="7563" builtinId="8" hidden="1"/>
    <cellStyle name="Hyperlink" xfId="7565" builtinId="8" hidden="1"/>
    <cellStyle name="Hyperlink" xfId="7567" builtinId="8" hidden="1"/>
    <cellStyle name="Hyperlink" xfId="7569" builtinId="8" hidden="1"/>
    <cellStyle name="Hyperlink" xfId="7571" builtinId="8" hidden="1"/>
    <cellStyle name="Hyperlink" xfId="7573" builtinId="8" hidden="1"/>
    <cellStyle name="Hyperlink" xfId="7575" builtinId="8" hidden="1"/>
    <cellStyle name="Hyperlink" xfId="7577" builtinId="8" hidden="1"/>
    <cellStyle name="Hyperlink" xfId="7579" builtinId="8" hidden="1"/>
    <cellStyle name="Hyperlink" xfId="7581" builtinId="8" hidden="1"/>
    <cellStyle name="Hyperlink" xfId="7583" builtinId="8" hidden="1"/>
    <cellStyle name="Hyperlink" xfId="7585" builtinId="8" hidden="1"/>
    <cellStyle name="Hyperlink" xfId="7587" builtinId="8" hidden="1"/>
    <cellStyle name="Hyperlink" xfId="7589" builtinId="8" hidden="1"/>
    <cellStyle name="Hyperlink" xfId="7591" builtinId="8" hidden="1"/>
    <cellStyle name="Hyperlink" xfId="7593" builtinId="8" hidden="1"/>
    <cellStyle name="Hyperlink" xfId="7595" builtinId="8" hidden="1"/>
    <cellStyle name="Hyperlink" xfId="7597" builtinId="8" hidden="1"/>
    <cellStyle name="Hyperlink" xfId="7599" builtinId="8" hidden="1"/>
    <cellStyle name="Hyperlink" xfId="7601" builtinId="8" hidden="1"/>
    <cellStyle name="Hyperlink" xfId="7603" builtinId="8" hidden="1"/>
    <cellStyle name="Hyperlink" xfId="7605" builtinId="8" hidden="1"/>
    <cellStyle name="Hyperlink" xfId="7607" builtinId="8" hidden="1"/>
    <cellStyle name="Hyperlink" xfId="7609" builtinId="8" hidden="1"/>
    <cellStyle name="Hyperlink" xfId="7611" builtinId="8" hidden="1"/>
    <cellStyle name="Hyperlink" xfId="7613" builtinId="8" hidden="1"/>
    <cellStyle name="Hyperlink" xfId="7615" builtinId="8" hidden="1"/>
    <cellStyle name="Hyperlink" xfId="7617" builtinId="8" hidden="1"/>
    <cellStyle name="Hyperlink" xfId="7619" builtinId="8" hidden="1"/>
    <cellStyle name="Hyperlink" xfId="7621" builtinId="8" hidden="1"/>
    <cellStyle name="Hyperlink" xfId="7623" builtinId="8" hidden="1"/>
    <cellStyle name="Hyperlink" xfId="7625" builtinId="8" hidden="1"/>
    <cellStyle name="Hyperlink" xfId="7627" builtinId="8" hidden="1"/>
    <cellStyle name="Hyperlink" xfId="7629" builtinId="8" hidden="1"/>
    <cellStyle name="Hyperlink" xfId="7631" builtinId="8" hidden="1"/>
    <cellStyle name="Hyperlink" xfId="7633" builtinId="8" hidden="1"/>
    <cellStyle name="Hyperlink" xfId="7635" builtinId="8" hidden="1"/>
    <cellStyle name="Hyperlink" xfId="7637" builtinId="8" hidden="1"/>
    <cellStyle name="Hyperlink" xfId="7639" builtinId="8" hidden="1"/>
    <cellStyle name="Hyperlink" xfId="7641" builtinId="8" hidden="1"/>
    <cellStyle name="Hyperlink" xfId="7643" builtinId="8" hidden="1"/>
    <cellStyle name="Hyperlink" xfId="7645" builtinId="8" hidden="1"/>
    <cellStyle name="Hyperlink" xfId="7647" builtinId="8" hidden="1"/>
    <cellStyle name="Hyperlink" xfId="7649" builtinId="8" hidden="1"/>
    <cellStyle name="Hyperlink" xfId="7651" builtinId="8" hidden="1"/>
    <cellStyle name="Hyperlink" xfId="7653" builtinId="8" hidden="1"/>
    <cellStyle name="Hyperlink" xfId="7655" builtinId="8" hidden="1"/>
    <cellStyle name="Hyperlink" xfId="7657" builtinId="8" hidden="1"/>
    <cellStyle name="Hyperlink" xfId="7659" builtinId="8" hidden="1"/>
    <cellStyle name="Hyperlink" xfId="7661" builtinId="8" hidden="1"/>
    <cellStyle name="Hyperlink" xfId="7663" builtinId="8" hidden="1"/>
    <cellStyle name="Hyperlink" xfId="7665" builtinId="8" hidden="1"/>
    <cellStyle name="Hyperlink" xfId="7667" builtinId="8" hidden="1"/>
    <cellStyle name="Hyperlink" xfId="7669" builtinId="8" hidden="1"/>
    <cellStyle name="Hyperlink" xfId="7671" builtinId="8" hidden="1"/>
    <cellStyle name="Hyperlink" xfId="7673" builtinId="8" hidden="1"/>
    <cellStyle name="Hyperlink" xfId="7675" builtinId="8" hidden="1"/>
    <cellStyle name="Hyperlink" xfId="7677" builtinId="8" hidden="1"/>
    <cellStyle name="Hyperlink" xfId="7679" builtinId="8" hidden="1"/>
    <cellStyle name="Hyperlink" xfId="7681" builtinId="8" hidden="1"/>
    <cellStyle name="Hyperlink" xfId="7683" builtinId="8" hidden="1"/>
    <cellStyle name="Hyperlink" xfId="7685" builtinId="8" hidden="1"/>
    <cellStyle name="Hyperlink" xfId="7687" builtinId="8" hidden="1"/>
    <cellStyle name="Hyperlink" xfId="7689" builtinId="8" hidden="1"/>
    <cellStyle name="Hyperlink" xfId="7691" builtinId="8" hidden="1"/>
    <cellStyle name="Hyperlink" xfId="7693" builtinId="8" hidden="1"/>
    <cellStyle name="Hyperlink" xfId="7695" builtinId="8" hidden="1"/>
    <cellStyle name="Hyperlink" xfId="7697" builtinId="8" hidden="1"/>
    <cellStyle name="Hyperlink" xfId="7699" builtinId="8" hidden="1"/>
    <cellStyle name="Hyperlink" xfId="7701" builtinId="8" hidden="1"/>
    <cellStyle name="Hyperlink" xfId="7703" builtinId="8" hidden="1"/>
    <cellStyle name="Hyperlink" xfId="7705" builtinId="8" hidden="1"/>
    <cellStyle name="Hyperlink" xfId="7707" builtinId="8" hidden="1"/>
    <cellStyle name="Hyperlink" xfId="7709" builtinId="8" hidden="1"/>
    <cellStyle name="Hyperlink" xfId="7711" builtinId="8" hidden="1"/>
    <cellStyle name="Hyperlink" xfId="7713" builtinId="8" hidden="1"/>
    <cellStyle name="Hyperlink" xfId="7715" builtinId="8" hidden="1"/>
    <cellStyle name="Hyperlink" xfId="7717" builtinId="8" hidden="1"/>
    <cellStyle name="Hyperlink" xfId="7719" builtinId="8" hidden="1"/>
    <cellStyle name="Hyperlink" xfId="7721" builtinId="8" hidden="1"/>
    <cellStyle name="Hyperlink" xfId="7723" builtinId="8" hidden="1"/>
    <cellStyle name="Hyperlink" xfId="7725" builtinId="8" hidden="1"/>
    <cellStyle name="Hyperlink" xfId="7727" builtinId="8" hidden="1"/>
    <cellStyle name="Hyperlink" xfId="7729" builtinId="8" hidden="1"/>
    <cellStyle name="Hyperlink" xfId="7731" builtinId="8" hidden="1"/>
    <cellStyle name="Hyperlink" xfId="7733" builtinId="8" hidden="1"/>
    <cellStyle name="Hyperlink" xfId="7735" builtinId="8" hidden="1"/>
    <cellStyle name="Hyperlink" xfId="7737" builtinId="8" hidden="1"/>
    <cellStyle name="Hyperlink" xfId="7739" builtinId="8" hidden="1"/>
    <cellStyle name="Hyperlink" xfId="7741" builtinId="8" hidden="1"/>
    <cellStyle name="Hyperlink" xfId="7743" builtinId="8" hidden="1"/>
    <cellStyle name="Hyperlink" xfId="7745" builtinId="8" hidden="1"/>
    <cellStyle name="Hyperlink" xfId="7747" builtinId="8" hidden="1"/>
    <cellStyle name="Hyperlink" xfId="7749" builtinId="8" hidden="1"/>
    <cellStyle name="Hyperlink" xfId="7751" builtinId="8" hidden="1"/>
    <cellStyle name="Hyperlink" xfId="7753" builtinId="8" hidden="1"/>
    <cellStyle name="Hyperlink" xfId="7755" builtinId="8" hidden="1"/>
    <cellStyle name="Hyperlink" xfId="7757" builtinId="8" hidden="1"/>
    <cellStyle name="Hyperlink" xfId="7759" builtinId="8" hidden="1"/>
    <cellStyle name="Hyperlink" xfId="7761" builtinId="8" hidden="1"/>
    <cellStyle name="Hyperlink" xfId="7763" builtinId="8" hidden="1"/>
    <cellStyle name="Hyperlink" xfId="7765" builtinId="8" hidden="1"/>
    <cellStyle name="Hyperlink" xfId="7767" builtinId="8" hidden="1"/>
    <cellStyle name="Hyperlink" xfId="7769" builtinId="8" hidden="1"/>
    <cellStyle name="Hyperlink" xfId="7771" builtinId="8" hidden="1"/>
    <cellStyle name="Hyperlink" xfId="7773" builtinId="8" hidden="1"/>
    <cellStyle name="Hyperlink" xfId="7775" builtinId="8" hidden="1"/>
    <cellStyle name="Hyperlink" xfId="7777" builtinId="8" hidden="1"/>
    <cellStyle name="Hyperlink" xfId="7779" builtinId="8" hidden="1"/>
    <cellStyle name="Hyperlink" xfId="7781" builtinId="8" hidden="1"/>
    <cellStyle name="Hyperlink" xfId="7783" builtinId="8" hidden="1"/>
    <cellStyle name="Hyperlink" xfId="7785" builtinId="8" hidden="1"/>
    <cellStyle name="Hyperlink" xfId="7787" builtinId="8" hidden="1"/>
    <cellStyle name="Hyperlink" xfId="7789" builtinId="8" hidden="1"/>
    <cellStyle name="Hyperlink" xfId="7791" builtinId="8" hidden="1"/>
    <cellStyle name="Hyperlink" xfId="7793" builtinId="8" hidden="1"/>
    <cellStyle name="Hyperlink" xfId="7795" builtinId="8" hidden="1"/>
    <cellStyle name="Hyperlink" xfId="7797" builtinId="8" hidden="1"/>
    <cellStyle name="Hyperlink" xfId="7799" builtinId="8" hidden="1"/>
    <cellStyle name="Hyperlink" xfId="7801" builtinId="8" hidden="1"/>
    <cellStyle name="Hyperlink" xfId="7803" builtinId="8" hidden="1"/>
    <cellStyle name="Hyperlink" xfId="7805" builtinId="8" hidden="1"/>
    <cellStyle name="Hyperlink" xfId="7807" builtinId="8" hidden="1"/>
    <cellStyle name="Hyperlink" xfId="7809" builtinId="8" hidden="1"/>
    <cellStyle name="Hyperlink" xfId="7811" builtinId="8" hidden="1"/>
    <cellStyle name="Hyperlink" xfId="7813" builtinId="8" hidden="1"/>
    <cellStyle name="Hyperlink" xfId="7815" builtinId="8" hidden="1"/>
    <cellStyle name="Hyperlink" xfId="7817" builtinId="8" hidden="1"/>
    <cellStyle name="Hyperlink" xfId="7819" builtinId="8" hidden="1"/>
    <cellStyle name="Hyperlink" xfId="7821" builtinId="8" hidden="1"/>
    <cellStyle name="Hyperlink" xfId="7823" builtinId="8" hidden="1"/>
    <cellStyle name="Hyperlink" xfId="7825" builtinId="8" hidden="1"/>
    <cellStyle name="Hyperlink" xfId="7827" builtinId="8" hidden="1"/>
    <cellStyle name="Hyperlink" xfId="7829" builtinId="8" hidden="1"/>
    <cellStyle name="Hyperlink" xfId="7831" builtinId="8" hidden="1"/>
    <cellStyle name="Hyperlink" xfId="7833" builtinId="8" hidden="1"/>
    <cellStyle name="Hyperlink" xfId="7835" builtinId="8" hidden="1"/>
    <cellStyle name="Hyperlink" xfId="7837" builtinId="8" hidden="1"/>
    <cellStyle name="Hyperlink" xfId="7839" builtinId="8" hidden="1"/>
    <cellStyle name="Hyperlink" xfId="7841" builtinId="8" hidden="1"/>
    <cellStyle name="Hyperlink" xfId="7843" builtinId="8" hidden="1"/>
    <cellStyle name="Hyperlink" xfId="7845" builtinId="8" hidden="1"/>
    <cellStyle name="Hyperlink" xfId="7847" builtinId="8" hidden="1"/>
    <cellStyle name="Hyperlink" xfId="7849" builtinId="8" hidden="1"/>
    <cellStyle name="Hyperlink" xfId="7851" builtinId="8" hidden="1"/>
    <cellStyle name="Hyperlink" xfId="7853" builtinId="8" hidden="1"/>
    <cellStyle name="Hyperlink" xfId="7855" builtinId="8" hidden="1"/>
    <cellStyle name="Hyperlink" xfId="7857" builtinId="8" hidden="1"/>
    <cellStyle name="Hyperlink" xfId="7859" builtinId="8" hidden="1"/>
    <cellStyle name="Hyperlink" xfId="7861" builtinId="8" hidden="1"/>
    <cellStyle name="Hyperlink" xfId="7863" builtinId="8" hidden="1"/>
    <cellStyle name="Hyperlink" xfId="7865" builtinId="8" hidden="1"/>
    <cellStyle name="Hyperlink" xfId="7867" builtinId="8" hidden="1"/>
    <cellStyle name="Hyperlink" xfId="7869" builtinId="8" hidden="1"/>
    <cellStyle name="Hyperlink" xfId="7871" builtinId="8" hidden="1"/>
    <cellStyle name="Hyperlink" xfId="7873" builtinId="8" hidden="1"/>
    <cellStyle name="Hyperlink" xfId="7875" builtinId="8" hidden="1"/>
    <cellStyle name="Hyperlink" xfId="7877" builtinId="8" hidden="1"/>
    <cellStyle name="Hyperlink" xfId="7879" builtinId="8" hidden="1"/>
    <cellStyle name="Hyperlink" xfId="7881" builtinId="8" hidden="1"/>
    <cellStyle name="Hyperlink" xfId="7883" builtinId="8" hidden="1"/>
    <cellStyle name="Hyperlink" xfId="7885" builtinId="8" hidden="1"/>
    <cellStyle name="Hyperlink" xfId="7887" builtinId="8" hidden="1"/>
    <cellStyle name="Hyperlink" xfId="7889" builtinId="8" hidden="1"/>
    <cellStyle name="Hyperlink" xfId="7891" builtinId="8" hidden="1"/>
    <cellStyle name="Hyperlink" xfId="7893" builtinId="8" hidden="1"/>
    <cellStyle name="Hyperlink" xfId="7895" builtinId="8" hidden="1"/>
    <cellStyle name="Hyperlink" xfId="7897" builtinId="8" hidden="1"/>
    <cellStyle name="Hyperlink" xfId="7899" builtinId="8" hidden="1"/>
    <cellStyle name="Hyperlink" xfId="7901" builtinId="8" hidden="1"/>
    <cellStyle name="Hyperlink" xfId="7903" builtinId="8" hidden="1"/>
    <cellStyle name="Hyperlink" xfId="7905" builtinId="8" hidden="1"/>
    <cellStyle name="Hyperlink" xfId="7907" builtinId="8" hidden="1"/>
    <cellStyle name="Hyperlink" xfId="7909" builtinId="8" hidden="1"/>
    <cellStyle name="Hyperlink" xfId="7911" builtinId="8" hidden="1"/>
    <cellStyle name="Hyperlink" xfId="7913" builtinId="8" hidden="1"/>
    <cellStyle name="Hyperlink" xfId="7915" builtinId="8" hidden="1"/>
    <cellStyle name="Hyperlink" xfId="7917" builtinId="8" hidden="1"/>
    <cellStyle name="Hyperlink" xfId="7919" builtinId="8" hidden="1"/>
    <cellStyle name="Hyperlink" xfId="7921" builtinId="8" hidden="1"/>
    <cellStyle name="Hyperlink" xfId="7923" builtinId="8" hidden="1"/>
    <cellStyle name="Hyperlink" xfId="7925" builtinId="8" hidden="1"/>
    <cellStyle name="Hyperlink" xfId="7927" builtinId="8" hidden="1"/>
    <cellStyle name="Hyperlink" xfId="7929" builtinId="8" hidden="1"/>
    <cellStyle name="Hyperlink" xfId="7931" builtinId="8" hidden="1"/>
    <cellStyle name="Hyperlink" xfId="7933" builtinId="8" hidden="1"/>
    <cellStyle name="Hyperlink" xfId="7935" builtinId="8" hidden="1"/>
    <cellStyle name="Hyperlink" xfId="7937" builtinId="8" hidden="1"/>
    <cellStyle name="Hyperlink" xfId="7939" builtinId="8" hidden="1"/>
    <cellStyle name="Hyperlink" xfId="7941" builtinId="8" hidden="1"/>
    <cellStyle name="Hyperlink" xfId="7943" builtinId="8" hidden="1"/>
    <cellStyle name="Hyperlink" xfId="7945" builtinId="8" hidden="1"/>
    <cellStyle name="Hyperlink" xfId="7947" builtinId="8" hidden="1"/>
    <cellStyle name="Hyperlink" xfId="7949" builtinId="8" hidden="1"/>
    <cellStyle name="Hyperlink" xfId="7951" builtinId="8" hidden="1"/>
    <cellStyle name="Hyperlink" xfId="7953" builtinId="8" hidden="1"/>
    <cellStyle name="Hyperlink" xfId="7955" builtinId="8" hidden="1"/>
    <cellStyle name="Hyperlink" xfId="7957" builtinId="8" hidden="1"/>
    <cellStyle name="Hyperlink" xfId="7959" builtinId="8" hidden="1"/>
    <cellStyle name="Hyperlink" xfId="7961" builtinId="8" hidden="1"/>
    <cellStyle name="Hyperlink" xfId="7963" builtinId="8" hidden="1"/>
    <cellStyle name="Hyperlink" xfId="7965" builtinId="8" hidden="1"/>
    <cellStyle name="Hyperlink" xfId="7967" builtinId="8" hidden="1"/>
    <cellStyle name="Hyperlink" xfId="7969" builtinId="8" hidden="1"/>
    <cellStyle name="Hyperlink" xfId="7971" builtinId="8" hidden="1"/>
    <cellStyle name="Hyperlink" xfId="7973" builtinId="8" hidden="1"/>
    <cellStyle name="Hyperlink" xfId="7975" builtinId="8" hidden="1"/>
    <cellStyle name="Hyperlink" xfId="7977" builtinId="8" hidden="1"/>
    <cellStyle name="Hyperlink" xfId="7979" builtinId="8" hidden="1"/>
    <cellStyle name="Hyperlink" xfId="7981" builtinId="8" hidden="1"/>
    <cellStyle name="Hyperlink" xfId="7983" builtinId="8" hidden="1"/>
    <cellStyle name="Hyperlink" xfId="7985" builtinId="8" hidden="1"/>
    <cellStyle name="Hyperlink" xfId="7987" builtinId="8" hidden="1"/>
    <cellStyle name="Hyperlink" xfId="7989" builtinId="8" hidden="1"/>
    <cellStyle name="Hyperlink" xfId="7991" builtinId="8" hidden="1"/>
    <cellStyle name="Hyperlink" xfId="7993" builtinId="8" hidden="1"/>
    <cellStyle name="Hyperlink" xfId="7995" builtinId="8" hidden="1"/>
    <cellStyle name="Hyperlink" xfId="7997" builtinId="8" hidden="1"/>
    <cellStyle name="Hyperlink" xfId="7999" builtinId="8" hidden="1"/>
    <cellStyle name="Hyperlink" xfId="8001" builtinId="8" hidden="1"/>
    <cellStyle name="Hyperlink" xfId="8003" builtinId="8" hidden="1"/>
    <cellStyle name="Hyperlink" xfId="8005" builtinId="8" hidden="1"/>
    <cellStyle name="Hyperlink" xfId="8007" builtinId="8" hidden="1"/>
    <cellStyle name="Hyperlink" xfId="8009" builtinId="8" hidden="1"/>
    <cellStyle name="Hyperlink" xfId="8011" builtinId="8" hidden="1"/>
    <cellStyle name="Hyperlink" xfId="8013" builtinId="8" hidden="1"/>
    <cellStyle name="Hyperlink" xfId="8015" builtinId="8" hidden="1"/>
    <cellStyle name="Hyperlink" xfId="8017" builtinId="8" hidden="1"/>
    <cellStyle name="Hyperlink" xfId="8019" builtinId="8" hidden="1"/>
    <cellStyle name="Hyperlink" xfId="8021" builtinId="8" hidden="1"/>
    <cellStyle name="Hyperlink" xfId="8023" builtinId="8" hidden="1"/>
    <cellStyle name="Hyperlink" xfId="8025" builtinId="8" hidden="1"/>
    <cellStyle name="Hyperlink" xfId="8027" builtinId="8" hidden="1"/>
    <cellStyle name="Hyperlink" xfId="8029" builtinId="8" hidden="1"/>
    <cellStyle name="Hyperlink" xfId="8031" builtinId="8" hidden="1"/>
    <cellStyle name="Hyperlink" xfId="8033" builtinId="8" hidden="1"/>
    <cellStyle name="Hyperlink" xfId="8035" builtinId="8" hidden="1"/>
    <cellStyle name="Hyperlink" xfId="8037" builtinId="8" hidden="1"/>
    <cellStyle name="Hyperlink" xfId="8039" builtinId="8" hidden="1"/>
    <cellStyle name="Hyperlink" xfId="8041" builtinId="8" hidden="1"/>
    <cellStyle name="Hyperlink" xfId="8043" builtinId="8" hidden="1"/>
    <cellStyle name="Hyperlink" xfId="8045" builtinId="8" hidden="1"/>
    <cellStyle name="Hyperlink" xfId="8047" builtinId="8" hidden="1"/>
    <cellStyle name="Hyperlink" xfId="8049" builtinId="8" hidden="1"/>
    <cellStyle name="Hyperlink" xfId="8051" builtinId="8" hidden="1"/>
    <cellStyle name="Hyperlink" xfId="8053" builtinId="8" hidden="1"/>
    <cellStyle name="Hyperlink" xfId="8055" builtinId="8" hidden="1"/>
    <cellStyle name="Hyperlink" xfId="8057" builtinId="8" hidden="1"/>
    <cellStyle name="Hyperlink" xfId="8059" builtinId="8" hidden="1"/>
    <cellStyle name="Hyperlink" xfId="8061" builtinId="8" hidden="1"/>
    <cellStyle name="Hyperlink" xfId="8063" builtinId="8" hidden="1"/>
    <cellStyle name="Hyperlink" xfId="8065" builtinId="8" hidden="1"/>
    <cellStyle name="Hyperlink" xfId="8067" builtinId="8" hidden="1"/>
    <cellStyle name="Hyperlink" xfId="8069" builtinId="8" hidden="1"/>
    <cellStyle name="Hyperlink" xfId="8071" builtinId="8" hidden="1"/>
    <cellStyle name="Hyperlink" xfId="8073" builtinId="8" hidden="1"/>
    <cellStyle name="Hyperlink" xfId="8075" builtinId="8" hidden="1"/>
    <cellStyle name="Hyperlink" xfId="8077" builtinId="8" hidden="1"/>
    <cellStyle name="Hyperlink" xfId="8079" builtinId="8" hidden="1"/>
    <cellStyle name="Hyperlink" xfId="8081" builtinId="8" hidden="1"/>
    <cellStyle name="Hyperlink" xfId="8083" builtinId="8" hidden="1"/>
    <cellStyle name="Hyperlink" xfId="8085" builtinId="8" hidden="1"/>
    <cellStyle name="Hyperlink" xfId="8087" builtinId="8" hidden="1"/>
    <cellStyle name="Hyperlink" xfId="8089" builtinId="8" hidden="1"/>
    <cellStyle name="Hyperlink" xfId="8091" builtinId="8" hidden="1"/>
    <cellStyle name="Hyperlink" xfId="8093" builtinId="8" hidden="1"/>
    <cellStyle name="Hyperlink" xfId="8095" builtinId="8" hidden="1"/>
    <cellStyle name="Hyperlink" xfId="8097" builtinId="8" hidden="1"/>
    <cellStyle name="Hyperlink" xfId="8099" builtinId="8" hidden="1"/>
    <cellStyle name="Hyperlink" xfId="8101" builtinId="8" hidden="1"/>
    <cellStyle name="Hyperlink" xfId="8103" builtinId="8" hidden="1"/>
    <cellStyle name="Hyperlink" xfId="8105" builtinId="8" hidden="1"/>
    <cellStyle name="Hyperlink" xfId="8107" builtinId="8" hidden="1"/>
    <cellStyle name="Hyperlink" xfId="8109" builtinId="8" hidden="1"/>
    <cellStyle name="Hyperlink" xfId="8111" builtinId="8" hidden="1"/>
    <cellStyle name="Hyperlink" xfId="8113" builtinId="8" hidden="1"/>
    <cellStyle name="Hyperlink" xfId="8115" builtinId="8" hidden="1"/>
    <cellStyle name="Hyperlink" xfId="8117" builtinId="8" hidden="1"/>
    <cellStyle name="Hyperlink" xfId="8119" builtinId="8" hidden="1"/>
    <cellStyle name="Hyperlink" xfId="8121" builtinId="8" hidden="1"/>
    <cellStyle name="Hyperlink" xfId="8123" builtinId="8" hidden="1"/>
    <cellStyle name="Hyperlink" xfId="8125" builtinId="8" hidden="1"/>
    <cellStyle name="Hyperlink" xfId="8127" builtinId="8" hidden="1"/>
    <cellStyle name="Hyperlink" xfId="8129" builtinId="8" hidden="1"/>
    <cellStyle name="Hyperlink" xfId="8131" builtinId="8" hidden="1"/>
    <cellStyle name="Hyperlink" xfId="8133" builtinId="8" hidden="1"/>
    <cellStyle name="Hyperlink" xfId="8135" builtinId="8" hidden="1"/>
    <cellStyle name="Hyperlink" xfId="8137" builtinId="8" hidden="1"/>
    <cellStyle name="Hyperlink" xfId="8139" builtinId="8" hidden="1"/>
    <cellStyle name="Hyperlink" xfId="8141" builtinId="8" hidden="1"/>
    <cellStyle name="Hyperlink" xfId="8143" builtinId="8" hidden="1"/>
    <cellStyle name="Hyperlink" xfId="8145" builtinId="8" hidden="1"/>
    <cellStyle name="Hyperlink" xfId="8147" builtinId="8" hidden="1"/>
    <cellStyle name="Hyperlink" xfId="8149" builtinId="8" hidden="1"/>
    <cellStyle name="Hyperlink" xfId="8151" builtinId="8" hidden="1"/>
    <cellStyle name="Hyperlink" xfId="8153" builtinId="8" hidden="1"/>
    <cellStyle name="Hyperlink" xfId="8155" builtinId="8" hidden="1"/>
    <cellStyle name="Hyperlink" xfId="8157" builtinId="8" hidden="1"/>
    <cellStyle name="Hyperlink" xfId="8159" builtinId="8" hidden="1"/>
    <cellStyle name="Hyperlink" xfId="8161" builtinId="8" hidden="1"/>
    <cellStyle name="Hyperlink" xfId="8163" builtinId="8" hidden="1"/>
    <cellStyle name="Hyperlink" xfId="8165" builtinId="8" hidden="1"/>
    <cellStyle name="Hyperlink" xfId="8167" builtinId="8" hidden="1"/>
    <cellStyle name="Hyperlink" xfId="8169" builtinId="8" hidden="1"/>
    <cellStyle name="Hyperlink" xfId="8171" builtinId="8" hidden="1"/>
    <cellStyle name="Hyperlink" xfId="8173" builtinId="8" hidden="1"/>
    <cellStyle name="Hyperlink" xfId="8175" builtinId="8" hidden="1"/>
    <cellStyle name="Hyperlink" xfId="8177" builtinId="8" hidden="1"/>
    <cellStyle name="Hyperlink" xfId="8179" builtinId="8" hidden="1"/>
    <cellStyle name="Hyperlink" xfId="8181" builtinId="8" hidden="1"/>
    <cellStyle name="Hyperlink" xfId="8183" builtinId="8" hidden="1"/>
    <cellStyle name="Hyperlink" xfId="8185" builtinId="8" hidden="1"/>
    <cellStyle name="Hyperlink" xfId="8187" builtinId="8" hidden="1"/>
    <cellStyle name="Hyperlink" xfId="8189" builtinId="8" hidden="1"/>
    <cellStyle name="Hyperlink" xfId="8191" builtinId="8" hidden="1"/>
    <cellStyle name="Hyperlink" xfId="8193" builtinId="8" hidden="1"/>
    <cellStyle name="Hyperlink" xfId="8195" builtinId="8" hidden="1"/>
    <cellStyle name="Hyperlink" xfId="8197" builtinId="8" hidden="1"/>
    <cellStyle name="Hyperlink" xfId="8199" builtinId="8" hidden="1"/>
    <cellStyle name="Hyperlink" xfId="8201" builtinId="8" hidden="1"/>
    <cellStyle name="Hyperlink" xfId="8203" builtinId="8" hidden="1"/>
    <cellStyle name="Hyperlink" xfId="8205" builtinId="8" hidden="1"/>
    <cellStyle name="Hyperlink" xfId="8207" builtinId="8" hidden="1"/>
    <cellStyle name="Hyperlink" xfId="8209" builtinId="8" hidden="1"/>
    <cellStyle name="Hyperlink" xfId="8211" builtinId="8" hidden="1"/>
    <cellStyle name="Hyperlink" xfId="8213" builtinId="8" hidden="1"/>
    <cellStyle name="Hyperlink" xfId="8215" builtinId="8" hidden="1"/>
    <cellStyle name="Hyperlink" xfId="8217" builtinId="8" hidden="1"/>
    <cellStyle name="Hyperlink" xfId="8219" builtinId="8" hidden="1"/>
    <cellStyle name="Hyperlink" xfId="8221" builtinId="8" hidden="1"/>
    <cellStyle name="Hyperlink" xfId="8223" builtinId="8" hidden="1"/>
    <cellStyle name="Hyperlink" xfId="8225" builtinId="8" hidden="1"/>
    <cellStyle name="Hyperlink" xfId="8227" builtinId="8" hidden="1"/>
    <cellStyle name="Hyperlink" xfId="8229" builtinId="8" hidden="1"/>
    <cellStyle name="Hyperlink" xfId="8231" builtinId="8" hidden="1"/>
    <cellStyle name="Hyperlink" xfId="8233" builtinId="8" hidden="1"/>
    <cellStyle name="Hyperlink" xfId="8235" builtinId="8" hidden="1"/>
    <cellStyle name="Hyperlink" xfId="8237" builtinId="8" hidden="1"/>
    <cellStyle name="Hyperlink" xfId="8239" builtinId="8" hidden="1"/>
    <cellStyle name="Hyperlink" xfId="8241" builtinId="8" hidden="1"/>
    <cellStyle name="Hyperlink" xfId="8243" builtinId="8" hidden="1"/>
    <cellStyle name="Hyperlink" xfId="8245" builtinId="8" hidden="1"/>
    <cellStyle name="Hyperlink" xfId="8247" builtinId="8" hidden="1"/>
    <cellStyle name="Hyperlink" xfId="8249" builtinId="8" hidden="1"/>
    <cellStyle name="Hyperlink" xfId="8251" builtinId="8" hidden="1"/>
    <cellStyle name="Hyperlink" xfId="8253" builtinId="8" hidden="1"/>
    <cellStyle name="Hyperlink" xfId="8255" builtinId="8" hidden="1"/>
    <cellStyle name="Hyperlink" xfId="8257" builtinId="8" hidden="1"/>
    <cellStyle name="Hyperlink" xfId="8259" builtinId="8" hidden="1"/>
    <cellStyle name="Hyperlink" xfId="8261" builtinId="8" hidden="1"/>
    <cellStyle name="Hyperlink" xfId="8263" builtinId="8" hidden="1"/>
    <cellStyle name="Hyperlink" xfId="8265" builtinId="8" hidden="1"/>
    <cellStyle name="Hyperlink" xfId="8267" builtinId="8" hidden="1"/>
    <cellStyle name="Hyperlink" xfId="8269" builtinId="8" hidden="1"/>
    <cellStyle name="Hyperlink" xfId="8271" builtinId="8" hidden="1"/>
    <cellStyle name="Hyperlink" xfId="8273" builtinId="8" hidden="1"/>
    <cellStyle name="Hyperlink" xfId="8275" builtinId="8" hidden="1"/>
    <cellStyle name="Hyperlink" xfId="8277" builtinId="8" hidden="1"/>
    <cellStyle name="Hyperlink" xfId="8279" builtinId="8" hidden="1"/>
    <cellStyle name="Hyperlink" xfId="8281" builtinId="8" hidden="1"/>
    <cellStyle name="Hyperlink" xfId="8283" builtinId="8" hidden="1"/>
    <cellStyle name="Hyperlink" xfId="8285" builtinId="8" hidden="1"/>
    <cellStyle name="Hyperlink" xfId="8287" builtinId="8" hidden="1"/>
    <cellStyle name="Hyperlink" xfId="8289" builtinId="8" hidden="1"/>
    <cellStyle name="Hyperlink" xfId="8291" builtinId="8" hidden="1"/>
    <cellStyle name="Hyperlink" xfId="8293" builtinId="8" hidden="1"/>
    <cellStyle name="Hyperlink" xfId="8295" builtinId="8" hidden="1"/>
    <cellStyle name="Hyperlink" xfId="8297" builtinId="8" hidden="1"/>
    <cellStyle name="Hyperlink" xfId="8299" builtinId="8" hidden="1"/>
    <cellStyle name="Hyperlink" xfId="8301" builtinId="8" hidden="1"/>
    <cellStyle name="Hyperlink" xfId="8303" builtinId="8" hidden="1"/>
    <cellStyle name="Hyperlink" xfId="8305" builtinId="8" hidden="1"/>
    <cellStyle name="Hyperlink" xfId="8307" builtinId="8" hidden="1"/>
    <cellStyle name="Hyperlink" xfId="8309" builtinId="8" hidden="1"/>
    <cellStyle name="Hyperlink" xfId="8311" builtinId="8" hidden="1"/>
    <cellStyle name="Hyperlink" xfId="8313" builtinId="8" hidden="1"/>
    <cellStyle name="Hyperlink" xfId="8315" builtinId="8" hidden="1"/>
    <cellStyle name="Hyperlink" xfId="8317" builtinId="8" hidden="1"/>
    <cellStyle name="Hyperlink" xfId="8319" builtinId="8" hidden="1"/>
    <cellStyle name="Hyperlink" xfId="8321" builtinId="8" hidden="1"/>
    <cellStyle name="Hyperlink" xfId="8323" builtinId="8" hidden="1"/>
    <cellStyle name="Hyperlink" xfId="8325" builtinId="8" hidden="1"/>
    <cellStyle name="Hyperlink" xfId="8327" builtinId="8" hidden="1"/>
    <cellStyle name="Hyperlink" xfId="8329" builtinId="8" hidden="1"/>
    <cellStyle name="Hyperlink" xfId="8331" builtinId="8" hidden="1"/>
    <cellStyle name="Hyperlink" xfId="8333" builtinId="8" hidden="1"/>
    <cellStyle name="Hyperlink" xfId="8335" builtinId="8" hidden="1"/>
    <cellStyle name="Hyperlink" xfId="8337" builtinId="8" hidden="1"/>
    <cellStyle name="Hyperlink" xfId="8339" builtinId="8" hidden="1"/>
    <cellStyle name="Hyperlink" xfId="8341" builtinId="8" hidden="1"/>
    <cellStyle name="Hyperlink" xfId="8343" builtinId="8" hidden="1"/>
    <cellStyle name="Hyperlink" xfId="8345" builtinId="8" hidden="1"/>
    <cellStyle name="Hyperlink" xfId="8347" builtinId="8" hidden="1"/>
    <cellStyle name="Hyperlink" xfId="8349" builtinId="8" hidden="1"/>
    <cellStyle name="Hyperlink" xfId="8351" builtinId="8" hidden="1"/>
    <cellStyle name="Hyperlink" xfId="8353" builtinId="8" hidden="1"/>
    <cellStyle name="Hyperlink" xfId="8355" builtinId="8" hidden="1"/>
    <cellStyle name="Hyperlink" xfId="8357" builtinId="8" hidden="1"/>
    <cellStyle name="Hyperlink" xfId="8359" builtinId="8" hidden="1"/>
    <cellStyle name="Hyperlink" xfId="8361" builtinId="8" hidden="1"/>
    <cellStyle name="Hyperlink" xfId="8363" builtinId="8" hidden="1"/>
    <cellStyle name="Hyperlink" xfId="8365" builtinId="8" hidden="1"/>
    <cellStyle name="Hyperlink" xfId="8367" builtinId="8" hidden="1"/>
    <cellStyle name="Hyperlink" xfId="8369" builtinId="8" hidden="1"/>
    <cellStyle name="Hyperlink" xfId="8371" builtinId="8" hidden="1"/>
    <cellStyle name="Hyperlink" xfId="8373" builtinId="8" hidden="1"/>
    <cellStyle name="Hyperlink" xfId="8375" builtinId="8" hidden="1"/>
    <cellStyle name="Hyperlink" xfId="8377" builtinId="8" hidden="1"/>
    <cellStyle name="Hyperlink" xfId="8379" builtinId="8" hidden="1"/>
    <cellStyle name="Hyperlink" xfId="8381" builtinId="8" hidden="1"/>
    <cellStyle name="Hyperlink" xfId="8383" builtinId="8" hidden="1"/>
    <cellStyle name="Hyperlink" xfId="8385" builtinId="8" hidden="1"/>
    <cellStyle name="Hyperlink" xfId="8387" builtinId="8" hidden="1"/>
    <cellStyle name="Hyperlink" xfId="8389" builtinId="8" hidden="1"/>
    <cellStyle name="Hyperlink" xfId="8391" builtinId="8" hidden="1"/>
    <cellStyle name="Hyperlink" xfId="8393" builtinId="8" hidden="1"/>
    <cellStyle name="Hyperlink" xfId="8395" builtinId="8" hidden="1"/>
    <cellStyle name="Hyperlink" xfId="8397" builtinId="8" hidden="1"/>
    <cellStyle name="Hyperlink" xfId="8399" builtinId="8" hidden="1"/>
    <cellStyle name="Hyperlink" xfId="8401" builtinId="8" hidden="1"/>
    <cellStyle name="Hyperlink" xfId="8403" builtinId="8" hidden="1"/>
    <cellStyle name="Hyperlink" xfId="8405" builtinId="8" hidden="1"/>
    <cellStyle name="Hyperlink" xfId="8407" builtinId="8" hidden="1"/>
    <cellStyle name="Hyperlink" xfId="8409" builtinId="8" hidden="1"/>
    <cellStyle name="Hyperlink" xfId="8411" builtinId="8" hidden="1"/>
    <cellStyle name="Hyperlink" xfId="8413" builtinId="8" hidden="1"/>
    <cellStyle name="Hyperlink" xfId="8415" builtinId="8" hidden="1"/>
    <cellStyle name="Hyperlink" xfId="8417" builtinId="8" hidden="1"/>
    <cellStyle name="Hyperlink" xfId="8419" builtinId="8" hidden="1"/>
    <cellStyle name="Hyperlink" xfId="8421" builtinId="8" hidden="1"/>
    <cellStyle name="Hyperlink" xfId="8423" builtinId="8" hidden="1"/>
    <cellStyle name="Hyperlink" xfId="8425" builtinId="8" hidden="1"/>
    <cellStyle name="Hyperlink" xfId="8427" builtinId="8" hidden="1"/>
    <cellStyle name="Hyperlink" xfId="8429" builtinId="8" hidden="1"/>
    <cellStyle name="Hyperlink" xfId="8431" builtinId="8" hidden="1"/>
    <cellStyle name="Hyperlink" xfId="8433" builtinId="8" hidden="1"/>
    <cellStyle name="Hyperlink" xfId="8435" builtinId="8" hidden="1"/>
    <cellStyle name="Hyperlink" xfId="8437" builtinId="8" hidden="1"/>
    <cellStyle name="Hyperlink" xfId="8439" builtinId="8" hidden="1"/>
    <cellStyle name="Hyperlink" xfId="8441" builtinId="8" hidden="1"/>
    <cellStyle name="Hyperlink" xfId="8443" builtinId="8" hidden="1"/>
    <cellStyle name="Hyperlink" xfId="8445" builtinId="8" hidden="1"/>
    <cellStyle name="Hyperlink" xfId="8447" builtinId="8" hidden="1"/>
    <cellStyle name="Hyperlink" xfId="8449" builtinId="8" hidden="1"/>
    <cellStyle name="Hyperlink" xfId="8451" builtinId="8" hidden="1"/>
    <cellStyle name="Hyperlink" xfId="8453" builtinId="8" hidden="1"/>
    <cellStyle name="Hyperlink" xfId="8455" builtinId="8" hidden="1"/>
    <cellStyle name="Hyperlink" xfId="8457" builtinId="8" hidden="1"/>
    <cellStyle name="Hyperlink" xfId="8459" builtinId="8" hidden="1"/>
    <cellStyle name="Hyperlink" xfId="8461" builtinId="8" hidden="1"/>
    <cellStyle name="Hyperlink" xfId="8463" builtinId="8" hidden="1"/>
    <cellStyle name="Hyperlink" xfId="8465" builtinId="8" hidden="1"/>
    <cellStyle name="Hyperlink" xfId="8467" builtinId="8" hidden="1"/>
    <cellStyle name="Hyperlink" xfId="8469" builtinId="8" hidden="1"/>
    <cellStyle name="Hyperlink" xfId="8471" builtinId="8" hidden="1"/>
    <cellStyle name="Hyperlink" xfId="8473" builtinId="8" hidden="1"/>
    <cellStyle name="Hyperlink" xfId="8475" builtinId="8" hidden="1"/>
    <cellStyle name="Hyperlink" xfId="8477" builtinId="8" hidden="1"/>
    <cellStyle name="Hyperlink" xfId="8479" builtinId="8" hidden="1"/>
    <cellStyle name="Hyperlink" xfId="8481" builtinId="8" hidden="1"/>
    <cellStyle name="Hyperlink" xfId="8483" builtinId="8" hidden="1"/>
    <cellStyle name="Hyperlink" xfId="8485" builtinId="8" hidden="1"/>
    <cellStyle name="Hyperlink" xfId="8487" builtinId="8" hidden="1"/>
    <cellStyle name="Hyperlink" xfId="8489" builtinId="8" hidden="1"/>
    <cellStyle name="Hyperlink" xfId="8491" builtinId="8" hidden="1"/>
    <cellStyle name="Hyperlink" xfId="8493" builtinId="8" hidden="1"/>
    <cellStyle name="Hyperlink" xfId="8495" builtinId="8" hidden="1"/>
    <cellStyle name="Hyperlink" xfId="8497" builtinId="8" hidden="1"/>
    <cellStyle name="Hyperlink" xfId="8499" builtinId="8" hidden="1"/>
    <cellStyle name="Hyperlink" xfId="8501" builtinId="8" hidden="1"/>
    <cellStyle name="Hyperlink" xfId="8503" builtinId="8" hidden="1"/>
    <cellStyle name="Hyperlink" xfId="8505" builtinId="8" hidden="1"/>
    <cellStyle name="Hyperlink" xfId="8507" builtinId="8" hidden="1"/>
    <cellStyle name="Hyperlink" xfId="8509" builtinId="8" hidden="1"/>
    <cellStyle name="Hyperlink" xfId="8511" builtinId="8" hidden="1"/>
    <cellStyle name="Hyperlink" xfId="8513" builtinId="8" hidden="1"/>
    <cellStyle name="Hyperlink" xfId="8515" builtinId="8" hidden="1"/>
    <cellStyle name="Hyperlink" xfId="8517" builtinId="8" hidden="1"/>
    <cellStyle name="Hyperlink" xfId="8519" builtinId="8" hidden="1"/>
    <cellStyle name="Hyperlink" xfId="8521" builtinId="8" hidden="1"/>
    <cellStyle name="Hyperlink" xfId="8523" builtinId="8" hidden="1"/>
    <cellStyle name="Hyperlink" xfId="8525" builtinId="8" hidden="1"/>
    <cellStyle name="Hyperlink" xfId="8527" builtinId="8" hidden="1"/>
    <cellStyle name="Hyperlink" xfId="8529" builtinId="8" hidden="1"/>
    <cellStyle name="Hyperlink" xfId="8531" builtinId="8" hidden="1"/>
    <cellStyle name="Hyperlink" xfId="8533" builtinId="8" hidden="1"/>
    <cellStyle name="Hyperlink" xfId="8535" builtinId="8" hidden="1"/>
    <cellStyle name="Hyperlink" xfId="8537" builtinId="8" hidden="1"/>
    <cellStyle name="Hyperlink" xfId="8539" builtinId="8" hidden="1"/>
    <cellStyle name="Hyperlink" xfId="8541" builtinId="8" hidden="1"/>
    <cellStyle name="Hyperlink" xfId="8543" builtinId="8" hidden="1"/>
    <cellStyle name="Hyperlink" xfId="8545" builtinId="8" hidden="1"/>
    <cellStyle name="Hyperlink" xfId="8547" builtinId="8" hidden="1"/>
    <cellStyle name="Hyperlink" xfId="8549" builtinId="8" hidden="1"/>
    <cellStyle name="Hyperlink" xfId="8551" builtinId="8" hidden="1"/>
    <cellStyle name="Hyperlink" xfId="8553" builtinId="8" hidden="1"/>
    <cellStyle name="Hyperlink" xfId="8555" builtinId="8" hidden="1"/>
    <cellStyle name="Hyperlink" xfId="8557" builtinId="8" hidden="1"/>
    <cellStyle name="Hyperlink" xfId="8559" builtinId="8" hidden="1"/>
    <cellStyle name="Hyperlink" xfId="8561" builtinId="8" hidden="1"/>
    <cellStyle name="Hyperlink" xfId="8563" builtinId="8" hidden="1"/>
    <cellStyle name="Hyperlink" xfId="8565" builtinId="8" hidden="1"/>
    <cellStyle name="Hyperlink" xfId="8567" builtinId="8" hidden="1"/>
    <cellStyle name="Hyperlink" xfId="8569" builtinId="8" hidden="1"/>
    <cellStyle name="Hyperlink" xfId="8571" builtinId="8" hidden="1"/>
    <cellStyle name="Hyperlink" xfId="8573" builtinId="8" hidden="1"/>
    <cellStyle name="Hyperlink" xfId="8575" builtinId="8" hidden="1"/>
    <cellStyle name="Hyperlink" xfId="8577" builtinId="8" hidden="1"/>
    <cellStyle name="Hyperlink" xfId="8579" builtinId="8" hidden="1"/>
    <cellStyle name="Hyperlink" xfId="8581" builtinId="8" hidden="1"/>
    <cellStyle name="Hyperlink" xfId="8583" builtinId="8" hidden="1"/>
    <cellStyle name="Hyperlink" xfId="8585" builtinId="8" hidden="1"/>
    <cellStyle name="Hyperlink" xfId="8587" builtinId="8" hidden="1"/>
    <cellStyle name="Hyperlink" xfId="8589" builtinId="8" hidden="1"/>
    <cellStyle name="Hyperlink" xfId="8591" builtinId="8" hidden="1"/>
    <cellStyle name="Hyperlink" xfId="8593" builtinId="8" hidden="1"/>
    <cellStyle name="Hyperlink" xfId="8595" builtinId="8" hidden="1"/>
    <cellStyle name="Hyperlink" xfId="8597" builtinId="8" hidden="1"/>
    <cellStyle name="Hyperlink" xfId="8599" builtinId="8" hidden="1"/>
    <cellStyle name="Hyperlink" xfId="8601" builtinId="8" hidden="1"/>
    <cellStyle name="Hyperlink" xfId="8603" builtinId="8" hidden="1"/>
    <cellStyle name="Hyperlink" xfId="8605" builtinId="8" hidden="1"/>
    <cellStyle name="Hyperlink" xfId="8607" builtinId="8" hidden="1"/>
    <cellStyle name="Hyperlink" xfId="8609" builtinId="8" hidden="1"/>
    <cellStyle name="Hyperlink" xfId="8611" builtinId="8" hidden="1"/>
    <cellStyle name="Hyperlink" xfId="8613" builtinId="8" hidden="1"/>
    <cellStyle name="Hyperlink" xfId="8615" builtinId="8" hidden="1"/>
    <cellStyle name="Hyperlink" xfId="8617" builtinId="8" hidden="1"/>
    <cellStyle name="Hyperlink" xfId="8619" builtinId="8" hidden="1"/>
    <cellStyle name="Hyperlink" xfId="8621" builtinId="8" hidden="1"/>
    <cellStyle name="Hyperlink" xfId="8623" builtinId="8" hidden="1"/>
    <cellStyle name="Hyperlink" xfId="8625" builtinId="8" hidden="1"/>
    <cellStyle name="Hyperlink" xfId="8627" builtinId="8" hidden="1"/>
    <cellStyle name="Hyperlink" xfId="8629" builtinId="8" hidden="1"/>
    <cellStyle name="Hyperlink" xfId="8631" builtinId="8" hidden="1"/>
    <cellStyle name="Hyperlink" xfId="8633" builtinId="8" hidden="1"/>
    <cellStyle name="Hyperlink" xfId="8635" builtinId="8" hidden="1"/>
    <cellStyle name="Hyperlink" xfId="8637" builtinId="8" hidden="1"/>
    <cellStyle name="Hyperlink" xfId="8639" builtinId="8" hidden="1"/>
    <cellStyle name="Hyperlink" xfId="8641" builtinId="8" hidden="1"/>
    <cellStyle name="Hyperlink" xfId="8643" builtinId="8" hidden="1"/>
    <cellStyle name="Hyperlink" xfId="8645" builtinId="8" hidden="1"/>
    <cellStyle name="Hyperlink" xfId="8647" builtinId="8" hidden="1"/>
    <cellStyle name="Hyperlink" xfId="8649" builtinId="8" hidden="1"/>
    <cellStyle name="Hyperlink" xfId="8651" builtinId="8" hidden="1"/>
    <cellStyle name="Hyperlink" xfId="8653" builtinId="8" hidden="1"/>
    <cellStyle name="Hyperlink" xfId="8655" builtinId="8" hidden="1"/>
    <cellStyle name="Hyperlink" xfId="8657" builtinId="8" hidden="1"/>
    <cellStyle name="Hyperlink" xfId="8659" builtinId="8" hidden="1"/>
    <cellStyle name="Hyperlink" xfId="8661" builtinId="8" hidden="1"/>
    <cellStyle name="Hyperlink" xfId="8663" builtinId="8" hidden="1"/>
    <cellStyle name="Hyperlink" xfId="8665" builtinId="8" hidden="1"/>
    <cellStyle name="Hyperlink" xfId="8667" builtinId="8" hidden="1"/>
    <cellStyle name="Hyperlink" xfId="8669" builtinId="8" hidden="1"/>
    <cellStyle name="Hyperlink" xfId="8671" builtinId="8" hidden="1"/>
    <cellStyle name="Hyperlink" xfId="8673" builtinId="8" hidden="1"/>
    <cellStyle name="Hyperlink" xfId="8675" builtinId="8" hidden="1"/>
    <cellStyle name="Hyperlink" xfId="8677" builtinId="8" hidden="1"/>
    <cellStyle name="Hyperlink" xfId="8679" builtinId="8" hidden="1"/>
    <cellStyle name="Hyperlink" xfId="8681" builtinId="8" hidden="1"/>
    <cellStyle name="Hyperlink" xfId="8683" builtinId="8" hidden="1"/>
    <cellStyle name="Hyperlink" xfId="8685" builtinId="8" hidden="1"/>
    <cellStyle name="Hyperlink" xfId="8687" builtinId="8" hidden="1"/>
    <cellStyle name="Hyperlink" xfId="8689" builtinId="8" hidden="1"/>
    <cellStyle name="Hyperlink" xfId="8691" builtinId="8" hidden="1"/>
    <cellStyle name="Hyperlink" xfId="8693" builtinId="8" hidden="1"/>
    <cellStyle name="Hyperlink" xfId="8695" builtinId="8" hidden="1"/>
    <cellStyle name="Hyperlink" xfId="8697" builtinId="8" hidden="1"/>
    <cellStyle name="Hyperlink" xfId="8699" builtinId="8" hidden="1"/>
    <cellStyle name="Hyperlink" xfId="8701" builtinId="8" hidden="1"/>
    <cellStyle name="Hyperlink" xfId="8703" builtinId="8" hidden="1"/>
    <cellStyle name="Hyperlink" xfId="8705" builtinId="8" hidden="1"/>
    <cellStyle name="Hyperlink" xfId="8707" builtinId="8" hidden="1"/>
    <cellStyle name="Hyperlink" xfId="8709" builtinId="8" hidden="1"/>
    <cellStyle name="Hyperlink" xfId="8711" builtinId="8" hidden="1"/>
    <cellStyle name="Hyperlink" xfId="8713" builtinId="8" hidden="1"/>
    <cellStyle name="Hyperlink" xfId="8715" builtinId="8" hidden="1"/>
    <cellStyle name="Hyperlink" xfId="8717" builtinId="8" hidden="1"/>
    <cellStyle name="Hyperlink" xfId="8719" builtinId="8" hidden="1"/>
    <cellStyle name="Hyperlink" xfId="8721" builtinId="8" hidden="1"/>
    <cellStyle name="Hyperlink" xfId="8723" builtinId="8" hidden="1"/>
    <cellStyle name="Hyperlink" xfId="8725" builtinId="8" hidden="1"/>
    <cellStyle name="Hyperlink" xfId="8727" builtinId="8" hidden="1"/>
    <cellStyle name="Hyperlink" xfId="8729" builtinId="8" hidden="1"/>
    <cellStyle name="Hyperlink" xfId="8731" builtinId="8" hidden="1"/>
    <cellStyle name="Hyperlink" xfId="8733" builtinId="8" hidden="1"/>
    <cellStyle name="Hyperlink" xfId="8735" builtinId="8" hidden="1"/>
    <cellStyle name="Hyperlink" xfId="8737" builtinId="8" hidden="1"/>
    <cellStyle name="Hyperlink" xfId="8739" builtinId="8" hidden="1"/>
    <cellStyle name="Hyperlink" xfId="8741" builtinId="8" hidden="1"/>
    <cellStyle name="Hyperlink" xfId="8743" builtinId="8" hidden="1"/>
    <cellStyle name="Hyperlink" xfId="8745" builtinId="8" hidden="1"/>
    <cellStyle name="Hyperlink" xfId="8747" builtinId="8" hidden="1"/>
    <cellStyle name="Hyperlink" xfId="8749" builtinId="8" hidden="1"/>
    <cellStyle name="Hyperlink" xfId="8751" builtinId="8" hidden="1"/>
    <cellStyle name="Hyperlink" xfId="8753" builtinId="8" hidden="1"/>
    <cellStyle name="Hyperlink" xfId="8755" builtinId="8" hidden="1"/>
    <cellStyle name="Hyperlink" xfId="8757" builtinId="8" hidden="1"/>
    <cellStyle name="Hyperlink" xfId="8759" builtinId="8" hidden="1"/>
    <cellStyle name="Hyperlink" xfId="8761" builtinId="8" hidden="1"/>
    <cellStyle name="Hyperlink" xfId="8763" builtinId="8" hidden="1"/>
    <cellStyle name="Hyperlink" xfId="8765" builtinId="8" hidden="1"/>
    <cellStyle name="Hyperlink" xfId="8767" builtinId="8" hidden="1"/>
    <cellStyle name="Hyperlink" xfId="8769" builtinId="8" hidden="1"/>
    <cellStyle name="Hyperlink" xfId="8771" builtinId="8" hidden="1"/>
    <cellStyle name="Hyperlink" xfId="8773" builtinId="8" hidden="1"/>
    <cellStyle name="Hyperlink" xfId="8775" builtinId="8" hidden="1"/>
    <cellStyle name="Hyperlink" xfId="8777" builtinId="8" hidden="1"/>
    <cellStyle name="Hyperlink" xfId="8779" builtinId="8" hidden="1"/>
    <cellStyle name="Hyperlink" xfId="8781" builtinId="8" hidden="1"/>
    <cellStyle name="Hyperlink" xfId="8783" builtinId="8" hidden="1"/>
    <cellStyle name="Hyperlink" xfId="8785" builtinId="8" hidden="1"/>
    <cellStyle name="Hyperlink" xfId="8787" builtinId="8" hidden="1"/>
    <cellStyle name="Hyperlink" xfId="8789" builtinId="8" hidden="1"/>
    <cellStyle name="Hyperlink" xfId="8791" builtinId="8" hidden="1"/>
    <cellStyle name="Hyperlink" xfId="8793" builtinId="8" hidden="1"/>
    <cellStyle name="Hyperlink" xfId="8795" builtinId="8" hidden="1"/>
    <cellStyle name="Hyperlink" xfId="8797" builtinId="8" hidden="1"/>
    <cellStyle name="Hyperlink" xfId="8799" builtinId="8" hidden="1"/>
    <cellStyle name="Hyperlink" xfId="8801" builtinId="8" hidden="1"/>
    <cellStyle name="Hyperlink" xfId="8803" builtinId="8" hidden="1"/>
    <cellStyle name="Hyperlink" xfId="8805" builtinId="8" hidden="1"/>
    <cellStyle name="Hyperlink" xfId="8807" builtinId="8" hidden="1"/>
    <cellStyle name="Hyperlink" xfId="8809" builtinId="8" hidden="1"/>
    <cellStyle name="Hyperlink" xfId="8811" builtinId="8" hidden="1"/>
    <cellStyle name="Hyperlink" xfId="8813" builtinId="8" hidden="1"/>
    <cellStyle name="Hyperlink" xfId="8815" builtinId="8" hidden="1"/>
    <cellStyle name="Hyperlink" xfId="8817" builtinId="8" hidden="1"/>
    <cellStyle name="Hyperlink" xfId="8819" builtinId="8" hidden="1"/>
    <cellStyle name="Hyperlink" xfId="8821" builtinId="8" hidden="1"/>
    <cellStyle name="Hyperlink" xfId="8823" builtinId="8" hidden="1"/>
    <cellStyle name="Hyperlink" xfId="8825" builtinId="8" hidden="1"/>
    <cellStyle name="Hyperlink" xfId="8827" builtinId="8" hidden="1"/>
    <cellStyle name="Hyperlink" xfId="8829" builtinId="8" hidden="1"/>
    <cellStyle name="Hyperlink" xfId="8831" builtinId="8" hidden="1"/>
    <cellStyle name="Hyperlink" xfId="8833" builtinId="8" hidden="1"/>
    <cellStyle name="Hyperlink" xfId="8835" builtinId="8" hidden="1"/>
    <cellStyle name="Hyperlink" xfId="8837" builtinId="8" hidden="1"/>
    <cellStyle name="Hyperlink" xfId="8839" builtinId="8" hidden="1"/>
    <cellStyle name="Hyperlink" xfId="8841" builtinId="8" hidden="1"/>
    <cellStyle name="Hyperlink" xfId="8843" builtinId="8" hidden="1"/>
    <cellStyle name="Hyperlink" xfId="8845" builtinId="8" hidden="1"/>
    <cellStyle name="Hyperlink" xfId="8847" builtinId="8" hidden="1"/>
    <cellStyle name="Hyperlink" xfId="8849" builtinId="8" hidden="1"/>
    <cellStyle name="Hyperlink" xfId="8851" builtinId="8" hidden="1"/>
    <cellStyle name="Hyperlink" xfId="8853" builtinId="8" hidden="1"/>
    <cellStyle name="Hyperlink" xfId="8855" builtinId="8" hidden="1"/>
    <cellStyle name="Hyperlink" xfId="8857" builtinId="8" hidden="1"/>
    <cellStyle name="Hyperlink" xfId="8859" builtinId="8" hidden="1"/>
    <cellStyle name="Hyperlink" xfId="8861" builtinId="8" hidden="1"/>
    <cellStyle name="Hyperlink" xfId="8863" builtinId="8" hidden="1"/>
    <cellStyle name="Hyperlink" xfId="8865" builtinId="8" hidden="1"/>
    <cellStyle name="Hyperlink" xfId="8867" builtinId="8" hidden="1"/>
    <cellStyle name="Hyperlink" xfId="8869" builtinId="8" hidden="1"/>
    <cellStyle name="Hyperlink" xfId="8871" builtinId="8" hidden="1"/>
    <cellStyle name="Hyperlink" xfId="8873" builtinId="8" hidden="1"/>
    <cellStyle name="Hyperlink" xfId="8875" builtinId="8" hidden="1"/>
    <cellStyle name="Hyperlink" xfId="8877" builtinId="8" hidden="1"/>
    <cellStyle name="Hyperlink" xfId="8879" builtinId="8" hidden="1"/>
    <cellStyle name="Hyperlink" xfId="8881" builtinId="8" hidden="1"/>
    <cellStyle name="Hyperlink" xfId="8883" builtinId="8" hidden="1"/>
    <cellStyle name="Hyperlink" xfId="8885" builtinId="8" hidden="1"/>
    <cellStyle name="Hyperlink" xfId="8887" builtinId="8" hidden="1"/>
    <cellStyle name="Hyperlink" xfId="8889" builtinId="8" hidden="1"/>
    <cellStyle name="Hyperlink" xfId="8891" builtinId="8" hidden="1"/>
    <cellStyle name="Hyperlink" xfId="8893" builtinId="8" hidden="1"/>
    <cellStyle name="Hyperlink" xfId="8895" builtinId="8" hidden="1"/>
    <cellStyle name="Hyperlink" xfId="8897" builtinId="8" hidden="1"/>
    <cellStyle name="Hyperlink" xfId="8899" builtinId="8" hidden="1"/>
    <cellStyle name="Hyperlink" xfId="8901" builtinId="8" hidden="1"/>
    <cellStyle name="Hyperlink" xfId="8903" builtinId="8" hidden="1"/>
    <cellStyle name="Hyperlink" xfId="8905" builtinId="8" hidden="1"/>
    <cellStyle name="Hyperlink" xfId="8907" builtinId="8" hidden="1"/>
    <cellStyle name="Hyperlink" xfId="8909" builtinId="8" hidden="1"/>
    <cellStyle name="Hyperlink" xfId="8911" builtinId="8" hidden="1"/>
    <cellStyle name="Hyperlink" xfId="8913" builtinId="8" hidden="1"/>
    <cellStyle name="Hyperlink" xfId="8915" builtinId="8" hidden="1"/>
    <cellStyle name="Hyperlink" xfId="8917" builtinId="8" hidden="1"/>
    <cellStyle name="Hyperlink" xfId="8919" builtinId="8" hidden="1"/>
    <cellStyle name="Hyperlink" xfId="8921" builtinId="8" hidden="1"/>
    <cellStyle name="Hyperlink" xfId="8923" builtinId="8" hidden="1"/>
    <cellStyle name="Hyperlink" xfId="8925" builtinId="8" hidden="1"/>
    <cellStyle name="Hyperlink" xfId="8927" builtinId="8" hidden="1"/>
    <cellStyle name="Hyperlink" xfId="8929" builtinId="8" hidden="1"/>
    <cellStyle name="Hyperlink" xfId="8931" builtinId="8" hidden="1"/>
    <cellStyle name="Hyperlink" xfId="8933" builtinId="8" hidden="1"/>
    <cellStyle name="Hyperlink" xfId="8935" builtinId="8" hidden="1"/>
    <cellStyle name="Hyperlink" xfId="8937" builtinId="8" hidden="1"/>
    <cellStyle name="Hyperlink" xfId="8939" builtinId="8" hidden="1"/>
    <cellStyle name="Hyperlink" xfId="8941" builtinId="8" hidden="1"/>
    <cellStyle name="Hyperlink" xfId="8943" builtinId="8" hidden="1"/>
    <cellStyle name="Hyperlink" xfId="8945" builtinId="8" hidden="1"/>
    <cellStyle name="Hyperlink" xfId="8947" builtinId="8" hidden="1"/>
    <cellStyle name="Hyperlink" xfId="8949" builtinId="8" hidden="1"/>
    <cellStyle name="Hyperlink" xfId="8951" builtinId="8" hidden="1"/>
    <cellStyle name="Hyperlink" xfId="8953" builtinId="8" hidden="1"/>
    <cellStyle name="Hyperlink" xfId="8955" builtinId="8" hidden="1"/>
    <cellStyle name="Hyperlink" xfId="8957" builtinId="8" hidden="1"/>
    <cellStyle name="Hyperlink" xfId="8959" builtinId="8" hidden="1"/>
    <cellStyle name="Hyperlink" xfId="8961" builtinId="8" hidden="1"/>
    <cellStyle name="Hyperlink" xfId="8963" builtinId="8" hidden="1"/>
    <cellStyle name="Hyperlink" xfId="8965" builtinId="8" hidden="1"/>
    <cellStyle name="Hyperlink" xfId="8967" builtinId="8" hidden="1"/>
    <cellStyle name="Hyperlink" xfId="8969" builtinId="8" hidden="1"/>
    <cellStyle name="Hyperlink" xfId="8971" builtinId="8" hidden="1"/>
    <cellStyle name="Hyperlink" xfId="8973" builtinId="8" hidden="1"/>
    <cellStyle name="Hyperlink" xfId="8975" builtinId="8" hidden="1"/>
    <cellStyle name="Hyperlink" xfId="8977" builtinId="8" hidden="1"/>
    <cellStyle name="Hyperlink" xfId="8979" builtinId="8" hidden="1"/>
    <cellStyle name="Hyperlink" xfId="8981" builtinId="8" hidden="1"/>
    <cellStyle name="Hyperlink" xfId="8983" builtinId="8" hidden="1"/>
    <cellStyle name="Hyperlink" xfId="8985" builtinId="8" hidden="1"/>
    <cellStyle name="Hyperlink" xfId="8987" builtinId="8" hidden="1"/>
    <cellStyle name="Hyperlink" xfId="8989" builtinId="8" hidden="1"/>
    <cellStyle name="Hyperlink" xfId="8991" builtinId="8" hidden="1"/>
    <cellStyle name="Hyperlink" xfId="8993" builtinId="8" hidden="1"/>
    <cellStyle name="Hyperlink" xfId="8995" builtinId="8" hidden="1"/>
    <cellStyle name="Hyperlink" xfId="8997" builtinId="8" hidden="1"/>
    <cellStyle name="Hyperlink" xfId="8999" builtinId="8" hidden="1"/>
    <cellStyle name="Hyperlink" xfId="9001" builtinId="8" hidden="1"/>
    <cellStyle name="Hyperlink" xfId="9003" builtinId="8" hidden="1"/>
    <cellStyle name="Hyperlink" xfId="9005" builtinId="8" hidden="1"/>
    <cellStyle name="Hyperlink" xfId="9007" builtinId="8" hidden="1"/>
    <cellStyle name="Hyperlink" xfId="9009" builtinId="8" hidden="1"/>
    <cellStyle name="Hyperlink" xfId="9011" builtinId="8" hidden="1"/>
    <cellStyle name="Hyperlink" xfId="9013" builtinId="8" hidden="1"/>
    <cellStyle name="Hyperlink" xfId="9015" builtinId="8" hidden="1"/>
    <cellStyle name="Hyperlink" xfId="9017" builtinId="8" hidden="1"/>
    <cellStyle name="Hyperlink" xfId="9019" builtinId="8" hidden="1"/>
    <cellStyle name="Hyperlink" xfId="9021" builtinId="8" hidden="1"/>
    <cellStyle name="Hyperlink" xfId="9023" builtinId="8" hidden="1"/>
    <cellStyle name="Hyperlink" xfId="9025" builtinId="8" hidden="1"/>
    <cellStyle name="Hyperlink" xfId="9027" builtinId="8" hidden="1"/>
    <cellStyle name="Hyperlink" xfId="9029" builtinId="8" hidden="1"/>
    <cellStyle name="Hyperlink" xfId="9031" builtinId="8" hidden="1"/>
    <cellStyle name="Hyperlink" xfId="9033" builtinId="8" hidden="1"/>
    <cellStyle name="Hyperlink" xfId="9035" builtinId="8" hidden="1"/>
    <cellStyle name="Hyperlink" xfId="9037" builtinId="8" hidden="1"/>
    <cellStyle name="Hyperlink" xfId="9039" builtinId="8" hidden="1"/>
    <cellStyle name="Hyperlink" xfId="9041" builtinId="8" hidden="1"/>
    <cellStyle name="Hyperlink" xfId="9043" builtinId="8" hidden="1"/>
    <cellStyle name="Hyperlink" xfId="9045" builtinId="8" hidden="1"/>
    <cellStyle name="Hyperlink" xfId="9047" builtinId="8" hidden="1"/>
    <cellStyle name="Hyperlink" xfId="9049" builtinId="8" hidden="1"/>
    <cellStyle name="Hyperlink" xfId="9051" builtinId="8" hidden="1"/>
    <cellStyle name="Hyperlink" xfId="9053" builtinId="8" hidden="1"/>
    <cellStyle name="Hyperlink" xfId="9055" builtinId="8" hidden="1"/>
    <cellStyle name="Hyperlink" xfId="9057" builtinId="8" hidden="1"/>
    <cellStyle name="Hyperlink" xfId="9059" builtinId="8" hidden="1"/>
    <cellStyle name="Hyperlink" xfId="9061" builtinId="8" hidden="1"/>
    <cellStyle name="Hyperlink" xfId="9063" builtinId="8" hidden="1"/>
    <cellStyle name="Hyperlink" xfId="9065" builtinId="8" hidden="1"/>
    <cellStyle name="Hyperlink" xfId="9067" builtinId="8" hidden="1"/>
    <cellStyle name="Hyperlink" xfId="9069" builtinId="8" hidden="1"/>
    <cellStyle name="Hyperlink" xfId="9071" builtinId="8" hidden="1"/>
    <cellStyle name="Hyperlink" xfId="9073" builtinId="8" hidden="1"/>
    <cellStyle name="Hyperlink" xfId="9075" builtinId="8" hidden="1"/>
    <cellStyle name="Hyperlink" xfId="9077" builtinId="8" hidden="1"/>
    <cellStyle name="Hyperlink" xfId="9079" builtinId="8" hidden="1"/>
    <cellStyle name="Hyperlink" xfId="9081" builtinId="8" hidden="1"/>
    <cellStyle name="Hyperlink" xfId="9083" builtinId="8" hidden="1"/>
    <cellStyle name="Hyperlink" xfId="9085" builtinId="8" hidden="1"/>
    <cellStyle name="Hyperlink" xfId="9087" builtinId="8" hidden="1"/>
    <cellStyle name="Hyperlink" xfId="9089" builtinId="8" hidden="1"/>
    <cellStyle name="Hyperlink" xfId="9091" builtinId="8" hidden="1"/>
    <cellStyle name="Hyperlink" xfId="9093" builtinId="8" hidden="1"/>
    <cellStyle name="Hyperlink" xfId="9095" builtinId="8" hidden="1"/>
    <cellStyle name="Hyperlink" xfId="9097" builtinId="8" hidden="1"/>
    <cellStyle name="Hyperlink" xfId="9099" builtinId="8" hidden="1"/>
    <cellStyle name="Hyperlink" xfId="9101" builtinId="8" hidden="1"/>
    <cellStyle name="Hyperlink" xfId="9103" builtinId="8" hidden="1"/>
    <cellStyle name="Hyperlink" xfId="9105" builtinId="8" hidden="1"/>
    <cellStyle name="Hyperlink" xfId="9107" builtinId="8" hidden="1"/>
    <cellStyle name="Hyperlink" xfId="9109" builtinId="8" hidden="1"/>
    <cellStyle name="Hyperlink" xfId="9111" builtinId="8" hidden="1"/>
    <cellStyle name="Hyperlink" xfId="9113" builtinId="8" hidden="1"/>
    <cellStyle name="Hyperlink" xfId="9115" builtinId="8" hidden="1"/>
    <cellStyle name="Hyperlink" xfId="9117" builtinId="8" hidden="1"/>
    <cellStyle name="Hyperlink" xfId="9119" builtinId="8" hidden="1"/>
    <cellStyle name="Hyperlink" xfId="9121" builtinId="8" hidden="1"/>
    <cellStyle name="Hyperlink" xfId="9123" builtinId="8" hidden="1"/>
    <cellStyle name="Hyperlink" xfId="9125" builtinId="8" hidden="1"/>
    <cellStyle name="Hyperlink" xfId="9127" builtinId="8" hidden="1"/>
    <cellStyle name="Hyperlink" xfId="9129" builtinId="8" hidden="1"/>
    <cellStyle name="Hyperlink" xfId="9131" builtinId="8" hidden="1"/>
    <cellStyle name="Hyperlink" xfId="9133" builtinId="8" hidden="1"/>
    <cellStyle name="Hyperlink" xfId="9135" builtinId="8" hidden="1"/>
    <cellStyle name="Hyperlink" xfId="9137" builtinId="8" hidden="1"/>
    <cellStyle name="Hyperlink" xfId="9139" builtinId="8" hidden="1"/>
    <cellStyle name="Hyperlink" xfId="9141" builtinId="8" hidden="1"/>
    <cellStyle name="Hyperlink" xfId="9143" builtinId="8" hidden="1"/>
    <cellStyle name="Hyperlink" xfId="9145" builtinId="8" hidden="1"/>
    <cellStyle name="Hyperlink" xfId="9147" builtinId="8" hidden="1"/>
    <cellStyle name="Hyperlink" xfId="9149" builtinId="8" hidden="1"/>
    <cellStyle name="Hyperlink" xfId="9151" builtinId="8" hidden="1"/>
    <cellStyle name="Hyperlink" xfId="9153" builtinId="8" hidden="1"/>
    <cellStyle name="Hyperlink" xfId="9155" builtinId="8" hidden="1"/>
    <cellStyle name="Hyperlink" xfId="9157" builtinId="8" hidden="1"/>
    <cellStyle name="Hyperlink" xfId="9159" builtinId="8" hidden="1"/>
    <cellStyle name="Hyperlink" xfId="9161" builtinId="8" hidden="1"/>
    <cellStyle name="Hyperlink" xfId="9163" builtinId="8" hidden="1"/>
    <cellStyle name="Hyperlink" xfId="9165" builtinId="8" hidden="1"/>
    <cellStyle name="Hyperlink" xfId="9167" builtinId="8" hidden="1"/>
    <cellStyle name="Hyperlink" xfId="9169" builtinId="8" hidden="1"/>
    <cellStyle name="Hyperlink" xfId="9171" builtinId="8" hidden="1"/>
    <cellStyle name="Hyperlink" xfId="9173" builtinId="8" hidden="1"/>
    <cellStyle name="Hyperlink" xfId="9175" builtinId="8" hidden="1"/>
    <cellStyle name="Hyperlink" xfId="9177" builtinId="8" hidden="1"/>
    <cellStyle name="Hyperlink" xfId="9179" builtinId="8" hidden="1"/>
    <cellStyle name="Hyperlink" xfId="9181" builtinId="8" hidden="1"/>
    <cellStyle name="Hyperlink" xfId="9183" builtinId="8" hidden="1"/>
    <cellStyle name="Hyperlink" xfId="9185" builtinId="8" hidden="1"/>
    <cellStyle name="Hyperlink" xfId="9187" builtinId="8" hidden="1"/>
    <cellStyle name="Hyperlink" xfId="9189" builtinId="8" hidden="1"/>
    <cellStyle name="Hyperlink" xfId="9191" builtinId="8" hidden="1"/>
    <cellStyle name="Hyperlink" xfId="9193" builtinId="8" hidden="1"/>
    <cellStyle name="Hyperlink" xfId="9195" builtinId="8" hidden="1"/>
    <cellStyle name="Hyperlink" xfId="9197" builtinId="8" hidden="1"/>
    <cellStyle name="Hyperlink" xfId="9199" builtinId="8" hidden="1"/>
    <cellStyle name="Hyperlink" xfId="9201" builtinId="8" hidden="1"/>
    <cellStyle name="Hyperlink" xfId="9203" builtinId="8" hidden="1"/>
    <cellStyle name="Hyperlink" xfId="9205" builtinId="8" hidden="1"/>
    <cellStyle name="Hyperlink" xfId="9207" builtinId="8" hidden="1"/>
    <cellStyle name="Hyperlink" xfId="9209" builtinId="8" hidden="1"/>
    <cellStyle name="Hyperlink" xfId="9211" builtinId="8" hidden="1"/>
    <cellStyle name="Hyperlink" xfId="9213" builtinId="8" hidden="1"/>
    <cellStyle name="Hyperlink" xfId="9215" builtinId="8" hidden="1"/>
    <cellStyle name="Hyperlink" xfId="9217" builtinId="8" hidden="1"/>
    <cellStyle name="Hyperlink" xfId="9219" builtinId="8" hidden="1"/>
    <cellStyle name="Hyperlink" xfId="9221" builtinId="8" hidden="1"/>
    <cellStyle name="Hyperlink" xfId="9223" builtinId="8" hidden="1"/>
    <cellStyle name="Hyperlink" xfId="9225" builtinId="8" hidden="1"/>
    <cellStyle name="Hyperlink" xfId="9227" builtinId="8" hidden="1"/>
    <cellStyle name="Hyperlink" xfId="9229" builtinId="8" hidden="1"/>
    <cellStyle name="Hyperlink" xfId="9231" builtinId="8" hidden="1"/>
    <cellStyle name="Hyperlink" xfId="9233" builtinId="8" hidden="1"/>
    <cellStyle name="Hyperlink" xfId="9235" builtinId="8" hidden="1"/>
    <cellStyle name="Hyperlink" xfId="9237" builtinId="8" hidden="1"/>
    <cellStyle name="Hyperlink" xfId="9239" builtinId="8" hidden="1"/>
    <cellStyle name="Hyperlink" xfId="9241" builtinId="8" hidden="1"/>
    <cellStyle name="Hyperlink" xfId="9243" builtinId="8" hidden="1"/>
    <cellStyle name="Hyperlink" xfId="9245" builtinId="8" hidden="1"/>
    <cellStyle name="Hyperlink" xfId="9247" builtinId="8" hidden="1"/>
    <cellStyle name="Hyperlink" xfId="9249" builtinId="8" hidden="1"/>
    <cellStyle name="Hyperlink" xfId="9251" builtinId="8" hidden="1"/>
    <cellStyle name="Hyperlink" xfId="9253" builtinId="8" hidden="1"/>
    <cellStyle name="Hyperlink" xfId="9255" builtinId="8" hidden="1"/>
    <cellStyle name="Hyperlink" xfId="9257" builtinId="8" hidden="1"/>
    <cellStyle name="Hyperlink" xfId="9259" builtinId="8" hidden="1"/>
    <cellStyle name="Hyperlink" xfId="9261" builtinId="8" hidden="1"/>
    <cellStyle name="Hyperlink" xfId="9263" builtinId="8" hidden="1"/>
    <cellStyle name="Hyperlink" xfId="9265" builtinId="8" hidden="1"/>
    <cellStyle name="Hyperlink" xfId="9267" builtinId="8" hidden="1"/>
    <cellStyle name="Hyperlink" xfId="9269" builtinId="8" hidden="1"/>
    <cellStyle name="Hyperlink" xfId="9271" builtinId="8" hidden="1"/>
    <cellStyle name="Hyperlink" xfId="9273" builtinId="8" hidden="1"/>
    <cellStyle name="Hyperlink" xfId="9275" builtinId="8" hidden="1"/>
    <cellStyle name="Hyperlink" xfId="9277" builtinId="8" hidden="1"/>
    <cellStyle name="Hyperlink" xfId="9279" builtinId="8" hidden="1"/>
    <cellStyle name="Hyperlink" xfId="9281" builtinId="8" hidden="1"/>
    <cellStyle name="Hyperlink" xfId="9283" builtinId="8" hidden="1"/>
    <cellStyle name="Hyperlink" xfId="9285" builtinId="8" hidden="1"/>
    <cellStyle name="Hyperlink" xfId="9287" builtinId="8" hidden="1"/>
    <cellStyle name="Hyperlink" xfId="9289" builtinId="8" hidden="1"/>
    <cellStyle name="Hyperlink" xfId="9291" builtinId="8" hidden="1"/>
    <cellStyle name="Hyperlink" xfId="9293" builtinId="8" hidden="1"/>
    <cellStyle name="Hyperlink" xfId="9295" builtinId="8" hidden="1"/>
    <cellStyle name="Hyperlink" xfId="9297" builtinId="8" hidden="1"/>
    <cellStyle name="Hyperlink" xfId="9299" builtinId="8" hidden="1"/>
    <cellStyle name="Hyperlink" xfId="9301" builtinId="8" hidden="1"/>
    <cellStyle name="Hyperlink" xfId="9303" builtinId="8" hidden="1"/>
    <cellStyle name="Hyperlink" xfId="9305" builtinId="8" hidden="1"/>
    <cellStyle name="Hyperlink" xfId="9307" builtinId="8" hidden="1"/>
    <cellStyle name="Hyperlink" xfId="9309" builtinId="8" hidden="1"/>
    <cellStyle name="Hyperlink" xfId="9311" builtinId="8" hidden="1"/>
    <cellStyle name="Hyperlink" xfId="9313" builtinId="8" hidden="1"/>
    <cellStyle name="Hyperlink" xfId="9315" builtinId="8" hidden="1"/>
    <cellStyle name="Hyperlink" xfId="9317" builtinId="8" hidden="1"/>
    <cellStyle name="Hyperlink" xfId="9319" builtinId="8" hidden="1"/>
    <cellStyle name="Hyperlink" xfId="9321" builtinId="8" hidden="1"/>
    <cellStyle name="Hyperlink" xfId="9323" builtinId="8" hidden="1"/>
    <cellStyle name="Hyperlink" xfId="9325" builtinId="8" hidden="1"/>
    <cellStyle name="Hyperlink" xfId="9327" builtinId="8" hidden="1"/>
    <cellStyle name="Hyperlink" xfId="9329" builtinId="8" hidden="1"/>
    <cellStyle name="Hyperlink" xfId="9331" builtinId="8" hidden="1"/>
    <cellStyle name="Hyperlink" xfId="9333" builtinId="8" hidden="1"/>
    <cellStyle name="Hyperlink" xfId="9335" builtinId="8" hidden="1"/>
    <cellStyle name="Hyperlink" xfId="9337" builtinId="8" hidden="1"/>
    <cellStyle name="Hyperlink" xfId="9339" builtinId="8" hidden="1"/>
    <cellStyle name="Hyperlink" xfId="9341" builtinId="8" hidden="1"/>
    <cellStyle name="Hyperlink" xfId="9343" builtinId="8" hidden="1"/>
    <cellStyle name="Hyperlink" xfId="9345" builtinId="8" hidden="1"/>
    <cellStyle name="Hyperlink" xfId="9347" builtinId="8" hidden="1"/>
    <cellStyle name="Hyperlink" xfId="9349" builtinId="8" hidden="1"/>
    <cellStyle name="Hyperlink" xfId="9351" builtinId="8" hidden="1"/>
    <cellStyle name="Hyperlink" xfId="9353" builtinId="8" hidden="1"/>
    <cellStyle name="Hyperlink" xfId="9355" builtinId="8" hidden="1"/>
    <cellStyle name="Hyperlink" xfId="9357" builtinId="8" hidden="1"/>
    <cellStyle name="Hyperlink" xfId="9359" builtinId="8" hidden="1"/>
    <cellStyle name="Hyperlink" xfId="9361" builtinId="8" hidden="1"/>
    <cellStyle name="Hyperlink" xfId="9363" builtinId="8" hidden="1"/>
    <cellStyle name="Hyperlink" xfId="9365" builtinId="8" hidden="1"/>
    <cellStyle name="Hyperlink" xfId="9367" builtinId="8" hidden="1"/>
    <cellStyle name="Hyperlink" xfId="9369" builtinId="8" hidden="1"/>
    <cellStyle name="Hyperlink" xfId="9371" builtinId="8" hidden="1"/>
    <cellStyle name="Hyperlink" xfId="9373" builtinId="8" hidden="1"/>
    <cellStyle name="Hyperlink" xfId="9375" builtinId="8" hidden="1"/>
    <cellStyle name="Hyperlink" xfId="9377" builtinId="8" hidden="1"/>
    <cellStyle name="Hyperlink" xfId="9379" builtinId="8" hidden="1"/>
    <cellStyle name="Hyperlink" xfId="9381" builtinId="8" hidden="1"/>
    <cellStyle name="Hyperlink" xfId="9383" builtinId="8" hidden="1"/>
    <cellStyle name="Hyperlink" xfId="9385" builtinId="8" hidden="1"/>
    <cellStyle name="Hyperlink" xfId="9387" builtinId="8" hidden="1"/>
    <cellStyle name="Hyperlink" xfId="9389" builtinId="8" hidden="1"/>
    <cellStyle name="Hyperlink" xfId="9391" builtinId="8" hidden="1"/>
    <cellStyle name="Hyperlink" xfId="9393" builtinId="8" hidden="1"/>
    <cellStyle name="Hyperlink" xfId="9395" builtinId="8" hidden="1"/>
    <cellStyle name="Hyperlink" xfId="9397" builtinId="8" hidden="1"/>
    <cellStyle name="Hyperlink" xfId="9399" builtinId="8" hidden="1"/>
    <cellStyle name="Hyperlink" xfId="9401" builtinId="8" hidden="1"/>
    <cellStyle name="Hyperlink" xfId="9403" builtinId="8" hidden="1"/>
    <cellStyle name="Hyperlink" xfId="9405" builtinId="8" hidden="1"/>
    <cellStyle name="Hyperlink" xfId="9407" builtinId="8" hidden="1"/>
    <cellStyle name="Hyperlink" xfId="9409" builtinId="8" hidden="1"/>
    <cellStyle name="Hyperlink" xfId="9411" builtinId="8" hidden="1"/>
    <cellStyle name="Hyperlink" xfId="9413" builtinId="8" hidden="1"/>
    <cellStyle name="Hyperlink" xfId="9415" builtinId="8" hidden="1"/>
    <cellStyle name="Hyperlink" xfId="9417" builtinId="8" hidden="1"/>
    <cellStyle name="Hyperlink" xfId="9419" builtinId="8" hidden="1"/>
    <cellStyle name="Hyperlink" xfId="9421" builtinId="8" hidden="1"/>
    <cellStyle name="Hyperlink" xfId="9423" builtinId="8" hidden="1"/>
    <cellStyle name="Hyperlink" xfId="9425" builtinId="8" hidden="1"/>
    <cellStyle name="Hyperlink" xfId="9427" builtinId="8" hidden="1"/>
    <cellStyle name="Hyperlink" xfId="9429" builtinId="8" hidden="1"/>
    <cellStyle name="Hyperlink" xfId="9431" builtinId="8" hidden="1"/>
    <cellStyle name="Hyperlink" xfId="9433" builtinId="8" hidden="1"/>
    <cellStyle name="Hyperlink" xfId="9435" builtinId="8" hidden="1"/>
    <cellStyle name="Hyperlink" xfId="9437" builtinId="8" hidden="1"/>
    <cellStyle name="Hyperlink" xfId="9439" builtinId="8" hidden="1"/>
    <cellStyle name="Hyperlink" xfId="9441" builtinId="8" hidden="1"/>
    <cellStyle name="Hyperlink" xfId="9443" builtinId="8" hidden="1"/>
    <cellStyle name="Hyperlink" xfId="9445" builtinId="8" hidden="1"/>
    <cellStyle name="Hyperlink" xfId="9447" builtinId="8" hidden="1"/>
    <cellStyle name="Hyperlink" xfId="9449" builtinId="8" hidden="1"/>
    <cellStyle name="Hyperlink" xfId="9451" builtinId="8" hidden="1"/>
    <cellStyle name="Hyperlink" xfId="9453" builtinId="8" hidden="1"/>
    <cellStyle name="Hyperlink" xfId="9455" builtinId="8" hidden="1"/>
    <cellStyle name="Hyperlink" xfId="9457" builtinId="8" hidden="1"/>
    <cellStyle name="Hyperlink" xfId="9459" builtinId="8" hidden="1"/>
    <cellStyle name="Hyperlink" xfId="9461" builtinId="8" hidden="1"/>
    <cellStyle name="Hyperlink" xfId="9463" builtinId="8" hidden="1"/>
    <cellStyle name="Hyperlink" xfId="9465" builtinId="8" hidden="1"/>
    <cellStyle name="Hyperlink" xfId="9467" builtinId="8" hidden="1"/>
    <cellStyle name="Hyperlink" xfId="9469" builtinId="8" hidden="1"/>
    <cellStyle name="Hyperlink" xfId="9471" builtinId="8" hidden="1"/>
    <cellStyle name="Hyperlink" xfId="9473" builtinId="8" hidden="1"/>
    <cellStyle name="Hyperlink" xfId="9475" builtinId="8" hidden="1"/>
    <cellStyle name="Hyperlink" xfId="9477" builtinId="8" hidden="1"/>
    <cellStyle name="Hyperlink" xfId="9479" builtinId="8" hidden="1"/>
    <cellStyle name="Hyperlink" xfId="9481" builtinId="8" hidden="1"/>
    <cellStyle name="Hyperlink" xfId="9483" builtinId="8" hidden="1"/>
    <cellStyle name="Hyperlink" xfId="9485" builtinId="8" hidden="1"/>
    <cellStyle name="Hyperlink" xfId="9487" builtinId="8" hidden="1"/>
    <cellStyle name="Hyperlink" xfId="9489" builtinId="8" hidden="1"/>
    <cellStyle name="Hyperlink" xfId="9491" builtinId="8" hidden="1"/>
    <cellStyle name="Hyperlink" xfId="9493" builtinId="8" hidden="1"/>
    <cellStyle name="Hyperlink" xfId="9495" builtinId="8" hidden="1"/>
    <cellStyle name="Hyperlink" xfId="9497" builtinId="8" hidden="1"/>
    <cellStyle name="Hyperlink" xfId="9499" builtinId="8" hidden="1"/>
    <cellStyle name="Hyperlink" xfId="9501" builtinId="8" hidden="1"/>
    <cellStyle name="Hyperlink" xfId="9503" builtinId="8" hidden="1"/>
    <cellStyle name="Hyperlink" xfId="9505" builtinId="8" hidden="1"/>
    <cellStyle name="Hyperlink" xfId="9507" builtinId="8" hidden="1"/>
    <cellStyle name="Hyperlink" xfId="9509" builtinId="8" hidden="1"/>
    <cellStyle name="Hyperlink" xfId="9511" builtinId="8" hidden="1"/>
    <cellStyle name="Hyperlink" xfId="9513" builtinId="8" hidden="1"/>
    <cellStyle name="Hyperlink" xfId="9515" builtinId="8" hidden="1"/>
    <cellStyle name="Hyperlink" xfId="9517" builtinId="8" hidden="1"/>
    <cellStyle name="Hyperlink" xfId="9519" builtinId="8" hidden="1"/>
    <cellStyle name="Hyperlink" xfId="9521" builtinId="8" hidden="1"/>
    <cellStyle name="Hyperlink" xfId="9523" builtinId="8" hidden="1"/>
    <cellStyle name="Hyperlink" xfId="9525" builtinId="8" hidden="1"/>
    <cellStyle name="Hyperlink" xfId="9527" builtinId="8" hidden="1"/>
    <cellStyle name="Hyperlink" xfId="9529" builtinId="8" hidden="1"/>
    <cellStyle name="Hyperlink" xfId="9531" builtinId="8" hidden="1"/>
    <cellStyle name="Hyperlink" xfId="9533" builtinId="8" hidden="1"/>
    <cellStyle name="Hyperlink" xfId="9535" builtinId="8" hidden="1"/>
    <cellStyle name="Hyperlink" xfId="9537" builtinId="8" hidden="1"/>
    <cellStyle name="Hyperlink" xfId="9539" builtinId="8" hidden="1"/>
    <cellStyle name="Hyperlink" xfId="9541" builtinId="8" hidden="1"/>
    <cellStyle name="Hyperlink" xfId="9543" builtinId="8" hidden="1"/>
    <cellStyle name="Hyperlink" xfId="9545" builtinId="8" hidden="1"/>
    <cellStyle name="Hyperlink" xfId="9547" builtinId="8" hidden="1"/>
    <cellStyle name="Hyperlink" xfId="9549" builtinId="8" hidden="1"/>
    <cellStyle name="Hyperlink" xfId="9551" builtinId="8" hidden="1"/>
    <cellStyle name="Hyperlink" xfId="9553" builtinId="8" hidden="1"/>
    <cellStyle name="Hyperlink" xfId="9555" builtinId="8" hidden="1"/>
    <cellStyle name="Hyperlink" xfId="9557" builtinId="8" hidden="1"/>
    <cellStyle name="Hyperlink" xfId="9559" builtinId="8" hidden="1"/>
    <cellStyle name="Hyperlink" xfId="9561" builtinId="8" hidden="1"/>
    <cellStyle name="Hyperlink" xfId="9563" builtinId="8" hidden="1"/>
    <cellStyle name="Hyperlink" xfId="9565" builtinId="8" hidden="1"/>
    <cellStyle name="Hyperlink" xfId="9567" builtinId="8" hidden="1"/>
    <cellStyle name="Hyperlink" xfId="9569" builtinId="8" hidden="1"/>
    <cellStyle name="Hyperlink" xfId="9571" builtinId="8" hidden="1"/>
    <cellStyle name="Hyperlink" xfId="9573" builtinId="8" hidden="1"/>
    <cellStyle name="Hyperlink" xfId="9575" builtinId="8" hidden="1"/>
    <cellStyle name="Hyperlink" xfId="9577" builtinId="8" hidden="1"/>
    <cellStyle name="Hyperlink" xfId="9579" builtinId="8" hidden="1"/>
    <cellStyle name="Hyperlink" xfId="9581" builtinId="8" hidden="1"/>
    <cellStyle name="Hyperlink" xfId="9583" builtinId="8" hidden="1"/>
    <cellStyle name="Hyperlink" xfId="9585" builtinId="8" hidden="1"/>
    <cellStyle name="Hyperlink" xfId="9587" builtinId="8" hidden="1"/>
    <cellStyle name="Hyperlink" xfId="9589" builtinId="8" hidden="1"/>
    <cellStyle name="Hyperlink" xfId="9591" builtinId="8" hidden="1"/>
    <cellStyle name="Hyperlink" xfId="9593" builtinId="8" hidden="1"/>
    <cellStyle name="Hyperlink" xfId="9595" builtinId="8" hidden="1"/>
    <cellStyle name="Hyperlink" xfId="9597" builtinId="8" hidden="1"/>
    <cellStyle name="Hyperlink" xfId="9599" builtinId="8" hidden="1"/>
    <cellStyle name="Hyperlink" xfId="9601" builtinId="8" hidden="1"/>
    <cellStyle name="Hyperlink" xfId="9603" builtinId="8" hidden="1"/>
    <cellStyle name="Hyperlink" xfId="9605" builtinId="8" hidden="1"/>
    <cellStyle name="Hyperlink" xfId="9607" builtinId="8" hidden="1"/>
    <cellStyle name="Hyperlink" xfId="9609" builtinId="8" hidden="1"/>
    <cellStyle name="Hyperlink" xfId="9611" builtinId="8" hidden="1"/>
    <cellStyle name="Hyperlink" xfId="9613" builtinId="8" hidden="1"/>
    <cellStyle name="Hyperlink" xfId="9615" builtinId="8" hidden="1"/>
    <cellStyle name="Hyperlink" xfId="9617" builtinId="8" hidden="1"/>
    <cellStyle name="Hyperlink" xfId="9619" builtinId="8" hidden="1"/>
    <cellStyle name="Hyperlink" xfId="9621" builtinId="8" hidden="1"/>
    <cellStyle name="Hyperlink" xfId="9623" builtinId="8" hidden="1"/>
    <cellStyle name="Hyperlink" xfId="9625" builtinId="8" hidden="1"/>
    <cellStyle name="Hyperlink" xfId="9627" builtinId="8" hidden="1"/>
    <cellStyle name="Hyperlink" xfId="9629" builtinId="8" hidden="1"/>
    <cellStyle name="Hyperlink" xfId="9631" builtinId="8" hidden="1"/>
    <cellStyle name="Hyperlink" xfId="9633" builtinId="8" hidden="1"/>
    <cellStyle name="Hyperlink" xfId="9635" builtinId="8" hidden="1"/>
    <cellStyle name="Hyperlink" xfId="9637" builtinId="8" hidden="1"/>
    <cellStyle name="Hyperlink" xfId="9639" builtinId="8" hidden="1"/>
    <cellStyle name="Hyperlink" xfId="9641" builtinId="8" hidden="1"/>
    <cellStyle name="Hyperlink" xfId="9643" builtinId="8" hidden="1"/>
    <cellStyle name="Hyperlink" xfId="9645" builtinId="8" hidden="1"/>
    <cellStyle name="Hyperlink" xfId="9647" builtinId="8" hidden="1"/>
    <cellStyle name="Hyperlink" xfId="9649" builtinId="8" hidden="1"/>
    <cellStyle name="Hyperlink" xfId="9651" builtinId="8" hidden="1"/>
    <cellStyle name="Hyperlink" xfId="9653" builtinId="8" hidden="1"/>
    <cellStyle name="Hyperlink" xfId="9655" builtinId="8" hidden="1"/>
    <cellStyle name="Hyperlink" xfId="9657" builtinId="8" hidden="1"/>
    <cellStyle name="Hyperlink" xfId="9659" builtinId="8" hidden="1"/>
    <cellStyle name="Hyperlink" xfId="9661" builtinId="8" hidden="1"/>
    <cellStyle name="Hyperlink" xfId="9663" builtinId="8" hidden="1"/>
    <cellStyle name="Hyperlink" xfId="9665" builtinId="8" hidden="1"/>
    <cellStyle name="Hyperlink" xfId="9667" builtinId="8" hidden="1"/>
    <cellStyle name="Hyperlink" xfId="9669" builtinId="8" hidden="1"/>
    <cellStyle name="Hyperlink" xfId="9671" builtinId="8" hidden="1"/>
    <cellStyle name="Hyperlink" xfId="9673" builtinId="8" hidden="1"/>
    <cellStyle name="Hyperlink" xfId="9675" builtinId="8" hidden="1"/>
    <cellStyle name="Hyperlink" xfId="9677" builtinId="8" hidden="1"/>
    <cellStyle name="Hyperlink" xfId="9679" builtinId="8" hidden="1"/>
    <cellStyle name="Hyperlink" xfId="9681" builtinId="8" hidden="1"/>
    <cellStyle name="Hyperlink" xfId="9683" builtinId="8" hidden="1"/>
    <cellStyle name="Hyperlink" xfId="9685" builtinId="8" hidden="1"/>
    <cellStyle name="Hyperlink" xfId="9687" builtinId="8" hidden="1"/>
    <cellStyle name="Hyperlink" xfId="9689" builtinId="8" hidden="1"/>
    <cellStyle name="Hyperlink" xfId="9691" builtinId="8" hidden="1"/>
    <cellStyle name="Hyperlink" xfId="9693" builtinId="8" hidden="1"/>
    <cellStyle name="Hyperlink" xfId="9695" builtinId="8" hidden="1"/>
    <cellStyle name="Hyperlink" xfId="9697" builtinId="8" hidden="1"/>
    <cellStyle name="Hyperlink" xfId="9699" builtinId="8" hidden="1"/>
    <cellStyle name="Hyperlink" xfId="9701" builtinId="8" hidden="1"/>
    <cellStyle name="Hyperlink" xfId="9703" builtinId="8" hidden="1"/>
    <cellStyle name="Hyperlink" xfId="9705" builtinId="8" hidden="1"/>
    <cellStyle name="Hyperlink" xfId="9707" builtinId="8" hidden="1"/>
    <cellStyle name="Hyperlink" xfId="9709" builtinId="8" hidden="1"/>
    <cellStyle name="Hyperlink" xfId="9711" builtinId="8" hidden="1"/>
    <cellStyle name="Hyperlink" xfId="9713" builtinId="8" hidden="1"/>
    <cellStyle name="Hyperlink" xfId="9715" builtinId="8" hidden="1"/>
    <cellStyle name="Hyperlink" xfId="9717" builtinId="8" hidden="1"/>
    <cellStyle name="Hyperlink" xfId="9719" builtinId="8" hidden="1"/>
    <cellStyle name="Hyperlink" xfId="9721" builtinId="8" hidden="1"/>
    <cellStyle name="Hyperlink" xfId="9723" builtinId="8" hidden="1"/>
    <cellStyle name="Hyperlink" xfId="9725" builtinId="8" hidden="1"/>
    <cellStyle name="Hyperlink" xfId="9727" builtinId="8" hidden="1"/>
    <cellStyle name="Hyperlink" xfId="9729" builtinId="8" hidden="1"/>
    <cellStyle name="Hyperlink" xfId="9731" builtinId="8" hidden="1"/>
    <cellStyle name="Hyperlink" xfId="9733" builtinId="8" hidden="1"/>
    <cellStyle name="Hyperlink" xfId="9735" builtinId="8" hidden="1"/>
    <cellStyle name="Hyperlink" xfId="9737" builtinId="8" hidden="1"/>
    <cellStyle name="Hyperlink" xfId="9739" builtinId="8" hidden="1"/>
    <cellStyle name="Hyperlink" xfId="9741" builtinId="8" hidden="1"/>
    <cellStyle name="Hyperlink" xfId="9743" builtinId="8" hidden="1"/>
    <cellStyle name="Hyperlink" xfId="9745" builtinId="8" hidden="1"/>
    <cellStyle name="Hyperlink" xfId="9747" builtinId="8" hidden="1"/>
    <cellStyle name="Hyperlink" xfId="9749" builtinId="8" hidden="1"/>
    <cellStyle name="Hyperlink" xfId="9751" builtinId="8" hidden="1"/>
    <cellStyle name="Hyperlink" xfId="9753" builtinId="8" hidden="1"/>
    <cellStyle name="Hyperlink" xfId="9755" builtinId="8" hidden="1"/>
    <cellStyle name="Hyperlink" xfId="9757" builtinId="8" hidden="1"/>
    <cellStyle name="Hyperlink" xfId="9759" builtinId="8" hidden="1"/>
    <cellStyle name="Hyperlink" xfId="9761" builtinId="8" hidden="1"/>
    <cellStyle name="Hyperlink" xfId="9763" builtinId="8" hidden="1"/>
    <cellStyle name="Hyperlink" xfId="9765" builtinId="8" hidden="1"/>
    <cellStyle name="Hyperlink" xfId="9767" builtinId="8" hidden="1"/>
    <cellStyle name="Hyperlink" xfId="9769" builtinId="8" hidden="1"/>
    <cellStyle name="Hyperlink" xfId="9771" builtinId="8" hidden="1"/>
    <cellStyle name="Hyperlink" xfId="9773" builtinId="8" hidden="1"/>
    <cellStyle name="Hyperlink" xfId="9775" builtinId="8" hidden="1"/>
    <cellStyle name="Hyperlink" xfId="9777" builtinId="8" hidden="1"/>
    <cellStyle name="Hyperlink" xfId="9779" builtinId="8" hidden="1"/>
    <cellStyle name="Hyperlink" xfId="9781" builtinId="8" hidden="1"/>
    <cellStyle name="Hyperlink" xfId="9783" builtinId="8" hidden="1"/>
    <cellStyle name="Hyperlink" xfId="9785" builtinId="8" hidden="1"/>
    <cellStyle name="Hyperlink" xfId="9787" builtinId="8" hidden="1"/>
    <cellStyle name="Hyperlink" xfId="9789" builtinId="8" hidden="1"/>
    <cellStyle name="Hyperlink" xfId="9791" builtinId="8" hidden="1"/>
    <cellStyle name="Hyperlink" xfId="9793" builtinId="8" hidden="1"/>
    <cellStyle name="Hyperlink" xfId="9795" builtinId="8" hidden="1"/>
    <cellStyle name="Hyperlink" xfId="9797" builtinId="8" hidden="1"/>
    <cellStyle name="Hyperlink" xfId="9799" builtinId="8" hidden="1"/>
    <cellStyle name="Hyperlink" xfId="9801" builtinId="8" hidden="1"/>
    <cellStyle name="Hyperlink" xfId="9803" builtinId="8" hidden="1"/>
    <cellStyle name="Hyperlink" xfId="9805" builtinId="8" hidden="1"/>
    <cellStyle name="Hyperlink" xfId="9807" builtinId="8" hidden="1"/>
    <cellStyle name="Hyperlink" xfId="9809" builtinId="8" hidden="1"/>
    <cellStyle name="Hyperlink" xfId="9811" builtinId="8" hidden="1"/>
    <cellStyle name="Hyperlink" xfId="9813" builtinId="8" hidden="1"/>
    <cellStyle name="Hyperlink" xfId="9815" builtinId="8" hidden="1"/>
    <cellStyle name="Hyperlink" xfId="9817" builtinId="8" hidden="1"/>
    <cellStyle name="Hyperlink" xfId="9819" builtinId="8" hidden="1"/>
    <cellStyle name="Hyperlink" xfId="9821" builtinId="8" hidden="1"/>
    <cellStyle name="Hyperlink" xfId="9823" builtinId="8" hidden="1"/>
    <cellStyle name="Hyperlink" xfId="9825" builtinId="8" hidden="1"/>
    <cellStyle name="Hyperlink" xfId="9827" builtinId="8" hidden="1"/>
    <cellStyle name="Hyperlink" xfId="9829" builtinId="8" hidden="1"/>
    <cellStyle name="Hyperlink" xfId="9831" builtinId="8" hidden="1"/>
    <cellStyle name="Hyperlink" xfId="9833" builtinId="8" hidden="1"/>
    <cellStyle name="Hyperlink" xfId="9835" builtinId="8" hidden="1"/>
    <cellStyle name="Hyperlink" xfId="9837" builtinId="8" hidden="1"/>
    <cellStyle name="Hyperlink" xfId="9839" builtinId="8" hidden="1"/>
    <cellStyle name="Hyperlink" xfId="9841" builtinId="8" hidden="1"/>
    <cellStyle name="Hyperlink" xfId="9843" builtinId="8" hidden="1"/>
    <cellStyle name="Hyperlink" xfId="9845" builtinId="8" hidden="1"/>
    <cellStyle name="Hyperlink" xfId="9847" builtinId="8" hidden="1"/>
    <cellStyle name="Hyperlink" xfId="9849" builtinId="8" hidden="1"/>
    <cellStyle name="Hyperlink" xfId="9851" builtinId="8" hidden="1"/>
    <cellStyle name="Hyperlink" xfId="9853" builtinId="8" hidden="1"/>
    <cellStyle name="Hyperlink" xfId="9855" builtinId="8" hidden="1"/>
    <cellStyle name="Hyperlink" xfId="9857" builtinId="8" hidden="1"/>
    <cellStyle name="Hyperlink" xfId="9859" builtinId="8" hidden="1"/>
    <cellStyle name="Hyperlink" xfId="9861" builtinId="8" hidden="1"/>
    <cellStyle name="Hyperlink" xfId="9863" builtinId="8" hidden="1"/>
    <cellStyle name="Hyperlink" xfId="9865" builtinId="8" hidden="1"/>
    <cellStyle name="Hyperlink" xfId="9867" builtinId="8" hidden="1"/>
    <cellStyle name="Hyperlink" xfId="9869" builtinId="8" hidden="1"/>
    <cellStyle name="Hyperlink" xfId="9871" builtinId="8" hidden="1"/>
    <cellStyle name="Hyperlink" xfId="9873" builtinId="8" hidden="1"/>
    <cellStyle name="Hyperlink" xfId="9875" builtinId="8" hidden="1"/>
    <cellStyle name="Hyperlink" xfId="9877" builtinId="8" hidden="1"/>
    <cellStyle name="Hyperlink" xfId="9879" builtinId="8" hidden="1"/>
    <cellStyle name="Hyperlink" xfId="9881" builtinId="8" hidden="1"/>
    <cellStyle name="Hyperlink" xfId="9883" builtinId="8" hidden="1"/>
    <cellStyle name="Hyperlink" xfId="9885" builtinId="8" hidden="1"/>
    <cellStyle name="Hyperlink" xfId="9887" builtinId="8" hidden="1"/>
    <cellStyle name="Hyperlink" xfId="9889" builtinId="8" hidden="1"/>
    <cellStyle name="Hyperlink" xfId="9891" builtinId="8" hidden="1"/>
    <cellStyle name="Hyperlink" xfId="9893" builtinId="8" hidden="1"/>
    <cellStyle name="Hyperlink" xfId="9895" builtinId="8" hidden="1"/>
    <cellStyle name="Hyperlink" xfId="9897" builtinId="8" hidden="1"/>
    <cellStyle name="Hyperlink" xfId="9899" builtinId="8" hidden="1"/>
    <cellStyle name="Hyperlink" xfId="9901" builtinId="8" hidden="1"/>
    <cellStyle name="Hyperlink" xfId="9903" builtinId="8" hidden="1"/>
    <cellStyle name="Hyperlink" xfId="9905" builtinId="8" hidden="1"/>
    <cellStyle name="Hyperlink" xfId="9907" builtinId="8" hidden="1"/>
    <cellStyle name="Hyperlink" xfId="9909" builtinId="8" hidden="1"/>
    <cellStyle name="Hyperlink" xfId="9911" builtinId="8" hidden="1"/>
    <cellStyle name="Hyperlink" xfId="9913" builtinId="8" hidden="1"/>
    <cellStyle name="Hyperlink" xfId="9915" builtinId="8" hidden="1"/>
    <cellStyle name="Hyperlink" xfId="9917" builtinId="8" hidden="1"/>
    <cellStyle name="Hyperlink" xfId="9919" builtinId="8" hidden="1"/>
    <cellStyle name="Hyperlink" xfId="9921" builtinId="8" hidden="1"/>
    <cellStyle name="Hyperlink" xfId="9923" builtinId="8" hidden="1"/>
    <cellStyle name="Hyperlink" xfId="9925" builtinId="8" hidden="1"/>
    <cellStyle name="Hyperlink" xfId="9927" builtinId="8" hidden="1"/>
    <cellStyle name="Hyperlink" xfId="9929" builtinId="8" hidden="1"/>
    <cellStyle name="Hyperlink" xfId="9931" builtinId="8" hidden="1"/>
    <cellStyle name="Hyperlink" xfId="9933" builtinId="8" hidden="1"/>
    <cellStyle name="Hyperlink" xfId="9935" builtinId="8" hidden="1"/>
    <cellStyle name="Hyperlink" xfId="9937" builtinId="8" hidden="1"/>
    <cellStyle name="Hyperlink" xfId="9939" builtinId="8" hidden="1"/>
    <cellStyle name="Hyperlink" xfId="9941" builtinId="8" hidden="1"/>
    <cellStyle name="Hyperlink" xfId="9943" builtinId="8" hidden="1"/>
    <cellStyle name="Hyperlink" xfId="9945" builtinId="8" hidden="1"/>
    <cellStyle name="Hyperlink" xfId="9947" builtinId="8" hidden="1"/>
    <cellStyle name="Hyperlink" xfId="9949" builtinId="8" hidden="1"/>
    <cellStyle name="Hyperlink" xfId="9951" builtinId="8" hidden="1"/>
    <cellStyle name="Hyperlink" xfId="9953" builtinId="8" hidden="1"/>
    <cellStyle name="Hyperlink" xfId="9955" builtinId="8" hidden="1"/>
    <cellStyle name="Hyperlink" xfId="9957" builtinId="8" hidden="1"/>
    <cellStyle name="Hyperlink" xfId="9959" builtinId="8" hidden="1"/>
    <cellStyle name="Hyperlink" xfId="9961" builtinId="8" hidden="1"/>
    <cellStyle name="Hyperlink" xfId="9963" builtinId="8" hidden="1"/>
    <cellStyle name="Hyperlink" xfId="9965" builtinId="8" hidden="1"/>
    <cellStyle name="Hyperlink" xfId="9967" builtinId="8" hidden="1"/>
    <cellStyle name="Hyperlink" xfId="9969" builtinId="8" hidden="1"/>
    <cellStyle name="Hyperlink" xfId="9971" builtinId="8" hidden="1"/>
    <cellStyle name="Hyperlink" xfId="9973" builtinId="8" hidden="1"/>
    <cellStyle name="Hyperlink" xfId="9975" builtinId="8" hidden="1"/>
    <cellStyle name="Hyperlink" xfId="9977" builtinId="8" hidden="1"/>
    <cellStyle name="Hyperlink" xfId="9979" builtinId="8" hidden="1"/>
    <cellStyle name="Hyperlink" xfId="9981" builtinId="8" hidden="1"/>
    <cellStyle name="Hyperlink" xfId="9983" builtinId="8" hidden="1"/>
    <cellStyle name="Hyperlink" xfId="9985" builtinId="8" hidden="1"/>
    <cellStyle name="Hyperlink" xfId="9987" builtinId="8" hidden="1"/>
    <cellStyle name="Hyperlink" xfId="9989" builtinId="8" hidden="1"/>
    <cellStyle name="Hyperlink" xfId="9991" builtinId="8" hidden="1"/>
    <cellStyle name="Hyperlink" xfId="9993" builtinId="8" hidden="1"/>
    <cellStyle name="Hyperlink" xfId="9995" builtinId="8" hidden="1"/>
    <cellStyle name="Hyperlink" xfId="9997" builtinId="8" hidden="1"/>
    <cellStyle name="Hyperlink" xfId="9999" builtinId="8" hidden="1"/>
    <cellStyle name="Hyperlink" xfId="10001" builtinId="8" hidden="1"/>
    <cellStyle name="Hyperlink" xfId="10003" builtinId="8" hidden="1"/>
    <cellStyle name="Hyperlink" xfId="10005" builtinId="8" hidden="1"/>
    <cellStyle name="Hyperlink" xfId="10007" builtinId="8" hidden="1"/>
    <cellStyle name="Hyperlink" xfId="10009" builtinId="8" hidden="1"/>
    <cellStyle name="Hyperlink" xfId="10011" builtinId="8" hidden="1"/>
    <cellStyle name="Hyperlink" xfId="10013" builtinId="8" hidden="1"/>
    <cellStyle name="Hyperlink" xfId="10015" builtinId="8" hidden="1"/>
    <cellStyle name="Hyperlink" xfId="10017" builtinId="8" hidden="1"/>
    <cellStyle name="Hyperlink" xfId="10019" builtinId="8" hidden="1"/>
    <cellStyle name="Hyperlink" xfId="10021" builtinId="8" hidden="1"/>
    <cellStyle name="Hyperlink" xfId="10023" builtinId="8" hidden="1"/>
    <cellStyle name="Hyperlink" xfId="10025" builtinId="8" hidden="1"/>
    <cellStyle name="Hyperlink" xfId="10027" builtinId="8" hidden="1"/>
    <cellStyle name="Hyperlink" xfId="10029" builtinId="8" hidden="1"/>
    <cellStyle name="Hyperlink" xfId="10031" builtinId="8" hidden="1"/>
    <cellStyle name="Hyperlink" xfId="10033" builtinId="8" hidden="1"/>
    <cellStyle name="Hyperlink" xfId="10035" builtinId="8" hidden="1"/>
    <cellStyle name="Hyperlink" xfId="10037" builtinId="8" hidden="1"/>
    <cellStyle name="Hyperlink" xfId="10039" builtinId="8" hidden="1"/>
    <cellStyle name="Hyperlink" xfId="10041" builtinId="8" hidden="1"/>
    <cellStyle name="Hyperlink" xfId="10043" builtinId="8" hidden="1"/>
    <cellStyle name="Hyperlink" xfId="10045" builtinId="8" hidden="1"/>
    <cellStyle name="Hyperlink" xfId="10047" builtinId="8" hidden="1"/>
    <cellStyle name="Hyperlink" xfId="10049" builtinId="8" hidden="1"/>
    <cellStyle name="Hyperlink" xfId="10051" builtinId="8" hidden="1"/>
    <cellStyle name="Hyperlink" xfId="10053" builtinId="8" hidden="1"/>
    <cellStyle name="Hyperlink" xfId="10055" builtinId="8" hidden="1"/>
    <cellStyle name="Hyperlink" xfId="10057" builtinId="8" hidden="1"/>
    <cellStyle name="Hyperlink" xfId="10059" builtinId="8" hidden="1"/>
    <cellStyle name="Hyperlink" xfId="10061" builtinId="8" hidden="1"/>
    <cellStyle name="Hyperlink" xfId="10063" builtinId="8" hidden="1"/>
    <cellStyle name="Hyperlink" xfId="10065" builtinId="8" hidden="1"/>
    <cellStyle name="Hyperlink" xfId="10067" builtinId="8" hidden="1"/>
    <cellStyle name="Hyperlink" xfId="10069" builtinId="8" hidden="1"/>
    <cellStyle name="Hyperlink" xfId="10071" builtinId="8" hidden="1"/>
    <cellStyle name="Hyperlink" xfId="10073" builtinId="8" hidden="1"/>
    <cellStyle name="Hyperlink" xfId="10075" builtinId="8" hidden="1"/>
    <cellStyle name="Hyperlink" xfId="10077" builtinId="8" hidden="1"/>
    <cellStyle name="Hyperlink" xfId="10079" builtinId="8" hidden="1"/>
    <cellStyle name="Hyperlink" xfId="10081" builtinId="8" hidden="1"/>
    <cellStyle name="Hyperlink" xfId="10083" builtinId="8" hidden="1"/>
    <cellStyle name="Hyperlink" xfId="10085" builtinId="8" hidden="1"/>
    <cellStyle name="Hyperlink" xfId="10087" builtinId="8" hidden="1"/>
    <cellStyle name="Hyperlink" xfId="10089" builtinId="8" hidden="1"/>
    <cellStyle name="Hyperlink" xfId="10091" builtinId="8" hidden="1"/>
    <cellStyle name="Hyperlink" xfId="10093" builtinId="8" hidden="1"/>
    <cellStyle name="Hyperlink" xfId="10095" builtinId="8" hidden="1"/>
    <cellStyle name="Hyperlink" xfId="10097" builtinId="8" hidden="1"/>
    <cellStyle name="Hyperlink" xfId="10099" builtinId="8" hidden="1"/>
    <cellStyle name="Hyperlink" xfId="10101" builtinId="8" hidden="1"/>
    <cellStyle name="Hyperlink" xfId="10103" builtinId="8" hidden="1"/>
    <cellStyle name="Hyperlink" xfId="10105" builtinId="8" hidden="1"/>
    <cellStyle name="Hyperlink" xfId="10107" builtinId="8" hidden="1"/>
    <cellStyle name="Hyperlink" xfId="10109" builtinId="8" hidden="1"/>
    <cellStyle name="Hyperlink" xfId="10111" builtinId="8" hidden="1"/>
    <cellStyle name="Hyperlink" xfId="10113" builtinId="8" hidden="1"/>
    <cellStyle name="Hyperlink" xfId="10115" builtinId="8" hidden="1"/>
    <cellStyle name="Hyperlink" xfId="10117" builtinId="8" hidden="1"/>
    <cellStyle name="Hyperlink" xfId="10119" builtinId="8" hidden="1"/>
    <cellStyle name="Hyperlink" xfId="10121" builtinId="8" hidden="1"/>
    <cellStyle name="Hyperlink" xfId="10123" builtinId="8" hidden="1"/>
    <cellStyle name="Hyperlink" xfId="10125" builtinId="8" hidden="1"/>
    <cellStyle name="Hyperlink" xfId="10127" builtinId="8" hidden="1"/>
    <cellStyle name="Hyperlink" xfId="10129" builtinId="8" hidden="1"/>
    <cellStyle name="Hyperlink" xfId="10131" builtinId="8" hidden="1"/>
    <cellStyle name="Hyperlink" xfId="10133" builtinId="8" hidden="1"/>
    <cellStyle name="Hyperlink" xfId="10135" builtinId="8" hidden="1"/>
    <cellStyle name="Hyperlink" xfId="10137" builtinId="8" hidden="1"/>
    <cellStyle name="Hyperlink" xfId="10139" builtinId="8" hidden="1"/>
    <cellStyle name="Hyperlink" xfId="10141" builtinId="8" hidden="1"/>
    <cellStyle name="Hyperlink" xfId="10143" builtinId="8" hidden="1"/>
    <cellStyle name="Hyperlink" xfId="10145" builtinId="8" hidden="1"/>
    <cellStyle name="Hyperlink" xfId="10147" builtinId="8" hidden="1"/>
    <cellStyle name="Hyperlink" xfId="10149" builtinId="8" hidden="1"/>
    <cellStyle name="Hyperlink" xfId="10151" builtinId="8" hidden="1"/>
    <cellStyle name="Hyperlink" xfId="10153" builtinId="8" hidden="1"/>
    <cellStyle name="Hyperlink" xfId="10155" builtinId="8" hidden="1"/>
    <cellStyle name="Hyperlink" xfId="10157" builtinId="8" hidden="1"/>
    <cellStyle name="Hyperlink" xfId="10159" builtinId="8" hidden="1"/>
    <cellStyle name="Hyperlink" xfId="10161" builtinId="8" hidden="1"/>
    <cellStyle name="Hyperlink" xfId="10163" builtinId="8" hidden="1"/>
    <cellStyle name="Hyperlink" xfId="10165" builtinId="8" hidden="1"/>
    <cellStyle name="Hyperlink" xfId="10167" builtinId="8" hidden="1"/>
    <cellStyle name="Hyperlink" xfId="10169" builtinId="8" hidden="1"/>
    <cellStyle name="Hyperlink" xfId="10171" builtinId="8" hidden="1"/>
    <cellStyle name="Hyperlink" xfId="10173" builtinId="8" hidden="1"/>
    <cellStyle name="Hyperlink" xfId="10175" builtinId="8" hidden="1"/>
    <cellStyle name="Hyperlink" xfId="10177" builtinId="8" hidden="1"/>
    <cellStyle name="Hyperlink" xfId="10179" builtinId="8" hidden="1"/>
    <cellStyle name="Hyperlink" xfId="10181" builtinId="8" hidden="1"/>
    <cellStyle name="Hyperlink" xfId="10183" builtinId="8" hidden="1"/>
    <cellStyle name="Hyperlink" xfId="10185" builtinId="8" hidden="1"/>
    <cellStyle name="Hyperlink" xfId="10187" builtinId="8" hidden="1"/>
    <cellStyle name="Hyperlink" xfId="10189" builtinId="8" hidden="1"/>
    <cellStyle name="Hyperlink" xfId="10191" builtinId="8" hidden="1"/>
    <cellStyle name="Hyperlink" xfId="10193" builtinId="8" hidden="1"/>
    <cellStyle name="Hyperlink" xfId="10195" builtinId="8" hidden="1"/>
    <cellStyle name="Hyperlink" xfId="10197" builtinId="8" hidden="1"/>
    <cellStyle name="Hyperlink" xfId="10199" builtinId="8" hidden="1"/>
    <cellStyle name="Hyperlink" xfId="10201" builtinId="8" hidden="1"/>
    <cellStyle name="Hyperlink" xfId="10203" builtinId="8" hidden="1"/>
    <cellStyle name="Hyperlink" xfId="10205" builtinId="8" hidden="1"/>
    <cellStyle name="Hyperlink" xfId="10207" builtinId="8" hidden="1"/>
    <cellStyle name="Hyperlink" xfId="10209" builtinId="8" hidden="1"/>
    <cellStyle name="Hyperlink" xfId="10211" builtinId="8" hidden="1"/>
    <cellStyle name="Hyperlink" xfId="10213" builtinId="8" hidden="1"/>
    <cellStyle name="Hyperlink" xfId="10215" builtinId="8" hidden="1"/>
    <cellStyle name="Hyperlink" xfId="10217" builtinId="8" hidden="1"/>
    <cellStyle name="Hyperlink" xfId="10219" builtinId="8" hidden="1"/>
    <cellStyle name="Hyperlink" xfId="10221" builtinId="8" hidden="1"/>
    <cellStyle name="Hyperlink" xfId="10223" builtinId="8" hidden="1"/>
    <cellStyle name="Hyperlink" xfId="10225" builtinId="8" hidden="1"/>
    <cellStyle name="Hyperlink" xfId="10227" builtinId="8" hidden="1"/>
    <cellStyle name="Hyperlink" xfId="10229" builtinId="8" hidden="1"/>
    <cellStyle name="Hyperlink" xfId="10231" builtinId="8" hidden="1"/>
    <cellStyle name="Hyperlink" xfId="10233" builtinId="8" hidden="1"/>
    <cellStyle name="Hyperlink" xfId="10235" builtinId="8" hidden="1"/>
    <cellStyle name="Hyperlink" xfId="10237" builtinId="8" hidden="1"/>
    <cellStyle name="Hyperlink" xfId="10239" builtinId="8" hidden="1"/>
    <cellStyle name="Hyperlink" xfId="10241" builtinId="8" hidden="1"/>
    <cellStyle name="Hyperlink" xfId="10243" builtinId="8" hidden="1"/>
    <cellStyle name="Hyperlink" xfId="10245" builtinId="8" hidden="1"/>
    <cellStyle name="Hyperlink" xfId="10247" builtinId="8" hidden="1"/>
    <cellStyle name="Hyperlink" xfId="10249" builtinId="8" hidden="1"/>
    <cellStyle name="Hyperlink" xfId="10251" builtinId="8" hidden="1"/>
    <cellStyle name="Hyperlink" xfId="10253" builtinId="8" hidden="1"/>
    <cellStyle name="Hyperlink" xfId="10255" builtinId="8" hidden="1"/>
    <cellStyle name="Hyperlink" xfId="10257" builtinId="8" hidden="1"/>
    <cellStyle name="Hyperlink" xfId="10259" builtinId="8" hidden="1"/>
    <cellStyle name="Hyperlink" xfId="10261" builtinId="8" hidden="1"/>
    <cellStyle name="Hyperlink" xfId="10263" builtinId="8" hidden="1"/>
    <cellStyle name="Hyperlink" xfId="10265" builtinId="8" hidden="1"/>
    <cellStyle name="Hyperlink" xfId="10267" builtinId="8" hidden="1"/>
    <cellStyle name="Hyperlink" xfId="10269" builtinId="8" hidden="1"/>
    <cellStyle name="Hyperlink" xfId="10271" builtinId="8" hidden="1"/>
    <cellStyle name="Hyperlink" xfId="10273" builtinId="8" hidden="1"/>
    <cellStyle name="Hyperlink" xfId="10275" builtinId="8" hidden="1"/>
    <cellStyle name="Hyperlink" xfId="10277" builtinId="8" hidden="1"/>
    <cellStyle name="Hyperlink" xfId="10279" builtinId="8" hidden="1"/>
    <cellStyle name="Hyperlink" xfId="10281" builtinId="8" hidden="1"/>
    <cellStyle name="Hyperlink" xfId="10283" builtinId="8" hidden="1"/>
    <cellStyle name="Hyperlink" xfId="10285" builtinId="8" hidden="1"/>
    <cellStyle name="Hyperlink" xfId="10287" builtinId="8" hidden="1"/>
    <cellStyle name="Hyperlink" xfId="10289" builtinId="8" hidden="1"/>
    <cellStyle name="Hyperlink" xfId="10291" builtinId="8" hidden="1"/>
    <cellStyle name="Hyperlink" xfId="10293" builtinId="8" hidden="1"/>
    <cellStyle name="Hyperlink" xfId="10295" builtinId="8" hidden="1"/>
    <cellStyle name="Hyperlink" xfId="10297" builtinId="8" hidden="1"/>
    <cellStyle name="Hyperlink" xfId="10299" builtinId="8" hidden="1"/>
    <cellStyle name="Hyperlink" xfId="10301" builtinId="8" hidden="1"/>
    <cellStyle name="Hyperlink" xfId="10303" builtinId="8" hidden="1"/>
    <cellStyle name="Hyperlink" xfId="10305" builtinId="8" hidden="1"/>
    <cellStyle name="Hyperlink" xfId="10307" builtinId="8" hidden="1"/>
    <cellStyle name="Hyperlink" xfId="10309" builtinId="8" hidden="1"/>
    <cellStyle name="Hyperlink" xfId="10311" builtinId="8" hidden="1"/>
    <cellStyle name="Hyperlink" xfId="10313" builtinId="8" hidden="1"/>
    <cellStyle name="Hyperlink" xfId="10315" builtinId="8" hidden="1"/>
    <cellStyle name="Hyperlink" xfId="10317" builtinId="8" hidden="1"/>
    <cellStyle name="Hyperlink" xfId="10319" builtinId="8" hidden="1"/>
    <cellStyle name="Hyperlink" xfId="10321" builtinId="8" hidden="1"/>
    <cellStyle name="Hyperlink" xfId="10323" builtinId="8" hidden="1"/>
    <cellStyle name="Hyperlink" xfId="10325" builtinId="8" hidden="1"/>
    <cellStyle name="Hyperlink" xfId="10327" builtinId="8" hidden="1"/>
    <cellStyle name="Hyperlink" xfId="10329" builtinId="8" hidden="1"/>
    <cellStyle name="Hyperlink" xfId="10331" builtinId="8" hidden="1"/>
    <cellStyle name="Hyperlink" xfId="10333" builtinId="8" hidden="1"/>
    <cellStyle name="Hyperlink" xfId="10335" builtinId="8" hidden="1"/>
    <cellStyle name="Hyperlink" xfId="10337" builtinId="8" hidden="1"/>
    <cellStyle name="Hyperlink" xfId="10339" builtinId="8" hidden="1"/>
    <cellStyle name="Hyperlink" xfId="10341" builtinId="8" hidden="1"/>
    <cellStyle name="Hyperlink" xfId="10343" builtinId="8" hidden="1"/>
    <cellStyle name="Hyperlink" xfId="10345" builtinId="8" hidden="1"/>
    <cellStyle name="Hyperlink" xfId="10347" builtinId="8" hidden="1"/>
    <cellStyle name="Hyperlink" xfId="10349" builtinId="8" hidden="1"/>
    <cellStyle name="Hyperlink" xfId="10351" builtinId="8" hidden="1"/>
    <cellStyle name="Hyperlink" xfId="10353" builtinId="8" hidden="1"/>
    <cellStyle name="Hyperlink" xfId="10355" builtinId="8" hidden="1"/>
    <cellStyle name="Hyperlink" xfId="10357" builtinId="8" hidden="1"/>
    <cellStyle name="Hyperlink" xfId="10359" builtinId="8" hidden="1"/>
    <cellStyle name="Hyperlink" xfId="10361" builtinId="8" hidden="1"/>
    <cellStyle name="Hyperlink" xfId="10363" builtinId="8" hidden="1"/>
    <cellStyle name="Hyperlink" xfId="10365" builtinId="8" hidden="1"/>
    <cellStyle name="Hyperlink" xfId="10367" builtinId="8" hidden="1"/>
    <cellStyle name="Hyperlink" xfId="10369" builtinId="8" hidden="1"/>
    <cellStyle name="Hyperlink" xfId="10371" builtinId="8" hidden="1"/>
    <cellStyle name="Hyperlink" xfId="10373" builtinId="8" hidden="1"/>
    <cellStyle name="Hyperlink" xfId="10375" builtinId="8" hidden="1"/>
    <cellStyle name="Hyperlink" xfId="10377" builtinId="8" hidden="1"/>
    <cellStyle name="Hyperlink" xfId="10379" builtinId="8" hidden="1"/>
    <cellStyle name="Hyperlink" xfId="10381" builtinId="8" hidden="1"/>
    <cellStyle name="Hyperlink" xfId="10383" builtinId="8" hidden="1"/>
    <cellStyle name="Hyperlink" xfId="10385" builtinId="8" hidden="1"/>
    <cellStyle name="Hyperlink" xfId="10387" builtinId="8" hidden="1"/>
    <cellStyle name="Hyperlink" xfId="10389" builtinId="8" hidden="1"/>
    <cellStyle name="Hyperlink" xfId="10391" builtinId="8" hidden="1"/>
    <cellStyle name="Hyperlink" xfId="10393" builtinId="8" hidden="1"/>
    <cellStyle name="Hyperlink" xfId="10395" builtinId="8" hidden="1"/>
    <cellStyle name="Hyperlink" xfId="10397" builtinId="8" hidden="1"/>
    <cellStyle name="Hyperlink" xfId="10399" builtinId="8" hidden="1"/>
    <cellStyle name="Hyperlink" xfId="10401" builtinId="8" hidden="1"/>
    <cellStyle name="Hyperlink" xfId="10403" builtinId="8" hidden="1"/>
    <cellStyle name="Hyperlink" xfId="10405" builtinId="8" hidden="1"/>
    <cellStyle name="Hyperlink" xfId="10407" builtinId="8" hidden="1"/>
    <cellStyle name="Hyperlink" xfId="10409" builtinId="8" hidden="1"/>
    <cellStyle name="Hyperlink" xfId="10411" builtinId="8" hidden="1"/>
    <cellStyle name="Hyperlink" xfId="10413" builtinId="8" hidden="1"/>
    <cellStyle name="Hyperlink" xfId="10415" builtinId="8" hidden="1"/>
    <cellStyle name="Hyperlink" xfId="10417" builtinId="8" hidden="1"/>
    <cellStyle name="Hyperlink" xfId="10419" builtinId="8" hidden="1"/>
    <cellStyle name="Hyperlink" xfId="10421" builtinId="8" hidden="1"/>
    <cellStyle name="Hyperlink" xfId="10423" builtinId="8" hidden="1"/>
    <cellStyle name="Hyperlink" xfId="10425" builtinId="8" hidden="1"/>
    <cellStyle name="Hyperlink" xfId="10427" builtinId="8" hidden="1"/>
    <cellStyle name="Hyperlink" xfId="10429" builtinId="8" hidden="1"/>
    <cellStyle name="Hyperlink" xfId="10431" builtinId="8" hidden="1"/>
    <cellStyle name="Hyperlink" xfId="10433" builtinId="8" hidden="1"/>
    <cellStyle name="Hyperlink" xfId="10435" builtinId="8" hidden="1"/>
    <cellStyle name="Hyperlink" xfId="10437" builtinId="8" hidden="1"/>
    <cellStyle name="Hyperlink" xfId="10439" builtinId="8" hidden="1"/>
    <cellStyle name="Hyperlink" xfId="10441" builtinId="8" hidden="1"/>
    <cellStyle name="Hyperlink" xfId="10443" builtinId="8" hidden="1"/>
    <cellStyle name="Hyperlink" xfId="10445" builtinId="8" hidden="1"/>
    <cellStyle name="Hyperlink" xfId="10447" builtinId="8" hidden="1"/>
    <cellStyle name="Hyperlink" xfId="10449" builtinId="8" hidden="1"/>
    <cellStyle name="Hyperlink" xfId="10451" builtinId="8" hidden="1"/>
    <cellStyle name="Hyperlink" xfId="10453" builtinId="8" hidden="1"/>
    <cellStyle name="Hyperlink" xfId="10455" builtinId="8" hidden="1"/>
    <cellStyle name="Hyperlink" xfId="10457" builtinId="8" hidden="1"/>
    <cellStyle name="Hyperlink" xfId="10459" builtinId="8" hidden="1"/>
    <cellStyle name="Hyperlink" xfId="10461" builtinId="8" hidden="1"/>
    <cellStyle name="Hyperlink" xfId="10463" builtinId="8" hidden="1"/>
    <cellStyle name="Hyperlink" xfId="10465" builtinId="8" hidden="1"/>
    <cellStyle name="Hyperlink" xfId="10467" builtinId="8" hidden="1"/>
    <cellStyle name="Hyperlink" xfId="10469" builtinId="8" hidden="1"/>
    <cellStyle name="Hyperlink" xfId="10471" builtinId="8" hidden="1"/>
    <cellStyle name="Hyperlink" xfId="10473" builtinId="8" hidden="1"/>
    <cellStyle name="Hyperlink" xfId="10475" builtinId="8" hidden="1"/>
    <cellStyle name="Hyperlink" xfId="10477" builtinId="8" hidden="1"/>
    <cellStyle name="Hyperlink" xfId="10479" builtinId="8" hidden="1"/>
    <cellStyle name="Hyperlink" xfId="10481" builtinId="8" hidden="1"/>
    <cellStyle name="Hyperlink" xfId="10483" builtinId="8" hidden="1"/>
    <cellStyle name="Hyperlink" xfId="10485" builtinId="8" hidden="1"/>
    <cellStyle name="Hyperlink" xfId="10487" builtinId="8" hidden="1"/>
    <cellStyle name="Hyperlink" xfId="10489" builtinId="8" hidden="1"/>
    <cellStyle name="Hyperlink" xfId="10491" builtinId="8" hidden="1"/>
    <cellStyle name="Hyperlink" xfId="10493" builtinId="8" hidden="1"/>
    <cellStyle name="Hyperlink" xfId="10495" builtinId="8" hidden="1"/>
    <cellStyle name="Hyperlink" xfId="10497" builtinId="8" hidden="1"/>
    <cellStyle name="Hyperlink" xfId="10499" builtinId="8" hidden="1"/>
    <cellStyle name="Hyperlink" xfId="10501" builtinId="8" hidden="1"/>
    <cellStyle name="Hyperlink" xfId="10503" builtinId="8" hidden="1"/>
    <cellStyle name="Hyperlink" xfId="10505" builtinId="8" hidden="1"/>
    <cellStyle name="Hyperlink" xfId="10507" builtinId="8" hidden="1"/>
    <cellStyle name="Hyperlink" xfId="10509" builtinId="8" hidden="1"/>
    <cellStyle name="Hyperlink" xfId="10511" builtinId="8" hidden="1"/>
    <cellStyle name="Hyperlink" xfId="10513" builtinId="8" hidden="1"/>
    <cellStyle name="Hyperlink" xfId="10515" builtinId="8" hidden="1"/>
    <cellStyle name="Hyperlink" xfId="10517" builtinId="8" hidden="1"/>
    <cellStyle name="Hyperlink" xfId="10519" builtinId="8" hidden="1"/>
    <cellStyle name="Hyperlink" xfId="10521" builtinId="8" hidden="1"/>
    <cellStyle name="Hyperlink" xfId="10523" builtinId="8" hidden="1"/>
    <cellStyle name="Hyperlink" xfId="10525" builtinId="8" hidden="1"/>
    <cellStyle name="Hyperlink" xfId="10527" builtinId="8" hidden="1"/>
    <cellStyle name="Hyperlink" xfId="10529" builtinId="8" hidden="1"/>
    <cellStyle name="Hyperlink" xfId="10531" builtinId="8" hidden="1"/>
    <cellStyle name="Hyperlink" xfId="10533" builtinId="8" hidden="1"/>
    <cellStyle name="Hyperlink" xfId="10535" builtinId="8" hidden="1"/>
    <cellStyle name="Hyperlink" xfId="10537" builtinId="8" hidden="1"/>
    <cellStyle name="Hyperlink" xfId="10539" builtinId="8" hidden="1"/>
    <cellStyle name="Hyperlink" xfId="10541" builtinId="8" hidden="1"/>
    <cellStyle name="Hyperlink" xfId="10543" builtinId="8" hidden="1"/>
    <cellStyle name="Hyperlink" xfId="10545" builtinId="8" hidden="1"/>
    <cellStyle name="Hyperlink" xfId="10547" builtinId="8" hidden="1"/>
    <cellStyle name="Hyperlink" xfId="10549" builtinId="8" hidden="1"/>
    <cellStyle name="Hyperlink" xfId="10551" builtinId="8" hidden="1"/>
    <cellStyle name="Hyperlink" xfId="10553" builtinId="8" hidden="1"/>
    <cellStyle name="Hyperlink" xfId="10555" builtinId="8" hidden="1"/>
    <cellStyle name="Hyperlink" xfId="10557" builtinId="8" hidden="1"/>
    <cellStyle name="Hyperlink" xfId="10559" builtinId="8" hidden="1"/>
    <cellStyle name="Hyperlink" xfId="10561" builtinId="8" hidden="1"/>
    <cellStyle name="Hyperlink" xfId="10563" builtinId="8" hidden="1"/>
    <cellStyle name="Hyperlink" xfId="10565" builtinId="8" hidden="1"/>
    <cellStyle name="Hyperlink" xfId="10567" builtinId="8" hidden="1"/>
    <cellStyle name="Hyperlink" xfId="10569" builtinId="8" hidden="1"/>
    <cellStyle name="Hyperlink" xfId="10571" builtinId="8" hidden="1"/>
    <cellStyle name="Hyperlink" xfId="10573" builtinId="8" hidden="1"/>
    <cellStyle name="Hyperlink" xfId="10575" builtinId="8" hidden="1"/>
    <cellStyle name="Hyperlink" xfId="10577" builtinId="8" hidden="1"/>
    <cellStyle name="Hyperlink" xfId="10579" builtinId="8" hidden="1"/>
    <cellStyle name="Hyperlink" xfId="10581" builtinId="8" hidden="1"/>
    <cellStyle name="Hyperlink" xfId="10583" builtinId="8" hidden="1"/>
    <cellStyle name="Hyperlink" xfId="10585" builtinId="8" hidden="1"/>
    <cellStyle name="Hyperlink" xfId="10587" builtinId="8" hidden="1"/>
    <cellStyle name="Hyperlink" xfId="10589" builtinId="8" hidden="1"/>
    <cellStyle name="Hyperlink" xfId="10591" builtinId="8" hidden="1"/>
    <cellStyle name="Hyperlink" xfId="10593" builtinId="8" hidden="1"/>
    <cellStyle name="Hyperlink" xfId="10595" builtinId="8" hidden="1"/>
    <cellStyle name="Hyperlink" xfId="10597" builtinId="8" hidden="1"/>
    <cellStyle name="Hyperlink" xfId="10599" builtinId="8" hidden="1"/>
    <cellStyle name="Hyperlink" xfId="10601" builtinId="8" hidden="1"/>
    <cellStyle name="Hyperlink" xfId="10603" builtinId="8" hidden="1"/>
    <cellStyle name="Hyperlink" xfId="10605" builtinId="8" hidden="1"/>
    <cellStyle name="Hyperlink" xfId="10607" builtinId="8" hidden="1"/>
    <cellStyle name="Hyperlink" xfId="10609" builtinId="8" hidden="1"/>
    <cellStyle name="Hyperlink" xfId="10611" builtinId="8" hidden="1"/>
    <cellStyle name="Hyperlink" xfId="10613" builtinId="8" hidden="1"/>
    <cellStyle name="Hyperlink" xfId="10615" builtinId="8" hidden="1"/>
    <cellStyle name="Hyperlink" xfId="10617" builtinId="8" hidden="1"/>
    <cellStyle name="Hyperlink" xfId="10619" builtinId="8" hidden="1"/>
    <cellStyle name="Hyperlink" xfId="10621" builtinId="8" hidden="1"/>
    <cellStyle name="Hyperlink" xfId="10623" builtinId="8" hidden="1"/>
    <cellStyle name="Hyperlink" xfId="10625" builtinId="8" hidden="1"/>
    <cellStyle name="Hyperlink" xfId="10627" builtinId="8" hidden="1"/>
    <cellStyle name="Hyperlink" xfId="10629" builtinId="8" hidden="1"/>
    <cellStyle name="Hyperlink" xfId="10631" builtinId="8" hidden="1"/>
    <cellStyle name="Hyperlink" xfId="10633" builtinId="8" hidden="1"/>
    <cellStyle name="Hyperlink" xfId="10635" builtinId="8" hidden="1"/>
    <cellStyle name="Hyperlink" xfId="10637" builtinId="8" hidden="1"/>
    <cellStyle name="Hyperlink" xfId="10639" builtinId="8" hidden="1"/>
    <cellStyle name="Hyperlink" xfId="10641" builtinId="8" hidden="1"/>
    <cellStyle name="Hyperlink" xfId="10643" builtinId="8" hidden="1"/>
    <cellStyle name="Hyperlink" xfId="10645" builtinId="8" hidden="1"/>
    <cellStyle name="Hyperlink" xfId="10647" builtinId="8" hidden="1"/>
    <cellStyle name="Hyperlink" xfId="10649" builtinId="8" hidden="1"/>
    <cellStyle name="Hyperlink" xfId="10651" builtinId="8" hidden="1"/>
    <cellStyle name="Hyperlink" xfId="10653" builtinId="8" hidden="1"/>
    <cellStyle name="Hyperlink" xfId="10655" builtinId="8" hidden="1"/>
    <cellStyle name="Hyperlink" xfId="10657" builtinId="8" hidden="1"/>
    <cellStyle name="Hyperlink" xfId="10659" builtinId="8" hidden="1"/>
    <cellStyle name="Hyperlink" xfId="10661" builtinId="8" hidden="1"/>
    <cellStyle name="Hyperlink" xfId="10663" builtinId="8" hidden="1"/>
    <cellStyle name="Hyperlink" xfId="10665" builtinId="8" hidden="1"/>
    <cellStyle name="Hyperlink" xfId="10667" builtinId="8" hidden="1"/>
    <cellStyle name="Hyperlink" xfId="10669" builtinId="8" hidden="1"/>
    <cellStyle name="Hyperlink" xfId="10671" builtinId="8" hidden="1"/>
    <cellStyle name="Hyperlink" xfId="10673" builtinId="8" hidden="1"/>
    <cellStyle name="Hyperlink" xfId="10675" builtinId="8" hidden="1"/>
    <cellStyle name="Hyperlink" xfId="10677" builtinId="8" hidden="1"/>
    <cellStyle name="Hyperlink" xfId="10679" builtinId="8" hidden="1"/>
    <cellStyle name="Hyperlink" xfId="10681" builtinId="8" hidden="1"/>
    <cellStyle name="Hyperlink" xfId="10683" builtinId="8" hidden="1"/>
    <cellStyle name="Hyperlink" xfId="10685" builtinId="8" hidden="1"/>
    <cellStyle name="Hyperlink" xfId="10687" builtinId="8" hidden="1"/>
    <cellStyle name="Hyperlink" xfId="10689" builtinId="8" hidden="1"/>
    <cellStyle name="Hyperlink" xfId="10691" builtinId="8" hidden="1"/>
    <cellStyle name="Hyperlink" xfId="10693" builtinId="8" hidden="1"/>
    <cellStyle name="Hyperlink" xfId="10695" builtinId="8" hidden="1"/>
    <cellStyle name="Hyperlink" xfId="10697" builtinId="8" hidden="1"/>
    <cellStyle name="Hyperlink" xfId="10699" builtinId="8" hidden="1"/>
    <cellStyle name="Hyperlink" xfId="10701" builtinId="8" hidden="1"/>
    <cellStyle name="Hyperlink" xfId="10703" builtinId="8" hidden="1"/>
    <cellStyle name="Hyperlink" xfId="10705" builtinId="8" hidden="1"/>
    <cellStyle name="Hyperlink" xfId="10707" builtinId="8" hidden="1"/>
    <cellStyle name="Hyperlink" xfId="10709" builtinId="8" hidden="1"/>
    <cellStyle name="Hyperlink" xfId="10711" builtinId="8" hidden="1"/>
    <cellStyle name="Hyperlink" xfId="10713" builtinId="8" hidden="1"/>
    <cellStyle name="Hyperlink" xfId="10715" builtinId="8" hidden="1"/>
    <cellStyle name="Hyperlink" xfId="10717" builtinId="8" hidden="1"/>
    <cellStyle name="Hyperlink" xfId="10719" builtinId="8" hidden="1"/>
    <cellStyle name="Hyperlink" xfId="10721" builtinId="8" hidden="1"/>
    <cellStyle name="Hyperlink" xfId="10723" builtinId="8" hidden="1"/>
    <cellStyle name="Hyperlink" xfId="10725" builtinId="8" hidden="1"/>
    <cellStyle name="Hyperlink" xfId="10727" builtinId="8" hidden="1"/>
    <cellStyle name="Hyperlink" xfId="10729" builtinId="8" hidden="1"/>
    <cellStyle name="Hyperlink" xfId="10731" builtinId="8" hidden="1"/>
    <cellStyle name="Hyperlink" xfId="10733" builtinId="8" hidden="1"/>
    <cellStyle name="Hyperlink" xfId="10735" builtinId="8" hidden="1"/>
    <cellStyle name="Hyperlink" xfId="10737" builtinId="8" hidden="1"/>
    <cellStyle name="Hyperlink" xfId="10739" builtinId="8" hidden="1"/>
    <cellStyle name="Hyperlink" xfId="10741" builtinId="8" hidden="1"/>
    <cellStyle name="Hyperlink" xfId="10743" builtinId="8" hidden="1"/>
    <cellStyle name="Hyperlink" xfId="10745" builtinId="8" hidden="1"/>
    <cellStyle name="Hyperlink" xfId="10747" builtinId="8" hidden="1"/>
    <cellStyle name="Hyperlink" xfId="10749" builtinId="8" hidden="1"/>
    <cellStyle name="Hyperlink" xfId="10751" builtinId="8" hidden="1"/>
    <cellStyle name="Hyperlink" xfId="10753" builtinId="8" hidden="1"/>
    <cellStyle name="Hyperlink" xfId="10755" builtinId="8" hidden="1"/>
    <cellStyle name="Hyperlink" xfId="10757" builtinId="8" hidden="1"/>
    <cellStyle name="Hyperlink" xfId="10759" builtinId="8" hidden="1"/>
    <cellStyle name="Hyperlink" xfId="10761" builtinId="8" hidden="1"/>
    <cellStyle name="Hyperlink" xfId="10763" builtinId="8" hidden="1"/>
    <cellStyle name="Hyperlink" xfId="10765" builtinId="8" hidden="1"/>
    <cellStyle name="Hyperlink" xfId="10767" builtinId="8" hidden="1"/>
    <cellStyle name="Hyperlink" xfId="10769" builtinId="8" hidden="1"/>
    <cellStyle name="Hyperlink" xfId="10771" builtinId="8" hidden="1"/>
    <cellStyle name="Hyperlink" xfId="10773" builtinId="8" hidden="1"/>
    <cellStyle name="Hyperlink" xfId="10775" builtinId="8" hidden="1"/>
    <cellStyle name="Hyperlink" xfId="10777" builtinId="8" hidden="1"/>
    <cellStyle name="Hyperlink" xfId="10779" builtinId="8" hidden="1"/>
    <cellStyle name="Hyperlink" xfId="10781" builtinId="8" hidden="1"/>
    <cellStyle name="Hyperlink" xfId="10783" builtinId="8" hidden="1"/>
    <cellStyle name="Hyperlink" xfId="10785" builtinId="8" hidden="1"/>
    <cellStyle name="Hyperlink" xfId="10787" builtinId="8" hidden="1"/>
    <cellStyle name="Hyperlink" xfId="10789" builtinId="8" hidden="1"/>
    <cellStyle name="Hyperlink" xfId="10791" builtinId="8" hidden="1"/>
    <cellStyle name="Hyperlink" xfId="10793" builtinId="8" hidden="1"/>
    <cellStyle name="Hyperlink" xfId="10795" builtinId="8" hidden="1"/>
    <cellStyle name="Hyperlink" xfId="10797" builtinId="8" hidden="1"/>
    <cellStyle name="Hyperlink" xfId="10799" builtinId="8" hidden="1"/>
    <cellStyle name="Hyperlink" xfId="10801" builtinId="8" hidden="1"/>
    <cellStyle name="Hyperlink" xfId="10803" builtinId="8" hidden="1"/>
    <cellStyle name="Hyperlink" xfId="10805" builtinId="8" hidden="1"/>
    <cellStyle name="Hyperlink" xfId="10807" builtinId="8" hidden="1"/>
    <cellStyle name="Hyperlink" xfId="10809" builtinId="8" hidden="1"/>
    <cellStyle name="Hyperlink" xfId="10811" builtinId="8" hidden="1"/>
    <cellStyle name="Hyperlink" xfId="10813" builtinId="8" hidden="1"/>
    <cellStyle name="Hyperlink" xfId="10815" builtinId="8" hidden="1"/>
    <cellStyle name="Hyperlink" xfId="10817" builtinId="8" hidden="1"/>
    <cellStyle name="Hyperlink" xfId="10819" builtinId="8" hidden="1"/>
    <cellStyle name="Hyperlink" xfId="10821" builtinId="8" hidden="1"/>
    <cellStyle name="Hyperlink" xfId="10823" builtinId="8" hidden="1"/>
    <cellStyle name="Hyperlink" xfId="10825" builtinId="8" hidden="1"/>
    <cellStyle name="Hyperlink" xfId="10827" builtinId="8" hidden="1"/>
    <cellStyle name="Hyperlink" xfId="10829" builtinId="8" hidden="1"/>
    <cellStyle name="Hyperlink" xfId="10831" builtinId="8" hidden="1"/>
    <cellStyle name="Hyperlink" xfId="10833" builtinId="8" hidden="1"/>
    <cellStyle name="Hyperlink" xfId="10835" builtinId="8" hidden="1"/>
    <cellStyle name="Hyperlink" xfId="10837" builtinId="8" hidden="1"/>
    <cellStyle name="Hyperlink" xfId="10839" builtinId="8" hidden="1"/>
    <cellStyle name="Hyperlink" xfId="10841" builtinId="8" hidden="1"/>
    <cellStyle name="Hyperlink" xfId="10843" builtinId="8" hidden="1"/>
    <cellStyle name="Hyperlink" xfId="10845" builtinId="8" hidden="1"/>
    <cellStyle name="Hyperlink" xfId="10847" builtinId="8" hidden="1"/>
    <cellStyle name="Hyperlink" xfId="10849" builtinId="8" hidden="1"/>
    <cellStyle name="Hyperlink" xfId="10851" builtinId="8" hidden="1"/>
    <cellStyle name="Hyperlink" xfId="10853" builtinId="8" hidden="1"/>
    <cellStyle name="Hyperlink" xfId="10855" builtinId="8" hidden="1"/>
    <cellStyle name="Hyperlink" xfId="10857" builtinId="8" hidden="1"/>
    <cellStyle name="Hyperlink" xfId="10859" builtinId="8" hidden="1"/>
    <cellStyle name="Hyperlink" xfId="10861" builtinId="8" hidden="1"/>
    <cellStyle name="Hyperlink" xfId="10863" builtinId="8" hidden="1"/>
    <cellStyle name="Hyperlink" xfId="10865" builtinId="8" hidden="1"/>
    <cellStyle name="Hyperlink" xfId="10867" builtinId="8" hidden="1"/>
    <cellStyle name="Hyperlink" xfId="10869" builtinId="8" hidden="1"/>
    <cellStyle name="Hyperlink" xfId="10871" builtinId="8" hidden="1"/>
    <cellStyle name="Hyperlink" xfId="10873" builtinId="8" hidden="1"/>
    <cellStyle name="Hyperlink" xfId="10875" builtinId="8" hidden="1"/>
    <cellStyle name="Hyperlink" xfId="10877" builtinId="8" hidden="1"/>
    <cellStyle name="Hyperlink" xfId="10879" builtinId="8" hidden="1"/>
    <cellStyle name="Hyperlink" xfId="10881" builtinId="8" hidden="1"/>
    <cellStyle name="Hyperlink" xfId="10883" builtinId="8" hidden="1"/>
    <cellStyle name="Hyperlink" xfId="10885" builtinId="8" hidden="1"/>
    <cellStyle name="Hyperlink" xfId="10887" builtinId="8" hidden="1"/>
    <cellStyle name="Hyperlink" xfId="10889" builtinId="8" hidden="1"/>
    <cellStyle name="Hyperlink" xfId="10891" builtinId="8" hidden="1"/>
    <cellStyle name="Hyperlink" xfId="10893" builtinId="8" hidden="1"/>
    <cellStyle name="Hyperlink" xfId="10895" builtinId="8" hidden="1"/>
    <cellStyle name="Hyperlink" xfId="10897" builtinId="8" hidden="1"/>
    <cellStyle name="Hyperlink" xfId="10899" builtinId="8" hidden="1"/>
    <cellStyle name="Hyperlink" xfId="10901" builtinId="8" hidden="1"/>
    <cellStyle name="Hyperlink" xfId="10903" builtinId="8" hidden="1"/>
    <cellStyle name="Hyperlink" xfId="10905" builtinId="8" hidden="1"/>
    <cellStyle name="Hyperlink" xfId="10907" builtinId="8" hidden="1"/>
    <cellStyle name="Hyperlink" xfId="10909" builtinId="8" hidden="1"/>
    <cellStyle name="Hyperlink" xfId="10911" builtinId="8" hidden="1"/>
    <cellStyle name="Hyperlink" xfId="10913" builtinId="8" hidden="1"/>
    <cellStyle name="Hyperlink" xfId="10915" builtinId="8" hidden="1"/>
    <cellStyle name="Hyperlink" xfId="10917" builtinId="8" hidden="1"/>
    <cellStyle name="Hyperlink" xfId="10919" builtinId="8" hidden="1"/>
    <cellStyle name="Hyperlink" xfId="10921" builtinId="8" hidden="1"/>
    <cellStyle name="Hyperlink" xfId="10923" builtinId="8" hidden="1"/>
    <cellStyle name="Hyperlink" xfId="10925" builtinId="8" hidden="1"/>
    <cellStyle name="Hyperlink" xfId="10927" builtinId="8" hidden="1"/>
    <cellStyle name="Hyperlink" xfId="10929" builtinId="8" hidden="1"/>
    <cellStyle name="Hyperlink" xfId="10931" builtinId="8" hidden="1"/>
    <cellStyle name="Hyperlink" xfId="10933" builtinId="8" hidden="1"/>
    <cellStyle name="Hyperlink" xfId="10935" builtinId="8" hidden="1"/>
    <cellStyle name="Hyperlink" xfId="10937" builtinId="8" hidden="1"/>
    <cellStyle name="Hyperlink" xfId="10939" builtinId="8" hidden="1"/>
    <cellStyle name="Hyperlink" xfId="10941" builtinId="8" hidden="1"/>
    <cellStyle name="Hyperlink" xfId="10943" builtinId="8" hidden="1"/>
    <cellStyle name="Hyperlink" xfId="10945" builtinId="8" hidden="1"/>
    <cellStyle name="Hyperlink" xfId="10947" builtinId="8" hidden="1"/>
    <cellStyle name="Hyperlink" xfId="10949" builtinId="8" hidden="1"/>
    <cellStyle name="Hyperlink" xfId="10951" builtinId="8" hidden="1"/>
    <cellStyle name="Hyperlink" xfId="10953" builtinId="8" hidden="1"/>
    <cellStyle name="Hyperlink" xfId="10955" builtinId="8" hidden="1"/>
    <cellStyle name="Hyperlink" xfId="10957" builtinId="8" hidden="1"/>
    <cellStyle name="Hyperlink" xfId="10959" builtinId="8" hidden="1"/>
    <cellStyle name="Hyperlink" xfId="10961" builtinId="8" hidden="1"/>
    <cellStyle name="Hyperlink" xfId="10963" builtinId="8" hidden="1"/>
    <cellStyle name="Hyperlink" xfId="10965" builtinId="8" hidden="1"/>
    <cellStyle name="Hyperlink" xfId="10967" builtinId="8" hidden="1"/>
    <cellStyle name="Hyperlink" xfId="10969" builtinId="8" hidden="1"/>
    <cellStyle name="Hyperlink" xfId="10971" builtinId="8" hidden="1"/>
    <cellStyle name="Hyperlink" xfId="10973" builtinId="8" hidden="1"/>
    <cellStyle name="Hyperlink" xfId="10975" builtinId="8" hidden="1"/>
    <cellStyle name="Hyperlink" xfId="10977" builtinId="8" hidden="1"/>
    <cellStyle name="Hyperlink" xfId="10979" builtinId="8" hidden="1"/>
    <cellStyle name="Hyperlink" xfId="10981" builtinId="8" hidden="1"/>
    <cellStyle name="Hyperlink" xfId="10983" builtinId="8" hidden="1"/>
    <cellStyle name="Hyperlink" xfId="10985" builtinId="8" hidden="1"/>
    <cellStyle name="Hyperlink" xfId="10987" builtinId="8" hidden="1"/>
    <cellStyle name="Hyperlink" xfId="10989" builtinId="8" hidden="1"/>
    <cellStyle name="Hyperlink" xfId="10991" builtinId="8" hidden="1"/>
    <cellStyle name="Hyperlink" xfId="10993" builtinId="8" hidden="1"/>
    <cellStyle name="Hyperlink" xfId="10995" builtinId="8" hidden="1"/>
    <cellStyle name="Hyperlink" xfId="10997" builtinId="8" hidden="1"/>
    <cellStyle name="Hyperlink" xfId="10999" builtinId="8" hidden="1"/>
    <cellStyle name="Hyperlink" xfId="11001" builtinId="8" hidden="1"/>
    <cellStyle name="Hyperlink" xfId="11003" builtinId="8" hidden="1"/>
    <cellStyle name="Hyperlink" xfId="11005" builtinId="8" hidden="1"/>
    <cellStyle name="Hyperlink" xfId="11007" builtinId="8" hidden="1"/>
    <cellStyle name="Hyperlink" xfId="11009" builtinId="8" hidden="1"/>
    <cellStyle name="Hyperlink" xfId="11011" builtinId="8" hidden="1"/>
    <cellStyle name="Hyperlink" xfId="11013" builtinId="8" hidden="1"/>
    <cellStyle name="Hyperlink" xfId="11015" builtinId="8" hidden="1"/>
    <cellStyle name="Hyperlink" xfId="11017" builtinId="8" hidden="1"/>
    <cellStyle name="Hyperlink" xfId="11019" builtinId="8" hidden="1"/>
    <cellStyle name="Hyperlink" xfId="11021" builtinId="8" hidden="1"/>
    <cellStyle name="Hyperlink" xfId="11023" builtinId="8" hidden="1"/>
    <cellStyle name="Hyperlink" xfId="11025" builtinId="8" hidden="1"/>
    <cellStyle name="Hyperlink" xfId="11027" builtinId="8" hidden="1"/>
    <cellStyle name="Hyperlink" xfId="11029" builtinId="8" hidden="1"/>
    <cellStyle name="Hyperlink" xfId="11031" builtinId="8" hidden="1"/>
    <cellStyle name="Hyperlink" xfId="11033" builtinId="8" hidden="1"/>
    <cellStyle name="Hyperlink" xfId="11035" builtinId="8" hidden="1"/>
    <cellStyle name="Hyperlink" xfId="11037" builtinId="8" hidden="1"/>
    <cellStyle name="Hyperlink" xfId="11039" builtinId="8" hidden="1"/>
    <cellStyle name="Hyperlink" xfId="11041" builtinId="8" hidden="1"/>
    <cellStyle name="Hyperlink" xfId="11043" builtinId="8" hidden="1"/>
    <cellStyle name="Hyperlink" xfId="11045" builtinId="8" hidden="1"/>
    <cellStyle name="Hyperlink" xfId="11047" builtinId="8" hidden="1"/>
    <cellStyle name="Hyperlink" xfId="11049" builtinId="8" hidden="1"/>
    <cellStyle name="Hyperlink" xfId="11051" builtinId="8" hidden="1"/>
    <cellStyle name="Hyperlink" xfId="11053" builtinId="8" hidden="1"/>
    <cellStyle name="Hyperlink" xfId="11055" builtinId="8" hidden="1"/>
    <cellStyle name="Hyperlink" xfId="11057" builtinId="8" hidden="1"/>
    <cellStyle name="Hyperlink" xfId="11059" builtinId="8" hidden="1"/>
    <cellStyle name="Hyperlink" xfId="11061" builtinId="8" hidden="1"/>
    <cellStyle name="Hyperlink" xfId="11063" builtinId="8" hidden="1"/>
    <cellStyle name="Hyperlink" xfId="11065" builtinId="8" hidden="1"/>
    <cellStyle name="Hyperlink" xfId="11067" builtinId="8" hidden="1"/>
    <cellStyle name="Hyperlink" xfId="11069" builtinId="8" hidden="1"/>
    <cellStyle name="Hyperlink" xfId="11071" builtinId="8" hidden="1"/>
    <cellStyle name="Hyperlink" xfId="11073" builtinId="8" hidden="1"/>
    <cellStyle name="Hyperlink" xfId="11075" builtinId="8" hidden="1"/>
    <cellStyle name="Hyperlink" xfId="11077" builtinId="8" hidden="1"/>
    <cellStyle name="Hyperlink" xfId="11079" builtinId="8" hidden="1"/>
    <cellStyle name="Hyperlink" xfId="11081" builtinId="8" hidden="1"/>
    <cellStyle name="Hyperlink" xfId="11083" builtinId="8" hidden="1"/>
    <cellStyle name="Hyperlink" xfId="11085" builtinId="8" hidden="1"/>
    <cellStyle name="Hyperlink" xfId="11087" builtinId="8" hidden="1"/>
    <cellStyle name="Hyperlink" xfId="11089" builtinId="8" hidden="1"/>
    <cellStyle name="Hyperlink" xfId="11091" builtinId="8" hidden="1"/>
    <cellStyle name="Hyperlink" xfId="11093" builtinId="8" hidden="1"/>
    <cellStyle name="Hyperlink" xfId="11095" builtinId="8" hidden="1"/>
    <cellStyle name="Hyperlink" xfId="11097" builtinId="8" hidden="1"/>
    <cellStyle name="Hyperlink" xfId="11099" builtinId="8" hidden="1"/>
    <cellStyle name="Hyperlink" xfId="11101" builtinId="8" hidden="1"/>
    <cellStyle name="Hyperlink" xfId="11103" builtinId="8" hidden="1"/>
    <cellStyle name="Hyperlink" xfId="11105" builtinId="8" hidden="1"/>
    <cellStyle name="Hyperlink" xfId="11107" builtinId="8" hidden="1"/>
    <cellStyle name="Hyperlink" xfId="11109" builtinId="8" hidden="1"/>
    <cellStyle name="Hyperlink" xfId="11111" builtinId="8" hidden="1"/>
    <cellStyle name="Hyperlink" xfId="11113" builtinId="8" hidden="1"/>
    <cellStyle name="Hyperlink" xfId="11115" builtinId="8" hidden="1"/>
    <cellStyle name="Hyperlink" xfId="11117" builtinId="8" hidden="1"/>
    <cellStyle name="Hyperlink" xfId="11119" builtinId="8" hidden="1"/>
    <cellStyle name="Hyperlink" xfId="11121" builtinId="8" hidden="1"/>
    <cellStyle name="Hyperlink" xfId="11123" builtinId="8" hidden="1"/>
    <cellStyle name="Hyperlink" xfId="11125" builtinId="8" hidden="1"/>
    <cellStyle name="Hyperlink" xfId="11127" builtinId="8" hidden="1"/>
    <cellStyle name="Hyperlink" xfId="11129" builtinId="8" hidden="1"/>
    <cellStyle name="Hyperlink" xfId="11131" builtinId="8" hidden="1"/>
    <cellStyle name="Hyperlink" xfId="11133" builtinId="8" hidden="1"/>
    <cellStyle name="Hyperlink" xfId="11135" builtinId="8" hidden="1"/>
    <cellStyle name="Hyperlink" xfId="11137" builtinId="8" hidden="1"/>
    <cellStyle name="Hyperlink" xfId="11139" builtinId="8" hidden="1"/>
    <cellStyle name="Hyperlink" xfId="11141" builtinId="8" hidden="1"/>
    <cellStyle name="Hyperlink" xfId="11143" builtinId="8" hidden="1"/>
    <cellStyle name="Hyperlink" xfId="11145" builtinId="8" hidden="1"/>
    <cellStyle name="Hyperlink" xfId="11147" builtinId="8" hidden="1"/>
    <cellStyle name="Hyperlink" xfId="11149" builtinId="8" hidden="1"/>
    <cellStyle name="Hyperlink" xfId="11151" builtinId="8" hidden="1"/>
    <cellStyle name="Hyperlink" xfId="11153" builtinId="8" hidden="1"/>
    <cellStyle name="Hyperlink" xfId="11155" builtinId="8" hidden="1"/>
    <cellStyle name="Hyperlink" xfId="11157" builtinId="8" hidden="1"/>
    <cellStyle name="Hyperlink" xfId="11159" builtinId="8" hidden="1"/>
    <cellStyle name="Hyperlink" xfId="11161" builtinId="8" hidden="1"/>
    <cellStyle name="Hyperlink" xfId="11163" builtinId="8" hidden="1"/>
    <cellStyle name="Hyperlink" xfId="11165" builtinId="8" hidden="1"/>
    <cellStyle name="Hyperlink" xfId="11167" builtinId="8" hidden="1"/>
    <cellStyle name="Hyperlink" xfId="11169" builtinId="8" hidden="1"/>
    <cellStyle name="Hyperlink" xfId="11171" builtinId="8" hidden="1"/>
    <cellStyle name="Hyperlink" xfId="11173" builtinId="8" hidden="1"/>
    <cellStyle name="Hyperlink" xfId="11175" builtinId="8" hidden="1"/>
    <cellStyle name="Hyperlink" xfId="11177" builtinId="8" hidden="1"/>
    <cellStyle name="Hyperlink" xfId="11179" builtinId="8" hidden="1"/>
    <cellStyle name="Hyperlink" xfId="11181" builtinId="8" hidden="1"/>
    <cellStyle name="Hyperlink" xfId="11183" builtinId="8" hidden="1"/>
    <cellStyle name="Hyperlink" xfId="11185" builtinId="8" hidden="1"/>
    <cellStyle name="Hyperlink" xfId="11187" builtinId="8" hidden="1"/>
    <cellStyle name="Hyperlink" xfId="11189" builtinId="8" hidden="1"/>
    <cellStyle name="Hyperlink" xfId="11191" builtinId="8" hidden="1"/>
    <cellStyle name="Hyperlink" xfId="11193" builtinId="8" hidden="1"/>
    <cellStyle name="Hyperlink" xfId="11195" builtinId="8" hidden="1"/>
    <cellStyle name="Hyperlink" xfId="11197" builtinId="8" hidden="1"/>
    <cellStyle name="Hyperlink" xfId="11199" builtinId="8" hidden="1"/>
    <cellStyle name="Hyperlink" xfId="11201" builtinId="8" hidden="1"/>
    <cellStyle name="Hyperlink" xfId="11203" builtinId="8" hidden="1"/>
    <cellStyle name="Hyperlink" xfId="11205" builtinId="8" hidden="1"/>
    <cellStyle name="Hyperlink" xfId="11207" builtinId="8" hidden="1"/>
    <cellStyle name="Hyperlink" xfId="11209" builtinId="8" hidden="1"/>
    <cellStyle name="Hyperlink" xfId="11211" builtinId="8" hidden="1"/>
    <cellStyle name="Hyperlink" xfId="11213" builtinId="8" hidden="1"/>
    <cellStyle name="Hyperlink" xfId="11215" builtinId="8" hidden="1"/>
    <cellStyle name="Hyperlink" xfId="11217" builtinId="8" hidden="1"/>
    <cellStyle name="Hyperlink" xfId="11219" builtinId="8" hidden="1"/>
    <cellStyle name="Hyperlink" xfId="11221" builtinId="8" hidden="1"/>
    <cellStyle name="Hyperlink" xfId="11223" builtinId="8" hidden="1"/>
    <cellStyle name="Hyperlink" xfId="11225" builtinId="8" hidden="1"/>
    <cellStyle name="Hyperlink" xfId="11227" builtinId="8" hidden="1"/>
    <cellStyle name="Hyperlink" xfId="11229" builtinId="8" hidden="1"/>
    <cellStyle name="Hyperlink" xfId="11231" builtinId="8" hidden="1"/>
    <cellStyle name="Hyperlink" xfId="11233" builtinId="8" hidden="1"/>
    <cellStyle name="Hyperlink" xfId="11235" builtinId="8" hidden="1"/>
    <cellStyle name="Hyperlink" xfId="11237" builtinId="8" hidden="1"/>
    <cellStyle name="Hyperlink" xfId="11239" builtinId="8" hidden="1"/>
    <cellStyle name="Hyperlink" xfId="11241" builtinId="8" hidden="1"/>
    <cellStyle name="Hyperlink" xfId="11243" builtinId="8" hidden="1"/>
    <cellStyle name="Hyperlink" xfId="11245" builtinId="8" hidden="1"/>
    <cellStyle name="Hyperlink" xfId="11247" builtinId="8" hidden="1"/>
    <cellStyle name="Hyperlink" xfId="11249" builtinId="8" hidden="1"/>
    <cellStyle name="Hyperlink" xfId="11251" builtinId="8" hidden="1"/>
    <cellStyle name="Hyperlink" xfId="11253" builtinId="8" hidden="1"/>
    <cellStyle name="Hyperlink" xfId="11255" builtinId="8" hidden="1"/>
    <cellStyle name="Hyperlink" xfId="11257" builtinId="8" hidden="1"/>
    <cellStyle name="Hyperlink" xfId="11259" builtinId="8" hidden="1"/>
    <cellStyle name="Hyperlink" xfId="11261" builtinId="8" hidden="1"/>
    <cellStyle name="Hyperlink" xfId="11263" builtinId="8" hidden="1"/>
    <cellStyle name="Hyperlink" xfId="11265" builtinId="8" hidden="1"/>
    <cellStyle name="Hyperlink" xfId="11267" builtinId="8" hidden="1"/>
    <cellStyle name="Hyperlink" xfId="11269" builtinId="8" hidden="1"/>
    <cellStyle name="Hyperlink" xfId="11271" builtinId="8" hidden="1"/>
    <cellStyle name="Hyperlink" xfId="11273" builtinId="8" hidden="1"/>
    <cellStyle name="Hyperlink" xfId="11275" builtinId="8" hidden="1"/>
    <cellStyle name="Hyperlink" xfId="11277" builtinId="8" hidden="1"/>
    <cellStyle name="Hyperlink" xfId="11279" builtinId="8" hidden="1"/>
    <cellStyle name="Hyperlink" xfId="11281" builtinId="8" hidden="1"/>
    <cellStyle name="Hyperlink" xfId="11283" builtinId="8" hidden="1"/>
    <cellStyle name="Hyperlink" xfId="11285" builtinId="8" hidden="1"/>
    <cellStyle name="Hyperlink" xfId="11287" builtinId="8" hidden="1"/>
    <cellStyle name="Hyperlink" xfId="11289" builtinId="8" hidden="1"/>
    <cellStyle name="Hyperlink" xfId="11291" builtinId="8" hidden="1"/>
    <cellStyle name="Hyperlink" xfId="11293" builtinId="8" hidden="1"/>
    <cellStyle name="Hyperlink" xfId="11295" builtinId="8" hidden="1"/>
    <cellStyle name="Hyperlink" xfId="11297" builtinId="8" hidden="1"/>
    <cellStyle name="Hyperlink" xfId="11299" builtinId="8" hidden="1"/>
    <cellStyle name="Hyperlink" xfId="11301" builtinId="8" hidden="1"/>
    <cellStyle name="Hyperlink" xfId="11303" builtinId="8" hidden="1"/>
    <cellStyle name="Hyperlink" xfId="11305" builtinId="8" hidden="1"/>
    <cellStyle name="Hyperlink" xfId="11307" builtinId="8" hidden="1"/>
    <cellStyle name="Hyperlink" xfId="11309" builtinId="8" hidden="1"/>
    <cellStyle name="Hyperlink" xfId="11311" builtinId="8" hidden="1"/>
    <cellStyle name="Hyperlink" xfId="11313" builtinId="8" hidden="1"/>
    <cellStyle name="Hyperlink" xfId="11315" builtinId="8" hidden="1"/>
    <cellStyle name="Hyperlink" xfId="11317" builtinId="8" hidden="1"/>
    <cellStyle name="Hyperlink" xfId="11319" builtinId="8" hidden="1"/>
    <cellStyle name="Hyperlink" xfId="11321" builtinId="8" hidden="1"/>
    <cellStyle name="Hyperlink" xfId="11323" builtinId="8" hidden="1"/>
    <cellStyle name="Hyperlink" xfId="11325" builtinId="8" hidden="1"/>
    <cellStyle name="Hyperlink" xfId="11327" builtinId="8" hidden="1"/>
    <cellStyle name="Hyperlink" xfId="11329" builtinId="8" hidden="1"/>
    <cellStyle name="Hyperlink" xfId="11331" builtinId="8" hidden="1"/>
    <cellStyle name="Hyperlink" xfId="11333" builtinId="8" hidden="1"/>
    <cellStyle name="Hyperlink" xfId="11335" builtinId="8" hidden="1"/>
    <cellStyle name="Hyperlink" xfId="11337" builtinId="8" hidden="1"/>
    <cellStyle name="Hyperlink" xfId="11339" builtinId="8" hidden="1"/>
    <cellStyle name="Hyperlink" xfId="11341" builtinId="8" hidden="1"/>
    <cellStyle name="Hyperlink" xfId="11343" builtinId="8" hidden="1"/>
    <cellStyle name="Hyperlink" xfId="11345" builtinId="8" hidden="1"/>
    <cellStyle name="Hyperlink" xfId="11347" builtinId="8" hidden="1"/>
    <cellStyle name="Hyperlink" xfId="11349" builtinId="8" hidden="1"/>
    <cellStyle name="Hyperlink" xfId="11351" builtinId="8" hidden="1"/>
    <cellStyle name="Hyperlink" xfId="11353" builtinId="8" hidden="1"/>
    <cellStyle name="Hyperlink" xfId="11355" builtinId="8" hidden="1"/>
    <cellStyle name="Hyperlink" xfId="11357" builtinId="8" hidden="1"/>
    <cellStyle name="Hyperlink" xfId="11359" builtinId="8" hidden="1"/>
    <cellStyle name="Hyperlink" xfId="11361" builtinId="8" hidden="1"/>
    <cellStyle name="Hyperlink" xfId="11363" builtinId="8" hidden="1"/>
    <cellStyle name="Hyperlink" xfId="11365" builtinId="8" hidden="1"/>
    <cellStyle name="Hyperlink" xfId="11367" builtinId="8" hidden="1"/>
    <cellStyle name="Hyperlink" xfId="11369" builtinId="8" hidden="1"/>
    <cellStyle name="Hyperlink" xfId="11371" builtinId="8" hidden="1"/>
    <cellStyle name="Hyperlink" xfId="11373" builtinId="8" hidden="1"/>
    <cellStyle name="Hyperlink" xfId="11375" builtinId="8" hidden="1"/>
    <cellStyle name="Hyperlink" xfId="11377" builtinId="8" hidden="1"/>
    <cellStyle name="Hyperlink" xfId="11379" builtinId="8" hidden="1"/>
    <cellStyle name="Hyperlink" xfId="11381" builtinId="8" hidden="1"/>
    <cellStyle name="Hyperlink" xfId="11383" builtinId="8" hidden="1"/>
    <cellStyle name="Hyperlink" xfId="11385" builtinId="8" hidden="1"/>
    <cellStyle name="Hyperlink" xfId="11387" builtinId="8" hidden="1"/>
    <cellStyle name="Hyperlink" xfId="11389" builtinId="8" hidden="1"/>
    <cellStyle name="Hyperlink" xfId="11391" builtinId="8" hidden="1"/>
    <cellStyle name="Hyperlink" xfId="11393" builtinId="8" hidden="1"/>
    <cellStyle name="Hyperlink" xfId="11395" builtinId="8" hidden="1"/>
    <cellStyle name="Hyperlink" xfId="11397" builtinId="8" hidden="1"/>
    <cellStyle name="Hyperlink" xfId="11399" builtinId="8" hidden="1"/>
    <cellStyle name="Hyperlink" xfId="11401" builtinId="8" hidden="1"/>
    <cellStyle name="Hyperlink" xfId="11403" builtinId="8" hidden="1"/>
    <cellStyle name="Hyperlink" xfId="11405" builtinId="8" hidden="1"/>
    <cellStyle name="Hyperlink" xfId="11407" builtinId="8" hidden="1"/>
    <cellStyle name="Hyperlink" xfId="11409" builtinId="8" hidden="1"/>
    <cellStyle name="Hyperlink" xfId="11411" builtinId="8" hidden="1"/>
    <cellStyle name="Hyperlink" xfId="11413" builtinId="8" hidden="1"/>
    <cellStyle name="Hyperlink" xfId="11415" builtinId="8" hidden="1"/>
    <cellStyle name="Hyperlink" xfId="11417" builtinId="8" hidden="1"/>
    <cellStyle name="Hyperlink" xfId="11419" builtinId="8" hidden="1"/>
    <cellStyle name="Hyperlink" xfId="11421" builtinId="8" hidden="1"/>
    <cellStyle name="Hyperlink" xfId="11423" builtinId="8" hidden="1"/>
    <cellStyle name="Hyperlink" xfId="11425" builtinId="8" hidden="1"/>
    <cellStyle name="Hyperlink" xfId="11427" builtinId="8" hidden="1"/>
    <cellStyle name="Hyperlink" xfId="11429" builtinId="8" hidden="1"/>
    <cellStyle name="Hyperlink" xfId="11431" builtinId="8" hidden="1"/>
    <cellStyle name="Hyperlink" xfId="11433" builtinId="8" hidden="1"/>
    <cellStyle name="Hyperlink" xfId="11435" builtinId="8" hidden="1"/>
    <cellStyle name="Hyperlink" xfId="11437" builtinId="8" hidden="1"/>
    <cellStyle name="Hyperlink" xfId="11439" builtinId="8" hidden="1"/>
    <cellStyle name="Hyperlink" xfId="11441" builtinId="8" hidden="1"/>
    <cellStyle name="Hyperlink" xfId="11443" builtinId="8" hidden="1"/>
    <cellStyle name="Hyperlink" xfId="11445" builtinId="8" hidden="1"/>
    <cellStyle name="Hyperlink" xfId="11447" builtinId="8" hidden="1"/>
    <cellStyle name="Hyperlink" xfId="11449" builtinId="8" hidden="1"/>
    <cellStyle name="Hyperlink" xfId="11451" builtinId="8" hidden="1"/>
    <cellStyle name="Hyperlink" xfId="11453" builtinId="8" hidden="1"/>
    <cellStyle name="Hyperlink" xfId="11455" builtinId="8" hidden="1"/>
    <cellStyle name="Hyperlink" xfId="11457" builtinId="8" hidden="1"/>
    <cellStyle name="Hyperlink" xfId="11459" builtinId="8" hidden="1"/>
    <cellStyle name="Hyperlink" xfId="11461" builtinId="8" hidden="1"/>
    <cellStyle name="Hyperlink" xfId="11463" builtinId="8" hidden="1"/>
    <cellStyle name="Hyperlink" xfId="11465" builtinId="8" hidden="1"/>
    <cellStyle name="Hyperlink" xfId="11467" builtinId="8" hidden="1"/>
    <cellStyle name="Hyperlink" xfId="11469" builtinId="8" hidden="1"/>
    <cellStyle name="Hyperlink" xfId="11471" builtinId="8" hidden="1"/>
    <cellStyle name="Hyperlink" xfId="11473" builtinId="8" hidden="1"/>
    <cellStyle name="Hyperlink" xfId="11475" builtinId="8" hidden="1"/>
    <cellStyle name="Hyperlink" xfId="11477" builtinId="8" hidden="1"/>
    <cellStyle name="Hyperlink" xfId="11479" builtinId="8" hidden="1"/>
    <cellStyle name="Hyperlink" xfId="11481" builtinId="8" hidden="1"/>
    <cellStyle name="Hyperlink" xfId="11483" builtinId="8" hidden="1"/>
    <cellStyle name="Hyperlink" xfId="11485" builtinId="8" hidden="1"/>
    <cellStyle name="Hyperlink" xfId="11487" builtinId="8" hidden="1"/>
    <cellStyle name="Hyperlink" xfId="11489" builtinId="8" hidden="1"/>
    <cellStyle name="Hyperlink" xfId="11491" builtinId="8" hidden="1"/>
    <cellStyle name="Hyperlink" xfId="11493" builtinId="8" hidden="1"/>
    <cellStyle name="Hyperlink" xfId="11495" builtinId="8" hidden="1"/>
    <cellStyle name="Hyperlink" xfId="11497" builtinId="8" hidden="1"/>
    <cellStyle name="Hyperlink" xfId="11499" builtinId="8" hidden="1"/>
    <cellStyle name="Hyperlink" xfId="11501" builtinId="8" hidden="1"/>
    <cellStyle name="Hyperlink" xfId="11503" builtinId="8" hidden="1"/>
    <cellStyle name="Hyperlink" xfId="11505" builtinId="8" hidden="1"/>
    <cellStyle name="Hyperlink" xfId="11507" builtinId="8" hidden="1"/>
    <cellStyle name="Hyperlink" xfId="11509" builtinId="8" hidden="1"/>
    <cellStyle name="Hyperlink" xfId="11511" builtinId="8" hidden="1"/>
    <cellStyle name="Hyperlink" xfId="11513" builtinId="8" hidden="1"/>
    <cellStyle name="Hyperlink" xfId="11515" builtinId="8" hidden="1"/>
    <cellStyle name="Hyperlink" xfId="11517" builtinId="8" hidden="1"/>
    <cellStyle name="Hyperlink" xfId="11519" builtinId="8" hidden="1"/>
    <cellStyle name="Hyperlink" xfId="11521" builtinId="8" hidden="1"/>
    <cellStyle name="Hyperlink" xfId="11523" builtinId="8" hidden="1"/>
    <cellStyle name="Hyperlink" xfId="11525" builtinId="8" hidden="1"/>
    <cellStyle name="Hyperlink" xfId="11527" builtinId="8" hidden="1"/>
    <cellStyle name="Hyperlink" xfId="11529" builtinId="8" hidden="1"/>
    <cellStyle name="Hyperlink" xfId="11531" builtinId="8" hidden="1"/>
    <cellStyle name="Hyperlink" xfId="11533" builtinId="8" hidden="1"/>
    <cellStyle name="Hyperlink" xfId="11535" builtinId="8" hidden="1"/>
    <cellStyle name="Hyperlink" xfId="11537" builtinId="8" hidden="1"/>
    <cellStyle name="Hyperlink" xfId="11539" builtinId="8" hidden="1"/>
    <cellStyle name="Hyperlink" xfId="11541" builtinId="8" hidden="1"/>
    <cellStyle name="Hyperlink" xfId="11543" builtinId="8" hidden="1"/>
    <cellStyle name="Hyperlink" xfId="11545" builtinId="8" hidden="1"/>
    <cellStyle name="Hyperlink" xfId="11547" builtinId="8" hidden="1"/>
    <cellStyle name="Hyperlink" xfId="11549" builtinId="8" hidden="1"/>
    <cellStyle name="Hyperlink" xfId="11551" builtinId="8" hidden="1"/>
    <cellStyle name="Hyperlink" xfId="11553" builtinId="8" hidden="1"/>
    <cellStyle name="Hyperlink" xfId="11555" builtinId="8" hidden="1"/>
    <cellStyle name="Hyperlink" xfId="11557" builtinId="8" hidden="1"/>
    <cellStyle name="Hyperlink" xfId="11559" builtinId="8" hidden="1"/>
    <cellStyle name="Hyperlink" xfId="11561" builtinId="8" hidden="1"/>
    <cellStyle name="Hyperlink" xfId="11563" builtinId="8" hidden="1"/>
    <cellStyle name="Hyperlink" xfId="11565" builtinId="8" hidden="1"/>
    <cellStyle name="Hyperlink" xfId="11567" builtinId="8" hidden="1"/>
    <cellStyle name="Hyperlink" xfId="11569" builtinId="8" hidden="1"/>
    <cellStyle name="Hyperlink" xfId="11571" builtinId="8" hidden="1"/>
    <cellStyle name="Hyperlink" xfId="11573" builtinId="8" hidden="1"/>
    <cellStyle name="Hyperlink" xfId="11575" builtinId="8" hidden="1"/>
    <cellStyle name="Hyperlink" xfId="11577" builtinId="8" hidden="1"/>
    <cellStyle name="Hyperlink" xfId="11579" builtinId="8" hidden="1"/>
    <cellStyle name="Hyperlink" xfId="11581" builtinId="8" hidden="1"/>
    <cellStyle name="Hyperlink" xfId="11583" builtinId="8" hidden="1"/>
    <cellStyle name="Hyperlink" xfId="11585" builtinId="8" hidden="1"/>
    <cellStyle name="Hyperlink" xfId="11587" builtinId="8" hidden="1"/>
    <cellStyle name="Hyperlink" xfId="11589" builtinId="8" hidden="1"/>
    <cellStyle name="Hyperlink" xfId="11591" builtinId="8" hidden="1"/>
    <cellStyle name="Hyperlink" xfId="11593" builtinId="8" hidden="1"/>
    <cellStyle name="Hyperlink" xfId="11595" builtinId="8" hidden="1"/>
    <cellStyle name="Hyperlink" xfId="11597" builtinId="8" hidden="1"/>
    <cellStyle name="Hyperlink" xfId="11599" builtinId="8" hidden="1"/>
    <cellStyle name="Hyperlink" xfId="11601" builtinId="8" hidden="1"/>
    <cellStyle name="Hyperlink" xfId="11603" builtinId="8" hidden="1"/>
    <cellStyle name="Hyperlink" xfId="11605" builtinId="8" hidden="1"/>
    <cellStyle name="Hyperlink" xfId="11607" builtinId="8" hidden="1"/>
    <cellStyle name="Hyperlink" xfId="11609" builtinId="8" hidden="1"/>
    <cellStyle name="Hyperlink" xfId="11611" builtinId="8" hidden="1"/>
    <cellStyle name="Hyperlink" xfId="11613" builtinId="8" hidden="1"/>
    <cellStyle name="Hyperlink" xfId="11615" builtinId="8" hidden="1"/>
    <cellStyle name="Hyperlink" xfId="11617" builtinId="8" hidden="1"/>
    <cellStyle name="Hyperlink" xfId="11619" builtinId="8" hidden="1"/>
    <cellStyle name="Hyperlink" xfId="11621" builtinId="8" hidden="1"/>
    <cellStyle name="Hyperlink" xfId="11623" builtinId="8" hidden="1"/>
    <cellStyle name="Hyperlink" xfId="11625" builtinId="8" hidden="1"/>
    <cellStyle name="Hyperlink" xfId="11627" builtinId="8" hidden="1"/>
    <cellStyle name="Hyperlink" xfId="11629" builtinId="8" hidden="1"/>
    <cellStyle name="Hyperlink" xfId="11631" builtinId="8" hidden="1"/>
    <cellStyle name="Hyperlink" xfId="11633" builtinId="8" hidden="1"/>
    <cellStyle name="Hyperlink" xfId="11635" builtinId="8" hidden="1"/>
    <cellStyle name="Hyperlink" xfId="11637" builtinId="8" hidden="1"/>
    <cellStyle name="Hyperlink" xfId="11639" builtinId="8" hidden="1"/>
    <cellStyle name="Hyperlink" xfId="11641" builtinId="8" hidden="1"/>
    <cellStyle name="Hyperlink" xfId="11643" builtinId="8" hidden="1"/>
    <cellStyle name="Hyperlink" xfId="11645" builtinId="8" hidden="1"/>
    <cellStyle name="Hyperlink" xfId="11647" builtinId="8" hidden="1"/>
    <cellStyle name="Hyperlink" xfId="11649" builtinId="8" hidden="1"/>
    <cellStyle name="Hyperlink" xfId="11651" builtinId="8" hidden="1"/>
    <cellStyle name="Hyperlink" xfId="11653" builtinId="8" hidden="1"/>
    <cellStyle name="Hyperlink" xfId="11655" builtinId="8" hidden="1"/>
    <cellStyle name="Hyperlink" xfId="11657" builtinId="8" hidden="1"/>
    <cellStyle name="Hyperlink" xfId="11659" builtinId="8" hidden="1"/>
    <cellStyle name="Hyperlink" xfId="11661" builtinId="8" hidden="1"/>
    <cellStyle name="Hyperlink" xfId="11663" builtinId="8" hidden="1"/>
    <cellStyle name="Hyperlink" xfId="11665" builtinId="8" hidden="1"/>
    <cellStyle name="Hyperlink" xfId="11667" builtinId="8" hidden="1"/>
    <cellStyle name="Hyperlink" xfId="11669" builtinId="8" hidden="1"/>
    <cellStyle name="Hyperlink" xfId="11671" builtinId="8" hidden="1"/>
    <cellStyle name="Hyperlink" xfId="11673" builtinId="8" hidden="1"/>
    <cellStyle name="Hyperlink" xfId="11675" builtinId="8" hidden="1"/>
    <cellStyle name="Hyperlink" xfId="11677" builtinId="8" hidden="1"/>
    <cellStyle name="Hyperlink" xfId="11679" builtinId="8" hidden="1"/>
    <cellStyle name="Hyperlink" xfId="11681" builtinId="8" hidden="1"/>
    <cellStyle name="Hyperlink" xfId="11683" builtinId="8" hidden="1"/>
    <cellStyle name="Hyperlink" xfId="11685" builtinId="8" hidden="1"/>
    <cellStyle name="Hyperlink" xfId="11687" builtinId="8" hidden="1"/>
    <cellStyle name="Hyperlink" xfId="11689" builtinId="8" hidden="1"/>
    <cellStyle name="Hyperlink" xfId="11691" builtinId="8" hidden="1"/>
    <cellStyle name="Hyperlink" xfId="11693" builtinId="8" hidden="1"/>
    <cellStyle name="Hyperlink" xfId="11695" builtinId="8" hidden="1"/>
    <cellStyle name="Hyperlink" xfId="11697" builtinId="8" hidden="1"/>
    <cellStyle name="Hyperlink" xfId="11699" builtinId="8" hidden="1"/>
    <cellStyle name="Hyperlink" xfId="11701" builtinId="8" hidden="1"/>
    <cellStyle name="Hyperlink" xfId="11703" builtinId="8" hidden="1"/>
    <cellStyle name="Hyperlink" xfId="11705" builtinId="8" hidden="1"/>
    <cellStyle name="Hyperlink" xfId="11707" builtinId="8" hidden="1"/>
    <cellStyle name="Hyperlink" xfId="11709" builtinId="8" hidden="1"/>
    <cellStyle name="Hyperlink" xfId="11711" builtinId="8" hidden="1"/>
    <cellStyle name="Hyperlink" xfId="11713" builtinId="8" hidden="1"/>
    <cellStyle name="Hyperlink" xfId="11715" builtinId="8" hidden="1"/>
    <cellStyle name="Hyperlink" xfId="11717" builtinId="8" hidden="1"/>
    <cellStyle name="Hyperlink" xfId="11719" builtinId="8" hidden="1"/>
    <cellStyle name="Hyperlink" xfId="11721" builtinId="8" hidden="1"/>
    <cellStyle name="Hyperlink" xfId="11723" builtinId="8" hidden="1"/>
    <cellStyle name="Hyperlink" xfId="11725" builtinId="8" hidden="1"/>
    <cellStyle name="Hyperlink" xfId="11727" builtinId="8" hidden="1"/>
    <cellStyle name="Hyperlink" xfId="11729" builtinId="8" hidden="1"/>
    <cellStyle name="Hyperlink" xfId="11731" builtinId="8" hidden="1"/>
    <cellStyle name="Hyperlink" xfId="11733" builtinId="8" hidden="1"/>
    <cellStyle name="Hyperlink" xfId="11735" builtinId="8" hidden="1"/>
    <cellStyle name="Hyperlink" xfId="11737" builtinId="8" hidden="1"/>
    <cellStyle name="Hyperlink" xfId="11739" builtinId="8" hidden="1"/>
    <cellStyle name="Hyperlink" xfId="11741" builtinId="8" hidden="1"/>
    <cellStyle name="Hyperlink" xfId="11743" builtinId="8" hidden="1"/>
    <cellStyle name="Hyperlink" xfId="11745" builtinId="8" hidden="1"/>
    <cellStyle name="Hyperlink" xfId="11747" builtinId="8" hidden="1"/>
    <cellStyle name="Hyperlink" xfId="11749" builtinId="8" hidden="1"/>
    <cellStyle name="Hyperlink" xfId="11751" builtinId="8" hidden="1"/>
    <cellStyle name="Hyperlink" xfId="11753" builtinId="8" hidden="1"/>
    <cellStyle name="Hyperlink" xfId="11755" builtinId="8" hidden="1"/>
    <cellStyle name="Hyperlink" xfId="11757" builtinId="8" hidden="1"/>
    <cellStyle name="Hyperlink" xfId="11759" builtinId="8" hidden="1"/>
    <cellStyle name="Hyperlink" xfId="11761" builtinId="8" hidden="1"/>
    <cellStyle name="Hyperlink" xfId="11763" builtinId="8" hidden="1"/>
    <cellStyle name="Hyperlink" xfId="11765" builtinId="8" hidden="1"/>
    <cellStyle name="Hyperlink" xfId="11767" builtinId="8" hidden="1"/>
    <cellStyle name="Hyperlink" xfId="11769" builtinId="8" hidden="1"/>
    <cellStyle name="Hyperlink" xfId="11771" builtinId="8" hidden="1"/>
    <cellStyle name="Hyperlink" xfId="11773" builtinId="8" hidden="1"/>
    <cellStyle name="Hyperlink" xfId="11775" builtinId="8" hidden="1"/>
    <cellStyle name="Hyperlink" xfId="11777" builtinId="8" hidden="1"/>
    <cellStyle name="Hyperlink" xfId="11779" builtinId="8" hidden="1"/>
    <cellStyle name="Hyperlink" xfId="11781" builtinId="8" hidden="1"/>
    <cellStyle name="Hyperlink" xfId="11783" builtinId="8" hidden="1"/>
    <cellStyle name="Hyperlink" xfId="11785" builtinId="8" hidden="1"/>
    <cellStyle name="Hyperlink" xfId="11787" builtinId="8" hidden="1"/>
    <cellStyle name="Hyperlink" xfId="11789" builtinId="8" hidden="1"/>
    <cellStyle name="Hyperlink" xfId="11791" builtinId="8" hidden="1"/>
    <cellStyle name="Hyperlink" xfId="11793" builtinId="8" hidden="1"/>
    <cellStyle name="Hyperlink" xfId="11795" builtinId="8" hidden="1"/>
    <cellStyle name="Hyperlink" xfId="11797" builtinId="8" hidden="1"/>
    <cellStyle name="Hyperlink" xfId="11799" builtinId="8" hidden="1"/>
    <cellStyle name="Hyperlink" xfId="11801" builtinId="8" hidden="1"/>
    <cellStyle name="Hyperlink" xfId="11803" builtinId="8" hidden="1"/>
    <cellStyle name="Hyperlink" xfId="11805" builtinId="8" hidden="1"/>
    <cellStyle name="Hyperlink" xfId="11807" builtinId="8" hidden="1"/>
    <cellStyle name="Hyperlink" xfId="11809" builtinId="8" hidden="1"/>
    <cellStyle name="Hyperlink" xfId="11811" builtinId="8" hidden="1"/>
    <cellStyle name="Hyperlink" xfId="11813" builtinId="8" hidden="1"/>
    <cellStyle name="Hyperlink" xfId="11815" builtinId="8" hidden="1"/>
    <cellStyle name="Hyperlink" xfId="11817" builtinId="8" hidden="1"/>
    <cellStyle name="Hyperlink" xfId="11819" builtinId="8" hidden="1"/>
    <cellStyle name="Hyperlink" xfId="11821" builtinId="8" hidden="1"/>
    <cellStyle name="Hyperlink" xfId="11823" builtinId="8" hidden="1"/>
    <cellStyle name="Hyperlink" xfId="11825" builtinId="8" hidden="1"/>
    <cellStyle name="Hyperlink" xfId="11827" builtinId="8" hidden="1"/>
    <cellStyle name="Hyperlink" xfId="11829" builtinId="8" hidden="1"/>
    <cellStyle name="Hyperlink" xfId="11831" builtinId="8" hidden="1"/>
    <cellStyle name="Hyperlink" xfId="11833" builtinId="8" hidden="1"/>
    <cellStyle name="Hyperlink" xfId="11835" builtinId="8" hidden="1"/>
    <cellStyle name="Hyperlink" xfId="11837" builtinId="8" hidden="1"/>
    <cellStyle name="Hyperlink" xfId="11839" builtinId="8" hidden="1"/>
    <cellStyle name="Hyperlink" xfId="11841" builtinId="8" hidden="1"/>
    <cellStyle name="Hyperlink" xfId="11843" builtinId="8" hidden="1"/>
    <cellStyle name="Hyperlink" xfId="11845" builtinId="8" hidden="1"/>
    <cellStyle name="Hyperlink" xfId="11847" builtinId="8" hidden="1"/>
    <cellStyle name="Hyperlink" xfId="11849" builtinId="8" hidden="1"/>
    <cellStyle name="Hyperlink" xfId="11851" builtinId="8" hidden="1"/>
    <cellStyle name="Hyperlink" xfId="11853" builtinId="8" hidden="1"/>
    <cellStyle name="Hyperlink" xfId="11855" builtinId="8" hidden="1"/>
    <cellStyle name="Hyperlink" xfId="11857" builtinId="8" hidden="1"/>
    <cellStyle name="Hyperlink" xfId="11859" builtinId="8" hidden="1"/>
    <cellStyle name="Hyperlink" xfId="11861" builtinId="8" hidden="1"/>
    <cellStyle name="Hyperlink" xfId="11863" builtinId="8" hidden="1"/>
    <cellStyle name="Hyperlink" xfId="11865" builtinId="8" hidden="1"/>
    <cellStyle name="Hyperlink" xfId="11867" builtinId="8" hidden="1"/>
    <cellStyle name="Hyperlink" xfId="11869" builtinId="8" hidden="1"/>
    <cellStyle name="Hyperlink" xfId="11871" builtinId="8" hidden="1"/>
    <cellStyle name="Hyperlink" xfId="11873" builtinId="8" hidden="1"/>
    <cellStyle name="Hyperlink" xfId="11875" builtinId="8" hidden="1"/>
    <cellStyle name="Hyperlink" xfId="11877" builtinId="8" hidden="1"/>
    <cellStyle name="Hyperlink" xfId="11879" builtinId="8" hidden="1"/>
    <cellStyle name="Hyperlink" xfId="11881" builtinId="8" hidden="1"/>
    <cellStyle name="Hyperlink" xfId="11883" builtinId="8" hidden="1"/>
    <cellStyle name="Hyperlink" xfId="11885" builtinId="8" hidden="1"/>
    <cellStyle name="Hyperlink" xfId="11887" builtinId="8" hidden="1"/>
    <cellStyle name="Hyperlink" xfId="11889" builtinId="8" hidden="1"/>
    <cellStyle name="Hyperlink" xfId="11891" builtinId="8" hidden="1"/>
    <cellStyle name="Hyperlink" xfId="11893" builtinId="8" hidden="1"/>
    <cellStyle name="Hyperlink" xfId="11895" builtinId="8" hidden="1"/>
    <cellStyle name="Hyperlink" xfId="11897" builtinId="8" hidden="1"/>
    <cellStyle name="Hyperlink" xfId="11899" builtinId="8" hidden="1"/>
    <cellStyle name="Hyperlink" xfId="11901" builtinId="8" hidden="1"/>
    <cellStyle name="Hyperlink" xfId="11903" builtinId="8" hidden="1"/>
    <cellStyle name="Hyperlink" xfId="11905" builtinId="8" hidden="1"/>
    <cellStyle name="Hyperlink" xfId="11907" builtinId="8" hidden="1"/>
    <cellStyle name="Hyperlink" xfId="11909" builtinId="8" hidden="1"/>
    <cellStyle name="Hyperlink" xfId="11911" builtinId="8" hidden="1"/>
    <cellStyle name="Hyperlink" xfId="11913" builtinId="8" hidden="1"/>
    <cellStyle name="Hyperlink" xfId="11915" builtinId="8" hidden="1"/>
    <cellStyle name="Hyperlink" xfId="11917" builtinId="8" hidden="1"/>
    <cellStyle name="Hyperlink" xfId="11919" builtinId="8" hidden="1"/>
    <cellStyle name="Hyperlink" xfId="11921" builtinId="8" hidden="1"/>
    <cellStyle name="Hyperlink" xfId="11923" builtinId="8" hidden="1"/>
    <cellStyle name="Hyperlink" xfId="11925" builtinId="8" hidden="1"/>
    <cellStyle name="Hyperlink" xfId="11927" builtinId="8" hidden="1"/>
    <cellStyle name="Hyperlink" xfId="11929" builtinId="8" hidden="1"/>
    <cellStyle name="Hyperlink" xfId="11931" builtinId="8" hidden="1"/>
    <cellStyle name="Hyperlink" xfId="11933" builtinId="8" hidden="1"/>
    <cellStyle name="Hyperlink" xfId="11935" builtinId="8" hidden="1"/>
    <cellStyle name="Hyperlink" xfId="11937" builtinId="8" hidden="1"/>
    <cellStyle name="Hyperlink" xfId="11939" builtinId="8" hidden="1"/>
    <cellStyle name="Hyperlink" xfId="11941" builtinId="8" hidden="1"/>
    <cellStyle name="Hyperlink" xfId="11943" builtinId="8" hidden="1"/>
    <cellStyle name="Hyperlink" xfId="11945" builtinId="8" hidden="1"/>
    <cellStyle name="Hyperlink" xfId="11947" builtinId="8" hidden="1"/>
    <cellStyle name="Hyperlink" xfId="11949" builtinId="8" hidden="1"/>
    <cellStyle name="Hyperlink" xfId="11951" builtinId="8" hidden="1"/>
    <cellStyle name="Hyperlink" xfId="11953" builtinId="8" hidden="1"/>
    <cellStyle name="Hyperlink" xfId="11955" builtinId="8" hidden="1"/>
    <cellStyle name="Hyperlink" xfId="11957" builtinId="8" hidden="1"/>
    <cellStyle name="Hyperlink" xfId="11959" builtinId="8" hidden="1"/>
    <cellStyle name="Hyperlink" xfId="11961" builtinId="8" hidden="1"/>
    <cellStyle name="Hyperlink" xfId="11963" builtinId="8" hidden="1"/>
    <cellStyle name="Hyperlink" xfId="11965" builtinId="8" hidden="1"/>
    <cellStyle name="Hyperlink" xfId="11967" builtinId="8" hidden="1"/>
    <cellStyle name="Hyperlink" xfId="11969" builtinId="8" hidden="1"/>
    <cellStyle name="Hyperlink" xfId="11971" builtinId="8" hidden="1"/>
    <cellStyle name="Hyperlink" xfId="11973" builtinId="8" hidden="1"/>
    <cellStyle name="Hyperlink" xfId="11975" builtinId="8" hidden="1"/>
    <cellStyle name="Hyperlink" xfId="11977" builtinId="8" hidden="1"/>
    <cellStyle name="Hyperlink" xfId="11979" builtinId="8" hidden="1"/>
    <cellStyle name="Hyperlink" xfId="11981" builtinId="8" hidden="1"/>
    <cellStyle name="Hyperlink" xfId="11983" builtinId="8" hidden="1"/>
    <cellStyle name="Hyperlink" xfId="11985" builtinId="8" hidden="1"/>
    <cellStyle name="Hyperlink" xfId="11987" builtinId="8" hidden="1"/>
    <cellStyle name="Hyperlink" xfId="11989" builtinId="8" hidden="1"/>
    <cellStyle name="Hyperlink" xfId="11991" builtinId="8" hidden="1"/>
    <cellStyle name="Hyperlink" xfId="11993" builtinId="8" hidden="1"/>
    <cellStyle name="Hyperlink" xfId="11995" builtinId="8" hidden="1"/>
    <cellStyle name="Hyperlink" xfId="11997" builtinId="8" hidden="1"/>
    <cellStyle name="Hyperlink" xfId="11999" builtinId="8" hidden="1"/>
    <cellStyle name="Hyperlink" xfId="12001" builtinId="8" hidden="1"/>
    <cellStyle name="Hyperlink" xfId="12003" builtinId="8" hidden="1"/>
    <cellStyle name="Hyperlink" xfId="12005" builtinId="8" hidden="1"/>
    <cellStyle name="Hyperlink" xfId="12007" builtinId="8" hidden="1"/>
    <cellStyle name="Hyperlink" xfId="12009" builtinId="8" hidden="1"/>
    <cellStyle name="Hyperlink" xfId="12011" builtinId="8" hidden="1"/>
    <cellStyle name="Hyperlink" xfId="12013" builtinId="8" hidden="1"/>
    <cellStyle name="Hyperlink" xfId="12015" builtinId="8" hidden="1"/>
    <cellStyle name="Hyperlink" xfId="12017" builtinId="8" hidden="1"/>
    <cellStyle name="Hyperlink" xfId="12019" builtinId="8" hidden="1"/>
    <cellStyle name="Hyperlink" xfId="12021" builtinId="8" hidden="1"/>
    <cellStyle name="Hyperlink" xfId="12023" builtinId="8" hidden="1"/>
    <cellStyle name="Hyperlink" xfId="12025" builtinId="8" hidden="1"/>
    <cellStyle name="Hyperlink" xfId="12027" builtinId="8" hidden="1"/>
    <cellStyle name="Hyperlink" xfId="12029" builtinId="8" hidden="1"/>
    <cellStyle name="Hyperlink" xfId="12031" builtinId="8" hidden="1"/>
    <cellStyle name="Hyperlink" xfId="12033" builtinId="8" hidden="1"/>
    <cellStyle name="Hyperlink" xfId="12035" builtinId="8" hidden="1"/>
    <cellStyle name="Hyperlink" xfId="12037" builtinId="8" hidden="1"/>
    <cellStyle name="Hyperlink" xfId="12039" builtinId="8" hidden="1"/>
    <cellStyle name="Hyperlink" xfId="12041" builtinId="8" hidden="1"/>
    <cellStyle name="Hyperlink" xfId="12043" builtinId="8" hidden="1"/>
    <cellStyle name="Hyperlink" xfId="12045" builtinId="8" hidden="1"/>
    <cellStyle name="Hyperlink" xfId="12047" builtinId="8" hidden="1"/>
    <cellStyle name="Hyperlink" xfId="12049" builtinId="8" hidden="1"/>
    <cellStyle name="Hyperlink" xfId="12051" builtinId="8" hidden="1"/>
    <cellStyle name="Hyperlink" xfId="12053" builtinId="8" hidden="1"/>
    <cellStyle name="Hyperlink" xfId="12055" builtinId="8" hidden="1"/>
    <cellStyle name="Hyperlink" xfId="12057" builtinId="8" hidden="1"/>
    <cellStyle name="Hyperlink" xfId="12059" builtinId="8" hidden="1"/>
    <cellStyle name="Hyperlink" xfId="12061" builtinId="8" hidden="1"/>
    <cellStyle name="Hyperlink" xfId="12063" builtinId="8" hidden="1"/>
    <cellStyle name="Hyperlink" xfId="12065" builtinId="8" hidden="1"/>
    <cellStyle name="Hyperlink" xfId="12067" builtinId="8" hidden="1"/>
    <cellStyle name="Hyperlink" xfId="12069" builtinId="8" hidden="1"/>
    <cellStyle name="Hyperlink" xfId="12071" builtinId="8" hidden="1"/>
    <cellStyle name="Hyperlink" xfId="12073" builtinId="8" hidden="1"/>
    <cellStyle name="Hyperlink" xfId="12075" builtinId="8" hidden="1"/>
    <cellStyle name="Hyperlink" xfId="12077" builtinId="8" hidden="1"/>
    <cellStyle name="Hyperlink" xfId="12079" builtinId="8" hidden="1"/>
    <cellStyle name="Hyperlink" xfId="12081" builtinId="8" hidden="1"/>
    <cellStyle name="Hyperlink" xfId="12083" builtinId="8" hidden="1"/>
    <cellStyle name="Hyperlink" xfId="12085" builtinId="8" hidden="1"/>
    <cellStyle name="Hyperlink" xfId="12087" builtinId="8" hidden="1"/>
    <cellStyle name="Hyperlink" xfId="12089" builtinId="8" hidden="1"/>
    <cellStyle name="Hyperlink" xfId="12091" builtinId="8" hidden="1"/>
    <cellStyle name="Hyperlink" xfId="12093" builtinId="8" hidden="1"/>
    <cellStyle name="Hyperlink" xfId="12095" builtinId="8" hidden="1"/>
    <cellStyle name="Hyperlink" xfId="12097" builtinId="8" hidden="1"/>
    <cellStyle name="Hyperlink" xfId="12099" builtinId="8" hidden="1"/>
    <cellStyle name="Hyperlink" xfId="12101" builtinId="8" hidden="1"/>
    <cellStyle name="Hyperlink" xfId="12103" builtinId="8" hidden="1"/>
    <cellStyle name="Hyperlink" xfId="12105" builtinId="8" hidden="1"/>
    <cellStyle name="Hyperlink" xfId="12107" builtinId="8" hidden="1"/>
    <cellStyle name="Hyperlink" xfId="12109" builtinId="8" hidden="1"/>
    <cellStyle name="Hyperlink" xfId="12111" builtinId="8" hidden="1"/>
    <cellStyle name="Hyperlink" xfId="12113" builtinId="8" hidden="1"/>
    <cellStyle name="Hyperlink" xfId="12115" builtinId="8" hidden="1"/>
    <cellStyle name="Hyperlink" xfId="12117" builtinId="8" hidden="1"/>
    <cellStyle name="Hyperlink" xfId="12119" builtinId="8" hidden="1"/>
    <cellStyle name="Hyperlink" xfId="12121" builtinId="8" hidden="1"/>
    <cellStyle name="Hyperlink" xfId="12123" builtinId="8" hidden="1"/>
    <cellStyle name="Hyperlink" xfId="12125" builtinId="8" hidden="1"/>
    <cellStyle name="Hyperlink" xfId="12127" builtinId="8" hidden="1"/>
    <cellStyle name="Hyperlink" xfId="12129" builtinId="8" hidden="1"/>
    <cellStyle name="Hyperlink" xfId="12131" builtinId="8" hidden="1"/>
    <cellStyle name="Hyperlink" xfId="12133" builtinId="8" hidden="1"/>
    <cellStyle name="Hyperlink" xfId="12135" builtinId="8" hidden="1"/>
    <cellStyle name="Hyperlink" xfId="12137" builtinId="8" hidden="1"/>
    <cellStyle name="Hyperlink" xfId="12139" builtinId="8" hidden="1"/>
    <cellStyle name="Hyperlink" xfId="12141" builtinId="8" hidden="1"/>
    <cellStyle name="Hyperlink" xfId="12143" builtinId="8" hidden="1"/>
    <cellStyle name="Hyperlink" xfId="12145" builtinId="8" hidden="1"/>
    <cellStyle name="Hyperlink" xfId="12147" builtinId="8" hidden="1"/>
    <cellStyle name="Hyperlink" xfId="12149" builtinId="8" hidden="1"/>
    <cellStyle name="Hyperlink" xfId="12151" builtinId="8" hidden="1"/>
    <cellStyle name="Hyperlink" xfId="12153" builtinId="8" hidden="1"/>
    <cellStyle name="Hyperlink" xfId="12155" builtinId="8" hidden="1"/>
    <cellStyle name="Hyperlink" xfId="12157" builtinId="8" hidden="1"/>
    <cellStyle name="Hyperlink" xfId="12159" builtinId="8" hidden="1"/>
    <cellStyle name="Hyperlink" xfId="12161" builtinId="8" hidden="1"/>
    <cellStyle name="Hyperlink" xfId="12163" builtinId="8" hidden="1"/>
    <cellStyle name="Hyperlink" xfId="12165" builtinId="8" hidden="1"/>
    <cellStyle name="Hyperlink" xfId="12167" builtinId="8" hidden="1"/>
    <cellStyle name="Hyperlink" xfId="12169" builtinId="8" hidden="1"/>
    <cellStyle name="Hyperlink" xfId="12171" builtinId="8" hidden="1"/>
    <cellStyle name="Hyperlink" xfId="12173" builtinId="8" hidden="1"/>
    <cellStyle name="Hyperlink" xfId="12175" builtinId="8" hidden="1"/>
    <cellStyle name="Hyperlink" xfId="12177" builtinId="8" hidden="1"/>
    <cellStyle name="Hyperlink" xfId="12179" builtinId="8" hidden="1"/>
    <cellStyle name="Hyperlink" xfId="12181" builtinId="8" hidden="1"/>
    <cellStyle name="Hyperlink" xfId="12183" builtinId="8" hidden="1"/>
    <cellStyle name="Hyperlink" xfId="12185" builtinId="8" hidden="1"/>
    <cellStyle name="Hyperlink" xfId="12187" builtinId="8" hidden="1"/>
    <cellStyle name="Hyperlink" xfId="12189" builtinId="8" hidden="1"/>
    <cellStyle name="Hyperlink" xfId="12191" builtinId="8" hidden="1"/>
    <cellStyle name="Hyperlink" xfId="12193" builtinId="8" hidden="1"/>
    <cellStyle name="Hyperlink" xfId="12195" builtinId="8" hidden="1"/>
    <cellStyle name="Hyperlink" xfId="12197" builtinId="8" hidden="1"/>
    <cellStyle name="Hyperlink" xfId="12199" builtinId="8" hidden="1"/>
    <cellStyle name="Hyperlink" xfId="12201" builtinId="8" hidden="1"/>
    <cellStyle name="Hyperlink" xfId="12203" builtinId="8" hidden="1"/>
    <cellStyle name="Hyperlink" xfId="12205" builtinId="8" hidden="1"/>
    <cellStyle name="Hyperlink" xfId="12207" builtinId="8" hidden="1"/>
    <cellStyle name="Hyperlink" xfId="12209" builtinId="8" hidden="1"/>
    <cellStyle name="Hyperlink" xfId="12211" builtinId="8" hidden="1"/>
    <cellStyle name="Hyperlink" xfId="12213" builtinId="8" hidden="1"/>
    <cellStyle name="Hyperlink" xfId="12215" builtinId="8" hidden="1"/>
    <cellStyle name="Hyperlink" xfId="12217" builtinId="8" hidden="1"/>
    <cellStyle name="Hyperlink" xfId="12219" builtinId="8" hidden="1"/>
    <cellStyle name="Hyperlink" xfId="12221" builtinId="8" hidden="1"/>
    <cellStyle name="Hyperlink" xfId="12223" builtinId="8" hidden="1"/>
    <cellStyle name="Hyperlink" xfId="12225" builtinId="8" hidden="1"/>
    <cellStyle name="Hyperlink" xfId="12227" builtinId="8" hidden="1"/>
    <cellStyle name="Hyperlink" xfId="12229" builtinId="8" hidden="1"/>
    <cellStyle name="Hyperlink" xfId="12231" builtinId="8" hidden="1"/>
    <cellStyle name="Hyperlink" xfId="12233" builtinId="8" hidden="1"/>
    <cellStyle name="Hyperlink" xfId="12235" builtinId="8" hidden="1"/>
    <cellStyle name="Hyperlink" xfId="12237" builtinId="8" hidden="1"/>
    <cellStyle name="Hyperlink" xfId="12239" builtinId="8" hidden="1"/>
    <cellStyle name="Hyperlink" xfId="12241" builtinId="8" hidden="1"/>
    <cellStyle name="Hyperlink" xfId="12243" builtinId="8" hidden="1"/>
    <cellStyle name="Hyperlink" xfId="12245" builtinId="8" hidden="1"/>
    <cellStyle name="Hyperlink" xfId="12247" builtinId="8" hidden="1"/>
    <cellStyle name="Hyperlink" xfId="12249" builtinId="8" hidden="1"/>
    <cellStyle name="Hyperlink" xfId="12251" builtinId="8" hidden="1"/>
    <cellStyle name="Hyperlink" xfId="12253" builtinId="8" hidden="1"/>
    <cellStyle name="Hyperlink" xfId="12255" builtinId="8" hidden="1"/>
    <cellStyle name="Hyperlink" xfId="12257" builtinId="8" hidden="1"/>
    <cellStyle name="Hyperlink" xfId="12259" builtinId="8" hidden="1"/>
    <cellStyle name="Hyperlink" xfId="12261" builtinId="8" hidden="1"/>
    <cellStyle name="Hyperlink" xfId="12263" builtinId="8" hidden="1"/>
    <cellStyle name="Hyperlink" xfId="12265" builtinId="8" hidden="1"/>
    <cellStyle name="Hyperlink" xfId="12267" builtinId="8" hidden="1"/>
    <cellStyle name="Hyperlink" xfId="12269" builtinId="8" hidden="1"/>
    <cellStyle name="Hyperlink" xfId="12271" builtinId="8" hidden="1"/>
    <cellStyle name="Hyperlink" xfId="12273" builtinId="8" hidden="1"/>
    <cellStyle name="Hyperlink" xfId="12275" builtinId="8" hidden="1"/>
    <cellStyle name="Hyperlink" xfId="12277" builtinId="8" hidden="1"/>
    <cellStyle name="Hyperlink" xfId="12279" builtinId="8" hidden="1"/>
    <cellStyle name="Hyperlink" xfId="12281" builtinId="8" hidden="1"/>
    <cellStyle name="Hyperlink" xfId="12283" builtinId="8" hidden="1"/>
    <cellStyle name="Hyperlink" xfId="12285" builtinId="8" hidden="1"/>
    <cellStyle name="Hyperlink" xfId="12287" builtinId="8" hidden="1"/>
    <cellStyle name="Hyperlink" xfId="12289" builtinId="8" hidden="1"/>
    <cellStyle name="Hyperlink" xfId="12291" builtinId="8" hidden="1"/>
    <cellStyle name="Hyperlink" xfId="12293" builtinId="8" hidden="1"/>
    <cellStyle name="Hyperlink" xfId="12295" builtinId="8" hidden="1"/>
    <cellStyle name="Hyperlink" xfId="12297" builtinId="8" hidden="1"/>
    <cellStyle name="Hyperlink" xfId="12299" builtinId="8" hidden="1"/>
    <cellStyle name="Hyperlink" xfId="12301" builtinId="8" hidden="1"/>
    <cellStyle name="Hyperlink" xfId="12303" builtinId="8" hidden="1"/>
    <cellStyle name="Hyperlink" xfId="12305" builtinId="8" hidden="1"/>
    <cellStyle name="Hyperlink" xfId="12307" builtinId="8" hidden="1"/>
    <cellStyle name="Hyperlink" xfId="12309" builtinId="8" hidden="1"/>
    <cellStyle name="Hyperlink" xfId="12311" builtinId="8" hidden="1"/>
    <cellStyle name="Hyperlink" xfId="12313" builtinId="8" hidden="1"/>
    <cellStyle name="Hyperlink" xfId="12315" builtinId="8" hidden="1"/>
    <cellStyle name="Hyperlink" xfId="12317" builtinId="8" hidden="1"/>
    <cellStyle name="Hyperlink" xfId="12319" builtinId="8" hidden="1"/>
    <cellStyle name="Hyperlink" xfId="12321" builtinId="8" hidden="1"/>
    <cellStyle name="Hyperlink" xfId="12323" builtinId="8" hidden="1"/>
    <cellStyle name="Hyperlink" xfId="12325" builtinId="8" hidden="1"/>
    <cellStyle name="Hyperlink" xfId="12327" builtinId="8" hidden="1"/>
    <cellStyle name="Hyperlink" xfId="12329" builtinId="8" hidden="1"/>
    <cellStyle name="Hyperlink" xfId="12331" builtinId="8" hidden="1"/>
    <cellStyle name="Hyperlink" xfId="12333" builtinId="8" hidden="1"/>
    <cellStyle name="Hyperlink" xfId="12335" builtinId="8" hidden="1"/>
    <cellStyle name="Hyperlink" xfId="12337" builtinId="8" hidden="1"/>
    <cellStyle name="Hyperlink" xfId="12339" builtinId="8" hidden="1"/>
    <cellStyle name="Hyperlink" xfId="12341" builtinId="8" hidden="1"/>
    <cellStyle name="Hyperlink" xfId="12343" builtinId="8" hidden="1"/>
    <cellStyle name="Hyperlink" xfId="12345" builtinId="8" hidden="1"/>
    <cellStyle name="Hyperlink" xfId="12347" builtinId="8" hidden="1"/>
    <cellStyle name="Hyperlink" xfId="12349" builtinId="8" hidden="1"/>
    <cellStyle name="Hyperlink" xfId="12351" builtinId="8" hidden="1"/>
    <cellStyle name="Hyperlink" xfId="12353" builtinId="8" hidden="1"/>
    <cellStyle name="Hyperlink" xfId="12355" builtinId="8" hidden="1"/>
    <cellStyle name="Hyperlink" xfId="12357" builtinId="8" hidden="1"/>
    <cellStyle name="Hyperlink" xfId="12359" builtinId="8" hidden="1"/>
    <cellStyle name="Hyperlink" xfId="12361" builtinId="8" hidden="1"/>
    <cellStyle name="Hyperlink" xfId="12363" builtinId="8" hidden="1"/>
    <cellStyle name="Hyperlink" xfId="12365" builtinId="8" hidden="1"/>
    <cellStyle name="Hyperlink" xfId="12367" builtinId="8" hidden="1"/>
    <cellStyle name="Hyperlink" xfId="12369" builtinId="8" hidden="1"/>
    <cellStyle name="Hyperlink" xfId="12371" builtinId="8" hidden="1"/>
    <cellStyle name="Hyperlink" xfId="12373" builtinId="8" hidden="1"/>
    <cellStyle name="Hyperlink" xfId="12375" builtinId="8" hidden="1"/>
    <cellStyle name="Hyperlink" xfId="12377" builtinId="8" hidden="1"/>
    <cellStyle name="Hyperlink" xfId="12379" builtinId="8" hidden="1"/>
    <cellStyle name="Hyperlink" xfId="12381" builtinId="8" hidden="1"/>
    <cellStyle name="Hyperlink" xfId="12383" builtinId="8" hidden="1"/>
    <cellStyle name="Hyperlink" xfId="12385" builtinId="8" hidden="1"/>
    <cellStyle name="Hyperlink" xfId="12387" builtinId="8" hidden="1"/>
    <cellStyle name="Hyperlink" xfId="12389" builtinId="8" hidden="1"/>
    <cellStyle name="Hyperlink" xfId="12391" builtinId="8" hidden="1"/>
    <cellStyle name="Hyperlink" xfId="12393" builtinId="8" hidden="1"/>
    <cellStyle name="Hyperlink" xfId="12395" builtinId="8" hidden="1"/>
    <cellStyle name="Hyperlink" xfId="12397" builtinId="8" hidden="1"/>
    <cellStyle name="Hyperlink" xfId="12399" builtinId="8" hidden="1"/>
    <cellStyle name="Hyperlink" xfId="12401" builtinId="8" hidden="1"/>
    <cellStyle name="Hyperlink" xfId="12403" builtinId="8" hidden="1"/>
    <cellStyle name="Hyperlink" xfId="12405" builtinId="8" hidden="1"/>
    <cellStyle name="Hyperlink" xfId="12407" builtinId="8" hidden="1"/>
    <cellStyle name="Hyperlink" xfId="12409" builtinId="8" hidden="1"/>
    <cellStyle name="Hyperlink" xfId="12411" builtinId="8" hidden="1"/>
    <cellStyle name="Hyperlink" xfId="12413" builtinId="8" hidden="1"/>
    <cellStyle name="Hyperlink" xfId="12415" builtinId="8" hidden="1"/>
    <cellStyle name="Hyperlink" xfId="12417" builtinId="8" hidden="1"/>
    <cellStyle name="Hyperlink" xfId="12419" builtinId="8" hidden="1"/>
    <cellStyle name="Hyperlink" xfId="12421" builtinId="8" hidden="1"/>
    <cellStyle name="Hyperlink" xfId="12423" builtinId="8" hidden="1"/>
    <cellStyle name="Hyperlink" xfId="12425" builtinId="8" hidden="1"/>
    <cellStyle name="Hyperlink" xfId="12427" builtinId="8" hidden="1"/>
    <cellStyle name="Hyperlink" xfId="12429" builtinId="8" hidden="1"/>
    <cellStyle name="Hyperlink" xfId="12431" builtinId="8" hidden="1"/>
    <cellStyle name="Hyperlink" xfId="12433" builtinId="8" hidden="1"/>
    <cellStyle name="Hyperlink" xfId="12435" builtinId="8" hidden="1"/>
    <cellStyle name="Hyperlink" xfId="12437" builtinId="8" hidden="1"/>
    <cellStyle name="Hyperlink" xfId="12439" builtinId="8" hidden="1"/>
    <cellStyle name="Hyperlink" xfId="12441" builtinId="8" hidden="1"/>
    <cellStyle name="Hyperlink" xfId="12443" builtinId="8" hidden="1"/>
    <cellStyle name="Hyperlink" xfId="12445" builtinId="8" hidden="1"/>
    <cellStyle name="Hyperlink" xfId="12447" builtinId="8" hidden="1"/>
    <cellStyle name="Hyperlink" xfId="12449" builtinId="8" hidden="1"/>
    <cellStyle name="Hyperlink" xfId="12451" builtinId="8" hidden="1"/>
    <cellStyle name="Hyperlink" xfId="12453" builtinId="8" hidden="1"/>
    <cellStyle name="Hyperlink" xfId="12455" builtinId="8" hidden="1"/>
    <cellStyle name="Hyperlink" xfId="12457" builtinId="8" hidden="1"/>
    <cellStyle name="Hyperlink" xfId="12459" builtinId="8" hidden="1"/>
    <cellStyle name="Hyperlink" xfId="12461" builtinId="8" hidden="1"/>
    <cellStyle name="Hyperlink" xfId="12463" builtinId="8" hidden="1"/>
    <cellStyle name="Hyperlink" xfId="12465" builtinId="8" hidden="1"/>
    <cellStyle name="Hyperlink" xfId="12467" builtinId="8" hidden="1"/>
    <cellStyle name="Hyperlink" xfId="12469" builtinId="8" hidden="1"/>
    <cellStyle name="Hyperlink" xfId="12471" builtinId="8" hidden="1"/>
    <cellStyle name="Hyperlink" xfId="12473" builtinId="8" hidden="1"/>
    <cellStyle name="Hyperlink" xfId="12475" builtinId="8" hidden="1"/>
    <cellStyle name="Hyperlink" xfId="12477" builtinId="8" hidden="1"/>
    <cellStyle name="Hyperlink" xfId="12479" builtinId="8" hidden="1"/>
    <cellStyle name="Hyperlink" xfId="12481" builtinId="8" hidden="1"/>
    <cellStyle name="Hyperlink" xfId="12483" builtinId="8" hidden="1"/>
    <cellStyle name="Hyperlink" xfId="12485" builtinId="8" hidden="1"/>
    <cellStyle name="Hyperlink" xfId="12487" builtinId="8" hidden="1"/>
    <cellStyle name="Hyperlink" xfId="12489" builtinId="8" hidden="1"/>
    <cellStyle name="Hyperlink" xfId="12491" builtinId="8" hidden="1"/>
    <cellStyle name="Hyperlink" xfId="12493" builtinId="8" hidden="1"/>
    <cellStyle name="Hyperlink" xfId="12495" builtinId="8" hidden="1"/>
    <cellStyle name="Hyperlink" xfId="12497" builtinId="8" hidden="1"/>
    <cellStyle name="Hyperlink" xfId="12499" builtinId="8" hidden="1"/>
    <cellStyle name="Hyperlink" xfId="12501" builtinId="8" hidden="1"/>
    <cellStyle name="Hyperlink" xfId="12503" builtinId="8" hidden="1"/>
    <cellStyle name="Hyperlink" xfId="12505" builtinId="8" hidden="1"/>
    <cellStyle name="Hyperlink" xfId="12507" builtinId="8" hidden="1"/>
    <cellStyle name="Hyperlink" xfId="12509" builtinId="8" hidden="1"/>
    <cellStyle name="Hyperlink" xfId="12511" builtinId="8" hidden="1"/>
    <cellStyle name="Hyperlink" xfId="12513" builtinId="8" hidden="1"/>
    <cellStyle name="Hyperlink" xfId="12515" builtinId="8" hidden="1"/>
    <cellStyle name="Hyperlink" xfId="12517" builtinId="8" hidden="1"/>
    <cellStyle name="Hyperlink" xfId="12519" builtinId="8" hidden="1"/>
    <cellStyle name="Hyperlink" xfId="12521" builtinId="8" hidden="1"/>
    <cellStyle name="Hyperlink" xfId="12523" builtinId="8" hidden="1"/>
    <cellStyle name="Hyperlink" xfId="12525" builtinId="8" hidden="1"/>
    <cellStyle name="Hyperlink" xfId="12527" builtinId="8" hidden="1"/>
    <cellStyle name="Hyperlink" xfId="12529" builtinId="8" hidden="1"/>
    <cellStyle name="Hyperlink" xfId="12531" builtinId="8" hidden="1"/>
    <cellStyle name="Hyperlink" xfId="12533" builtinId="8" hidden="1"/>
    <cellStyle name="Hyperlink" xfId="12535" builtinId="8" hidden="1"/>
    <cellStyle name="Hyperlink" xfId="12537" builtinId="8" hidden="1"/>
    <cellStyle name="Hyperlink" xfId="12539" builtinId="8" hidden="1"/>
    <cellStyle name="Hyperlink" xfId="12541" builtinId="8" hidden="1"/>
    <cellStyle name="Hyperlink" xfId="12543" builtinId="8" hidden="1"/>
    <cellStyle name="Hyperlink" xfId="12545" builtinId="8" hidden="1"/>
    <cellStyle name="Hyperlink" xfId="12547" builtinId="8" hidden="1"/>
    <cellStyle name="Hyperlink" xfId="12549" builtinId="8" hidden="1"/>
    <cellStyle name="Hyperlink" xfId="12551" builtinId="8" hidden="1"/>
    <cellStyle name="Hyperlink" xfId="12553" builtinId="8" hidden="1"/>
    <cellStyle name="Hyperlink" xfId="12555" builtinId="8" hidden="1"/>
    <cellStyle name="Hyperlink" xfId="12557" builtinId="8" hidden="1"/>
    <cellStyle name="Hyperlink" xfId="12559" builtinId="8" hidden="1"/>
    <cellStyle name="Hyperlink" xfId="12561" builtinId="8" hidden="1"/>
    <cellStyle name="Hyperlink" xfId="12563" builtinId="8" hidden="1"/>
    <cellStyle name="Hyperlink" xfId="12565" builtinId="8" hidden="1"/>
    <cellStyle name="Hyperlink" xfId="12567" builtinId="8" hidden="1"/>
    <cellStyle name="Hyperlink" xfId="12569" builtinId="8" hidden="1"/>
    <cellStyle name="Hyperlink" xfId="12571" builtinId="8" hidden="1"/>
    <cellStyle name="Hyperlink" xfId="12573" builtinId="8" hidden="1"/>
    <cellStyle name="Hyperlink" xfId="12575" builtinId="8" hidden="1"/>
    <cellStyle name="Hyperlink" xfId="12577" builtinId="8" hidden="1"/>
    <cellStyle name="Hyperlink" xfId="12579" builtinId="8" hidden="1"/>
    <cellStyle name="Hyperlink" xfId="12581" builtinId="8" hidden="1"/>
    <cellStyle name="Hyperlink" xfId="12583" builtinId="8" hidden="1"/>
    <cellStyle name="Hyperlink" xfId="12585" builtinId="8" hidden="1"/>
    <cellStyle name="Hyperlink" xfId="12587" builtinId="8" hidden="1"/>
    <cellStyle name="Hyperlink" xfId="12589" builtinId="8" hidden="1"/>
    <cellStyle name="Hyperlink" xfId="12591" builtinId="8" hidden="1"/>
    <cellStyle name="Hyperlink" xfId="12593" builtinId="8" hidden="1"/>
    <cellStyle name="Hyperlink" xfId="12595" builtinId="8" hidden="1"/>
    <cellStyle name="Hyperlink" xfId="12597" builtinId="8" hidden="1"/>
    <cellStyle name="Hyperlink" xfId="12599" builtinId="8" hidden="1"/>
    <cellStyle name="Hyperlink" xfId="12601" builtinId="8" hidden="1"/>
    <cellStyle name="Hyperlink" xfId="12603" builtinId="8" hidden="1"/>
    <cellStyle name="Hyperlink" xfId="12605" builtinId="8" hidden="1"/>
    <cellStyle name="Hyperlink" xfId="12607" builtinId="8" hidden="1"/>
    <cellStyle name="Hyperlink" xfId="12609" builtinId="8" hidden="1"/>
    <cellStyle name="Hyperlink" xfId="12611" builtinId="8" hidden="1"/>
    <cellStyle name="Hyperlink" xfId="12613" builtinId="8" hidden="1"/>
    <cellStyle name="Hyperlink" xfId="12615" builtinId="8" hidden="1"/>
    <cellStyle name="Hyperlink" xfId="12617" builtinId="8" hidden="1"/>
    <cellStyle name="Hyperlink" xfId="12619" builtinId="8" hidden="1"/>
    <cellStyle name="Hyperlink" xfId="12621" builtinId="8" hidden="1"/>
    <cellStyle name="Hyperlink" xfId="12623" builtinId="8" hidden="1"/>
    <cellStyle name="Hyperlink" xfId="12625" builtinId="8" hidden="1"/>
    <cellStyle name="Hyperlink" xfId="12627" builtinId="8" hidden="1"/>
    <cellStyle name="Hyperlink" xfId="12629" builtinId="8" hidden="1"/>
    <cellStyle name="Hyperlink" xfId="12631" builtinId="8" hidden="1"/>
    <cellStyle name="Hyperlink" xfId="12633" builtinId="8" hidden="1"/>
    <cellStyle name="Hyperlink" xfId="12635" builtinId="8" hidden="1"/>
    <cellStyle name="Hyperlink" xfId="12637" builtinId="8" hidden="1"/>
    <cellStyle name="Hyperlink" xfId="12639" builtinId="8" hidden="1"/>
    <cellStyle name="Hyperlink" xfId="12641" builtinId="8" hidden="1"/>
    <cellStyle name="Hyperlink" xfId="12643" builtinId="8" hidden="1"/>
    <cellStyle name="Hyperlink" xfId="12645" builtinId="8" hidden="1"/>
    <cellStyle name="Hyperlink" xfId="12647" builtinId="8" hidden="1"/>
    <cellStyle name="Hyperlink" xfId="12649" builtinId="8" hidden="1"/>
    <cellStyle name="Hyperlink" xfId="12651" builtinId="8" hidden="1"/>
    <cellStyle name="Hyperlink" xfId="12653" builtinId="8" hidden="1"/>
    <cellStyle name="Hyperlink" xfId="12655" builtinId="8" hidden="1"/>
    <cellStyle name="Hyperlink" xfId="12657" builtinId="8" hidden="1"/>
    <cellStyle name="Hyperlink" xfId="12659" builtinId="8" hidden="1"/>
    <cellStyle name="Hyperlink" xfId="12661" builtinId="8" hidden="1"/>
    <cellStyle name="Hyperlink" xfId="12663" builtinId="8" hidden="1"/>
    <cellStyle name="Hyperlink" xfId="12665" builtinId="8" hidden="1"/>
    <cellStyle name="Hyperlink" xfId="12667" builtinId="8" hidden="1"/>
    <cellStyle name="Hyperlink" xfId="12669" builtinId="8" hidden="1"/>
    <cellStyle name="Hyperlink" xfId="12671" builtinId="8" hidden="1"/>
    <cellStyle name="Hyperlink" xfId="12673" builtinId="8" hidden="1"/>
    <cellStyle name="Hyperlink" xfId="12675" builtinId="8" hidden="1"/>
    <cellStyle name="Hyperlink" xfId="12677" builtinId="8" hidden="1"/>
    <cellStyle name="Hyperlink" xfId="12679" builtinId="8" hidden="1"/>
    <cellStyle name="Hyperlink" xfId="12681" builtinId="8" hidden="1"/>
    <cellStyle name="Hyperlink" xfId="12683" builtinId="8" hidden="1"/>
    <cellStyle name="Hyperlink" xfId="12685" builtinId="8" hidden="1"/>
    <cellStyle name="Hyperlink" xfId="12687" builtinId="8" hidden="1"/>
    <cellStyle name="Hyperlink" xfId="12689" builtinId="8" hidden="1"/>
    <cellStyle name="Hyperlink" xfId="12691" builtinId="8" hidden="1"/>
    <cellStyle name="Hyperlink" xfId="12693" builtinId="8" hidden="1"/>
    <cellStyle name="Hyperlink" xfId="12695" builtinId="8" hidden="1"/>
    <cellStyle name="Hyperlink" xfId="12697" builtinId="8" hidden="1"/>
    <cellStyle name="Hyperlink" xfId="12699" builtinId="8" hidden="1"/>
    <cellStyle name="Hyperlink" xfId="12701" builtinId="8" hidden="1"/>
    <cellStyle name="Hyperlink" xfId="12703" builtinId="8" hidden="1"/>
    <cellStyle name="Hyperlink" xfId="12705" builtinId="8" hidden="1"/>
    <cellStyle name="Hyperlink" xfId="12707" builtinId="8" hidden="1"/>
    <cellStyle name="Hyperlink" xfId="12709" builtinId="8" hidden="1"/>
    <cellStyle name="Hyperlink" xfId="12711" builtinId="8" hidden="1"/>
    <cellStyle name="Hyperlink" xfId="12713" builtinId="8" hidden="1"/>
    <cellStyle name="Hyperlink" xfId="12715" builtinId="8" hidden="1"/>
    <cellStyle name="Hyperlink" xfId="12717" builtinId="8" hidden="1"/>
    <cellStyle name="Hyperlink" xfId="12719" builtinId="8" hidden="1"/>
    <cellStyle name="Hyperlink" xfId="12721" builtinId="8" hidden="1"/>
    <cellStyle name="Hyperlink" xfId="12723" builtinId="8" hidden="1"/>
    <cellStyle name="Hyperlink" xfId="12725" builtinId="8" hidden="1"/>
    <cellStyle name="Hyperlink" xfId="12727" builtinId="8" hidden="1"/>
    <cellStyle name="Hyperlink" xfId="12729" builtinId="8" hidden="1"/>
    <cellStyle name="Hyperlink" xfId="12731" builtinId="8" hidden="1"/>
    <cellStyle name="Hyperlink" xfId="12733" builtinId="8" hidden="1"/>
    <cellStyle name="Hyperlink" xfId="12735" builtinId="8" hidden="1"/>
    <cellStyle name="Hyperlink" xfId="12737" builtinId="8" hidden="1"/>
    <cellStyle name="Hyperlink" xfId="12739" builtinId="8" hidden="1"/>
    <cellStyle name="Hyperlink" xfId="12741" builtinId="8" hidden="1"/>
    <cellStyle name="Hyperlink" xfId="12743" builtinId="8" hidden="1"/>
    <cellStyle name="Hyperlink" xfId="12745" builtinId="8" hidden="1"/>
    <cellStyle name="Hyperlink" xfId="12747" builtinId="8" hidden="1"/>
    <cellStyle name="Hyperlink" xfId="12749" builtinId="8" hidden="1"/>
    <cellStyle name="Hyperlink" xfId="12751" builtinId="8" hidden="1"/>
    <cellStyle name="Hyperlink" xfId="12753" builtinId="8" hidden="1"/>
    <cellStyle name="Hyperlink" xfId="12755" builtinId="8" hidden="1"/>
    <cellStyle name="Hyperlink" xfId="12757" builtinId="8" hidden="1"/>
    <cellStyle name="Hyperlink" xfId="12759" builtinId="8" hidden="1"/>
    <cellStyle name="Hyperlink" xfId="12761" builtinId="8" hidden="1"/>
    <cellStyle name="Hyperlink" xfId="12763" builtinId="8" hidden="1"/>
    <cellStyle name="Hyperlink" xfId="12765" builtinId="8" hidden="1"/>
    <cellStyle name="Hyperlink" xfId="12767" builtinId="8" hidden="1"/>
    <cellStyle name="Hyperlink" xfId="12769" builtinId="8" hidden="1"/>
    <cellStyle name="Hyperlink" xfId="12771" builtinId="8" hidden="1"/>
    <cellStyle name="Hyperlink" xfId="12773" builtinId="8" hidden="1"/>
    <cellStyle name="Hyperlink" xfId="12775" builtinId="8" hidden="1"/>
    <cellStyle name="Hyperlink" xfId="12777" builtinId="8" hidden="1"/>
    <cellStyle name="Hyperlink" xfId="12779" builtinId="8" hidden="1"/>
    <cellStyle name="Hyperlink" xfId="12781" builtinId="8" hidden="1"/>
    <cellStyle name="Hyperlink" xfId="12783" builtinId="8" hidden="1"/>
    <cellStyle name="Hyperlink" xfId="12785" builtinId="8" hidden="1"/>
    <cellStyle name="Hyperlink" xfId="12787" builtinId="8" hidden="1"/>
    <cellStyle name="Hyperlink" xfId="12789" builtinId="8" hidden="1"/>
    <cellStyle name="Hyperlink" xfId="12791" builtinId="8" hidden="1"/>
    <cellStyle name="Hyperlink" xfId="12793" builtinId="8" hidden="1"/>
    <cellStyle name="Hyperlink" xfId="12795" builtinId="8" hidden="1"/>
    <cellStyle name="Hyperlink" xfId="12797" builtinId="8" hidden="1"/>
    <cellStyle name="Hyperlink" xfId="12799" builtinId="8" hidden="1"/>
    <cellStyle name="Hyperlink" xfId="12801" builtinId="8" hidden="1"/>
    <cellStyle name="Hyperlink" xfId="12803" builtinId="8" hidden="1"/>
    <cellStyle name="Hyperlink" xfId="12805" builtinId="8" hidden="1"/>
    <cellStyle name="Hyperlink" xfId="12807" builtinId="8" hidden="1"/>
    <cellStyle name="Hyperlink" xfId="12809" builtinId="8" hidden="1"/>
    <cellStyle name="Hyperlink" xfId="12811" builtinId="8" hidden="1"/>
    <cellStyle name="Hyperlink" xfId="12813" builtinId="8" hidden="1"/>
    <cellStyle name="Hyperlink" xfId="12815" builtinId="8" hidden="1"/>
    <cellStyle name="Hyperlink" xfId="12817" builtinId="8" hidden="1"/>
    <cellStyle name="Hyperlink" xfId="12819" builtinId="8" hidden="1"/>
    <cellStyle name="Hyperlink" xfId="12821" builtinId="8" hidden="1"/>
    <cellStyle name="Hyperlink" xfId="12823" builtinId="8" hidden="1"/>
    <cellStyle name="Hyperlink" xfId="12825" builtinId="8" hidden="1"/>
    <cellStyle name="Hyperlink" xfId="12827" builtinId="8" hidden="1"/>
    <cellStyle name="Hyperlink" xfId="12829" builtinId="8" hidden="1"/>
    <cellStyle name="Hyperlink" xfId="12831" builtinId="8" hidden="1"/>
    <cellStyle name="Hyperlink" xfId="12833" builtinId="8" hidden="1"/>
    <cellStyle name="Hyperlink" xfId="12835" builtinId="8" hidden="1"/>
    <cellStyle name="Hyperlink" xfId="12837" builtinId="8" hidden="1"/>
    <cellStyle name="Hyperlink" xfId="12839" builtinId="8" hidden="1"/>
    <cellStyle name="Hyperlink" xfId="12841" builtinId="8" hidden="1"/>
    <cellStyle name="Hyperlink" xfId="12843" builtinId="8" hidden="1"/>
    <cellStyle name="Hyperlink" xfId="12845" builtinId="8" hidden="1"/>
    <cellStyle name="Hyperlink" xfId="12847" builtinId="8" hidden="1"/>
    <cellStyle name="Hyperlink" xfId="12849" builtinId="8" hidden="1"/>
    <cellStyle name="Hyperlink" xfId="12851" builtinId="8" hidden="1"/>
    <cellStyle name="Hyperlink" xfId="12853" builtinId="8" hidden="1"/>
    <cellStyle name="Hyperlink" xfId="12855" builtinId="8" hidden="1"/>
    <cellStyle name="Hyperlink" xfId="12857" builtinId="8" hidden="1"/>
    <cellStyle name="Hyperlink" xfId="12859" builtinId="8" hidden="1"/>
    <cellStyle name="Hyperlink" xfId="12861" builtinId="8" hidden="1"/>
    <cellStyle name="Hyperlink" xfId="12863" builtinId="8" hidden="1"/>
    <cellStyle name="Hyperlink" xfId="12865" builtinId="8" hidden="1"/>
    <cellStyle name="Hyperlink" xfId="12867" builtinId="8" hidden="1"/>
    <cellStyle name="Hyperlink" xfId="12869" builtinId="8" hidden="1"/>
    <cellStyle name="Hyperlink" xfId="12871" builtinId="8" hidden="1"/>
    <cellStyle name="Hyperlink" xfId="12873" builtinId="8" hidden="1"/>
    <cellStyle name="Hyperlink" xfId="12875" builtinId="8" hidden="1"/>
    <cellStyle name="Hyperlink" xfId="12877" builtinId="8" hidden="1"/>
    <cellStyle name="Hyperlink" xfId="12879" builtinId="8" hidden="1"/>
    <cellStyle name="Hyperlink" xfId="12881" builtinId="8" hidden="1"/>
    <cellStyle name="Hyperlink" xfId="12883" builtinId="8" hidden="1"/>
    <cellStyle name="Hyperlink" xfId="12885" builtinId="8" hidden="1"/>
    <cellStyle name="Hyperlink" xfId="12887" builtinId="8" hidden="1"/>
    <cellStyle name="Hyperlink" xfId="12889" builtinId="8" hidden="1"/>
    <cellStyle name="Hyperlink" xfId="12891" builtinId="8" hidden="1"/>
    <cellStyle name="Hyperlink" xfId="12893" builtinId="8" hidden="1"/>
    <cellStyle name="Hyperlink" xfId="12895" builtinId="8" hidden="1"/>
    <cellStyle name="Hyperlink" xfId="12897" builtinId="8" hidden="1"/>
    <cellStyle name="Hyperlink" xfId="12899" builtinId="8" hidden="1"/>
    <cellStyle name="Hyperlink" xfId="12901" builtinId="8" hidden="1"/>
    <cellStyle name="Hyperlink" xfId="12903" builtinId="8" hidden="1"/>
    <cellStyle name="Hyperlink" xfId="12905" builtinId="8" hidden="1"/>
    <cellStyle name="Hyperlink" xfId="12907" builtinId="8" hidden="1"/>
    <cellStyle name="Hyperlink" xfId="12909" builtinId="8" hidden="1"/>
    <cellStyle name="Hyperlink" xfId="12911" builtinId="8" hidden="1"/>
    <cellStyle name="Hyperlink" xfId="12913" builtinId="8" hidden="1"/>
    <cellStyle name="Hyperlink" xfId="12915" builtinId="8" hidden="1"/>
    <cellStyle name="Hyperlink" xfId="12917" builtinId="8" hidden="1"/>
    <cellStyle name="Hyperlink" xfId="12919" builtinId="8" hidden="1"/>
    <cellStyle name="Hyperlink" xfId="12921" builtinId="8" hidden="1"/>
    <cellStyle name="Hyperlink" xfId="12923" builtinId="8" hidden="1"/>
    <cellStyle name="Hyperlink" xfId="12925" builtinId="8" hidden="1"/>
    <cellStyle name="Hyperlink" xfId="12927" builtinId="8" hidden="1"/>
    <cellStyle name="Hyperlink" xfId="12929" builtinId="8" hidden="1"/>
    <cellStyle name="Hyperlink" xfId="12931" builtinId="8" hidden="1"/>
    <cellStyle name="Hyperlink" xfId="12933" builtinId="8" hidden="1"/>
    <cellStyle name="Hyperlink" xfId="12935" builtinId="8" hidden="1"/>
    <cellStyle name="Hyperlink" xfId="12937" builtinId="8" hidden="1"/>
    <cellStyle name="Hyperlink" xfId="12939" builtinId="8" hidden="1"/>
    <cellStyle name="Hyperlink" xfId="12941" builtinId="8" hidden="1"/>
    <cellStyle name="Hyperlink" xfId="12943" builtinId="8" hidden="1"/>
    <cellStyle name="Hyperlink" xfId="12945" builtinId="8" hidden="1"/>
    <cellStyle name="Hyperlink" xfId="12947" builtinId="8" hidden="1"/>
    <cellStyle name="Hyperlink" xfId="12949" builtinId="8" hidden="1"/>
    <cellStyle name="Hyperlink" xfId="12951" builtinId="8" hidden="1"/>
    <cellStyle name="Hyperlink" xfId="12953" builtinId="8" hidden="1"/>
    <cellStyle name="Hyperlink" xfId="12955" builtinId="8" hidden="1"/>
    <cellStyle name="Hyperlink" xfId="12957" builtinId="8" hidden="1"/>
    <cellStyle name="Hyperlink" xfId="12959" builtinId="8" hidden="1"/>
    <cellStyle name="Hyperlink" xfId="12961" builtinId="8" hidden="1"/>
    <cellStyle name="Hyperlink" xfId="12963" builtinId="8" hidden="1"/>
    <cellStyle name="Hyperlink" xfId="12965" builtinId="8" hidden="1"/>
    <cellStyle name="Hyperlink" xfId="12967" builtinId="8" hidden="1"/>
    <cellStyle name="Hyperlink" xfId="12969" builtinId="8" hidden="1"/>
    <cellStyle name="Hyperlink" xfId="12971" builtinId="8" hidden="1"/>
    <cellStyle name="Hyperlink" xfId="12973" builtinId="8" hidden="1"/>
    <cellStyle name="Hyperlink" xfId="12975" builtinId="8" hidden="1"/>
    <cellStyle name="Hyperlink" xfId="12977" builtinId="8" hidden="1"/>
    <cellStyle name="Hyperlink" xfId="12979" builtinId="8" hidden="1"/>
    <cellStyle name="Hyperlink" xfId="12981" builtinId="8" hidden="1"/>
    <cellStyle name="Hyperlink" xfId="12983" builtinId="8" hidden="1"/>
    <cellStyle name="Hyperlink" xfId="12985" builtinId="8" hidden="1"/>
    <cellStyle name="Hyperlink" xfId="12987" builtinId="8" hidden="1"/>
    <cellStyle name="Hyperlink" xfId="12989" builtinId="8" hidden="1"/>
    <cellStyle name="Hyperlink" xfId="12991" builtinId="8" hidden="1"/>
    <cellStyle name="Hyperlink" xfId="12993" builtinId="8" hidden="1"/>
    <cellStyle name="Hyperlink" xfId="12995" builtinId="8" hidden="1"/>
    <cellStyle name="Hyperlink" xfId="12997" builtinId="8" hidden="1"/>
    <cellStyle name="Hyperlink" xfId="12999" builtinId="8" hidden="1"/>
    <cellStyle name="Hyperlink" xfId="13001" builtinId="8" hidden="1"/>
    <cellStyle name="Hyperlink" xfId="13003" builtinId="8" hidden="1"/>
    <cellStyle name="Hyperlink" xfId="13005" builtinId="8" hidden="1"/>
    <cellStyle name="Hyperlink" xfId="13007" builtinId="8" hidden="1"/>
    <cellStyle name="Hyperlink" xfId="13009" builtinId="8" hidden="1"/>
    <cellStyle name="Hyperlink" xfId="13011" builtinId="8" hidden="1"/>
    <cellStyle name="Hyperlink" xfId="13013" builtinId="8" hidden="1"/>
    <cellStyle name="Hyperlink" xfId="13015" builtinId="8" hidden="1"/>
    <cellStyle name="Hyperlink" xfId="13017" builtinId="8" hidden="1"/>
    <cellStyle name="Hyperlink" xfId="13019" builtinId="8" hidden="1"/>
    <cellStyle name="Hyperlink" xfId="13021" builtinId="8" hidden="1"/>
    <cellStyle name="Hyperlink" xfId="13023" builtinId="8" hidden="1"/>
    <cellStyle name="Hyperlink" xfId="13025" builtinId="8" hidden="1"/>
    <cellStyle name="Hyperlink" xfId="13027" builtinId="8" hidden="1"/>
    <cellStyle name="Hyperlink" xfId="13029" builtinId="8" hidden="1"/>
    <cellStyle name="Hyperlink" xfId="13031" builtinId="8" hidden="1"/>
    <cellStyle name="Hyperlink" xfId="13033" builtinId="8" hidden="1"/>
    <cellStyle name="Hyperlink" xfId="13035" builtinId="8" hidden="1"/>
    <cellStyle name="Hyperlink" xfId="13037" builtinId="8" hidden="1"/>
    <cellStyle name="Hyperlink" xfId="13039" builtinId="8" hidden="1"/>
    <cellStyle name="Hyperlink" xfId="13041" builtinId="8" hidden="1"/>
    <cellStyle name="Hyperlink" xfId="13043" builtinId="8" hidden="1"/>
    <cellStyle name="Hyperlink" xfId="13045" builtinId="8" hidden="1"/>
    <cellStyle name="Hyperlink" xfId="13047" builtinId="8" hidden="1"/>
    <cellStyle name="Hyperlink" xfId="13049" builtinId="8" hidden="1"/>
    <cellStyle name="Hyperlink" xfId="13051" builtinId="8" hidden="1"/>
    <cellStyle name="Hyperlink" xfId="13053" builtinId="8" hidden="1"/>
    <cellStyle name="Hyperlink" xfId="13055" builtinId="8" hidden="1"/>
    <cellStyle name="Hyperlink" xfId="13057" builtinId="8" hidden="1"/>
    <cellStyle name="Hyperlink" xfId="13059" builtinId="8" hidden="1"/>
    <cellStyle name="Hyperlink" xfId="13061" builtinId="8" hidden="1"/>
    <cellStyle name="Hyperlink" xfId="13063" builtinId="8" hidden="1"/>
    <cellStyle name="Hyperlink" xfId="13065" builtinId="8" hidden="1"/>
    <cellStyle name="Hyperlink" xfId="13067" builtinId="8" hidden="1"/>
    <cellStyle name="Hyperlink" xfId="13069" builtinId="8" hidden="1"/>
    <cellStyle name="Hyperlink" xfId="13071" builtinId="8" hidden="1"/>
    <cellStyle name="Hyperlink" xfId="13073" builtinId="8" hidden="1"/>
    <cellStyle name="Hyperlink" xfId="13075" builtinId="8" hidden="1"/>
    <cellStyle name="Hyperlink" xfId="13077" builtinId="8" hidden="1"/>
    <cellStyle name="Hyperlink" xfId="13079" builtinId="8" hidden="1"/>
    <cellStyle name="Hyperlink" xfId="13081" builtinId="8" hidden="1"/>
    <cellStyle name="Hyperlink" xfId="13083" builtinId="8" hidden="1"/>
    <cellStyle name="Hyperlink" xfId="13085" builtinId="8" hidden="1"/>
    <cellStyle name="Hyperlink" xfId="13087" builtinId="8" hidden="1"/>
    <cellStyle name="Hyperlink" xfId="13089" builtinId="8" hidden="1"/>
    <cellStyle name="Hyperlink" xfId="13091" builtinId="8" hidden="1"/>
    <cellStyle name="Hyperlink" xfId="13093" builtinId="8" hidden="1"/>
    <cellStyle name="Hyperlink" xfId="13095" builtinId="8" hidden="1"/>
    <cellStyle name="Hyperlink" xfId="13097" builtinId="8" hidden="1"/>
    <cellStyle name="Hyperlink" xfId="13099" builtinId="8" hidden="1"/>
    <cellStyle name="Hyperlink" xfId="13101" builtinId="8" hidden="1"/>
    <cellStyle name="Hyperlink" xfId="13103" builtinId="8" hidden="1"/>
    <cellStyle name="Hyperlink" xfId="13105" builtinId="8" hidden="1"/>
    <cellStyle name="Hyperlink" xfId="13107" builtinId="8" hidden="1"/>
    <cellStyle name="Hyperlink" xfId="13109" builtinId="8" hidden="1"/>
    <cellStyle name="Hyperlink" xfId="13111" builtinId="8" hidden="1"/>
    <cellStyle name="Hyperlink" xfId="13113" builtinId="8" hidden="1"/>
    <cellStyle name="Hyperlink" xfId="13115" builtinId="8" hidden="1"/>
    <cellStyle name="Hyperlink" xfId="13117" builtinId="8" hidden="1"/>
    <cellStyle name="Hyperlink" xfId="13119" builtinId="8" hidden="1"/>
    <cellStyle name="Hyperlink" xfId="13121" builtinId="8" hidden="1"/>
    <cellStyle name="Hyperlink" xfId="13123" builtinId="8" hidden="1"/>
    <cellStyle name="Hyperlink" xfId="13125" builtinId="8" hidden="1"/>
    <cellStyle name="Hyperlink" xfId="13127" builtinId="8" hidden="1"/>
    <cellStyle name="Hyperlink" xfId="13129" builtinId="8" hidden="1"/>
    <cellStyle name="Hyperlink" xfId="13131" builtinId="8" hidden="1"/>
    <cellStyle name="Hyperlink" xfId="13133" builtinId="8" hidden="1"/>
    <cellStyle name="Hyperlink" xfId="13135" builtinId="8" hidden="1"/>
    <cellStyle name="Hyperlink" xfId="13137" builtinId="8" hidden="1"/>
    <cellStyle name="Hyperlink" xfId="13139" builtinId="8" hidden="1"/>
    <cellStyle name="Hyperlink" xfId="13141" builtinId="8" hidden="1"/>
    <cellStyle name="Hyperlink" xfId="13143" builtinId="8" hidden="1"/>
    <cellStyle name="Hyperlink" xfId="13145" builtinId="8" hidden="1"/>
    <cellStyle name="Hyperlink" xfId="13147" builtinId="8" hidden="1"/>
    <cellStyle name="Hyperlink" xfId="13149" builtinId="8" hidden="1"/>
    <cellStyle name="Hyperlink" xfId="13151" builtinId="8" hidden="1"/>
    <cellStyle name="Hyperlink" xfId="13153" builtinId="8" hidden="1"/>
    <cellStyle name="Hyperlink" xfId="13155" builtinId="8" hidden="1"/>
    <cellStyle name="Hyperlink" xfId="13157" builtinId="8" hidden="1"/>
    <cellStyle name="Hyperlink" xfId="13159" builtinId="8" hidden="1"/>
    <cellStyle name="Hyperlink" xfId="13161" builtinId="8" hidden="1"/>
    <cellStyle name="Hyperlink" xfId="13163" builtinId="8" hidden="1"/>
    <cellStyle name="Hyperlink" xfId="13165" builtinId="8" hidden="1"/>
    <cellStyle name="Hyperlink" xfId="13167" builtinId="8" hidden="1"/>
    <cellStyle name="Hyperlink" xfId="13169" builtinId="8" hidden="1"/>
    <cellStyle name="Hyperlink" xfId="13171" builtinId="8" hidden="1"/>
    <cellStyle name="Hyperlink" xfId="13173" builtinId="8" hidden="1"/>
    <cellStyle name="Hyperlink" xfId="13175" builtinId="8" hidden="1"/>
    <cellStyle name="Hyperlink" xfId="13177" builtinId="8" hidden="1"/>
    <cellStyle name="Hyperlink" xfId="13179" builtinId="8" hidden="1"/>
    <cellStyle name="Hyperlink" xfId="13181" builtinId="8" hidden="1"/>
    <cellStyle name="Hyperlink" xfId="13183" builtinId="8" hidden="1"/>
    <cellStyle name="Hyperlink" xfId="13185" builtinId="8" hidden="1"/>
    <cellStyle name="Hyperlink" xfId="13187" builtinId="8" hidden="1"/>
    <cellStyle name="Hyperlink" xfId="13189" builtinId="8" hidden="1"/>
    <cellStyle name="Hyperlink" xfId="13191" builtinId="8" hidden="1"/>
    <cellStyle name="Hyperlink" xfId="13193" builtinId="8" hidden="1"/>
    <cellStyle name="Hyperlink" xfId="13195" builtinId="8" hidden="1"/>
    <cellStyle name="Hyperlink" xfId="13197" builtinId="8" hidden="1"/>
    <cellStyle name="Hyperlink" xfId="13199" builtinId="8" hidden="1"/>
    <cellStyle name="Hyperlink" xfId="13201" builtinId="8" hidden="1"/>
    <cellStyle name="Hyperlink" xfId="13203" builtinId="8" hidden="1"/>
    <cellStyle name="Hyperlink" xfId="13205" builtinId="8" hidden="1"/>
    <cellStyle name="Hyperlink" xfId="13207" builtinId="8" hidden="1"/>
    <cellStyle name="Hyperlink" xfId="13209" builtinId="8" hidden="1"/>
    <cellStyle name="Hyperlink" xfId="13211" builtinId="8" hidden="1"/>
    <cellStyle name="Hyperlink" xfId="13213" builtinId="8" hidden="1"/>
    <cellStyle name="Hyperlink" xfId="13215" builtinId="8" hidden="1"/>
    <cellStyle name="Hyperlink" xfId="13217" builtinId="8" hidden="1"/>
    <cellStyle name="Hyperlink" xfId="13219" builtinId="8" hidden="1"/>
    <cellStyle name="Hyperlink" xfId="13221" builtinId="8" hidden="1"/>
    <cellStyle name="Hyperlink" xfId="13223" builtinId="8" hidden="1"/>
    <cellStyle name="Hyperlink" xfId="13225" builtinId="8" hidden="1"/>
    <cellStyle name="Hyperlink" xfId="13227" builtinId="8" hidden="1"/>
    <cellStyle name="Hyperlink" xfId="13229" builtinId="8" hidden="1"/>
    <cellStyle name="Hyperlink" xfId="13231" builtinId="8" hidden="1"/>
    <cellStyle name="Hyperlink" xfId="13233" builtinId="8" hidden="1"/>
    <cellStyle name="Hyperlink" xfId="13235" builtinId="8" hidden="1"/>
    <cellStyle name="Hyperlink" xfId="13237" builtinId="8" hidden="1"/>
    <cellStyle name="Hyperlink" xfId="13239" builtinId="8" hidden="1"/>
    <cellStyle name="Hyperlink" xfId="13241" builtinId="8" hidden="1"/>
    <cellStyle name="Hyperlink" xfId="13243" builtinId="8" hidden="1"/>
    <cellStyle name="Hyperlink" xfId="13245" builtinId="8" hidden="1"/>
    <cellStyle name="Hyperlink" xfId="13247" builtinId="8" hidden="1"/>
    <cellStyle name="Hyperlink" xfId="13249" builtinId="8" hidden="1"/>
    <cellStyle name="Hyperlink" xfId="13251" builtinId="8" hidden="1"/>
    <cellStyle name="Hyperlink" xfId="13253" builtinId="8" hidden="1"/>
    <cellStyle name="Hyperlink" xfId="13255" builtinId="8" hidden="1"/>
    <cellStyle name="Hyperlink" xfId="13257" builtinId="8" hidden="1"/>
    <cellStyle name="Hyperlink" xfId="13259" builtinId="8" hidden="1"/>
    <cellStyle name="Hyperlink" xfId="13261" builtinId="8" hidden="1"/>
    <cellStyle name="Hyperlink" xfId="13263" builtinId="8" hidden="1"/>
    <cellStyle name="Hyperlink" xfId="13265" builtinId="8" hidden="1"/>
    <cellStyle name="Hyperlink" xfId="13267" builtinId="8" hidden="1"/>
    <cellStyle name="Hyperlink" xfId="13269" builtinId="8" hidden="1"/>
    <cellStyle name="Hyperlink" xfId="13271" builtinId="8" hidden="1"/>
    <cellStyle name="Hyperlink" xfId="13273" builtinId="8" hidden="1"/>
    <cellStyle name="Hyperlink" xfId="13275" builtinId="8" hidden="1"/>
    <cellStyle name="Hyperlink" xfId="13277" builtinId="8" hidden="1"/>
    <cellStyle name="Hyperlink" xfId="13279" builtinId="8" hidden="1"/>
    <cellStyle name="Hyperlink" xfId="13281" builtinId="8" hidden="1"/>
    <cellStyle name="Hyperlink" xfId="13283" builtinId="8" hidden="1"/>
    <cellStyle name="Hyperlink" xfId="13285" builtinId="8" hidden="1"/>
    <cellStyle name="Hyperlink" xfId="13287" builtinId="8" hidden="1"/>
    <cellStyle name="Hyperlink" xfId="13289" builtinId="8" hidden="1"/>
    <cellStyle name="Hyperlink" xfId="13291" builtinId="8" hidden="1"/>
    <cellStyle name="Hyperlink" xfId="13293" builtinId="8" hidden="1"/>
    <cellStyle name="Hyperlink" xfId="13295" builtinId="8" hidden="1"/>
    <cellStyle name="Hyperlink" xfId="13297" builtinId="8" hidden="1"/>
    <cellStyle name="Hyperlink" xfId="13299" builtinId="8" hidden="1"/>
    <cellStyle name="Hyperlink" xfId="13301" builtinId="8" hidden="1"/>
    <cellStyle name="Hyperlink" xfId="13303" builtinId="8" hidden="1"/>
    <cellStyle name="Hyperlink" xfId="13305" builtinId="8" hidden="1"/>
    <cellStyle name="Hyperlink" xfId="13307" builtinId="8" hidden="1"/>
    <cellStyle name="Hyperlink" xfId="13309" builtinId="8" hidden="1"/>
    <cellStyle name="Hyperlink" xfId="13311" builtinId="8" hidden="1"/>
    <cellStyle name="Hyperlink" xfId="13313" builtinId="8" hidden="1"/>
    <cellStyle name="Hyperlink" xfId="13315" builtinId="8" hidden="1"/>
    <cellStyle name="Hyperlink" xfId="13317" builtinId="8" hidden="1"/>
    <cellStyle name="Hyperlink" xfId="13319" builtinId="8" hidden="1"/>
    <cellStyle name="Hyperlink" xfId="13321" builtinId="8" hidden="1"/>
    <cellStyle name="Hyperlink" xfId="13323" builtinId="8" hidden="1"/>
    <cellStyle name="Hyperlink" xfId="13325" builtinId="8" hidden="1"/>
    <cellStyle name="Hyperlink" xfId="13327" builtinId="8" hidden="1"/>
    <cellStyle name="Hyperlink" xfId="13329" builtinId="8" hidden="1"/>
    <cellStyle name="Hyperlink" xfId="13331" builtinId="8" hidden="1"/>
    <cellStyle name="Hyperlink" xfId="13333" builtinId="8" hidden="1"/>
    <cellStyle name="Hyperlink" xfId="13335" builtinId="8" hidden="1"/>
    <cellStyle name="Hyperlink" xfId="13337" builtinId="8" hidden="1"/>
    <cellStyle name="Hyperlink" xfId="13339" builtinId="8" hidden="1"/>
    <cellStyle name="Hyperlink" xfId="13341" builtinId="8" hidden="1"/>
    <cellStyle name="Hyperlink" xfId="13343" builtinId="8" hidden="1"/>
    <cellStyle name="Hyperlink" xfId="13345" builtinId="8" hidden="1"/>
    <cellStyle name="Hyperlink" xfId="13347" builtinId="8" hidden="1"/>
    <cellStyle name="Hyperlink" xfId="13349" builtinId="8" hidden="1"/>
    <cellStyle name="Hyperlink" xfId="13351" builtinId="8" hidden="1"/>
    <cellStyle name="Hyperlink" xfId="13353" builtinId="8" hidden="1"/>
    <cellStyle name="Hyperlink" xfId="13355" builtinId="8" hidden="1"/>
    <cellStyle name="Hyperlink" xfId="13357" builtinId="8" hidden="1"/>
    <cellStyle name="Hyperlink" xfId="13359" builtinId="8" hidden="1"/>
    <cellStyle name="Hyperlink" xfId="13361" builtinId="8" hidden="1"/>
    <cellStyle name="Hyperlink" xfId="13363" builtinId="8" hidden="1"/>
    <cellStyle name="Hyperlink" xfId="13365" builtinId="8" hidden="1"/>
    <cellStyle name="Hyperlink" xfId="13367" builtinId="8" hidden="1"/>
    <cellStyle name="Hyperlink" xfId="13369" builtinId="8" hidden="1"/>
    <cellStyle name="Hyperlink" xfId="13371" builtinId="8" hidden="1"/>
    <cellStyle name="Hyperlink" xfId="13373" builtinId="8" hidden="1"/>
    <cellStyle name="Hyperlink" xfId="13375" builtinId="8" hidden="1"/>
    <cellStyle name="Hyperlink" xfId="13377" builtinId="8" hidden="1"/>
    <cellStyle name="Hyperlink" xfId="13379" builtinId="8" hidden="1"/>
    <cellStyle name="Hyperlink" xfId="13381" builtinId="8" hidden="1"/>
    <cellStyle name="Hyperlink" xfId="13383" builtinId="8" hidden="1"/>
    <cellStyle name="Hyperlink" xfId="13385" builtinId="8" hidden="1"/>
    <cellStyle name="Hyperlink" xfId="13387" builtinId="8" hidden="1"/>
    <cellStyle name="Hyperlink" xfId="13389" builtinId="8" hidden="1"/>
    <cellStyle name="Hyperlink" xfId="13391" builtinId="8" hidden="1"/>
    <cellStyle name="Hyperlink" xfId="13393" builtinId="8" hidden="1"/>
    <cellStyle name="Hyperlink" xfId="13395" builtinId="8" hidden="1"/>
    <cellStyle name="Hyperlink" xfId="13397" builtinId="8" hidden="1"/>
    <cellStyle name="Hyperlink" xfId="13399" builtinId="8" hidden="1"/>
    <cellStyle name="Hyperlink" xfId="13401" builtinId="8" hidden="1"/>
    <cellStyle name="Hyperlink" xfId="13403" builtinId="8" hidden="1"/>
    <cellStyle name="Hyperlink" xfId="13405" builtinId="8" hidden="1"/>
    <cellStyle name="Hyperlink" xfId="13407" builtinId="8" hidden="1"/>
    <cellStyle name="Hyperlink" xfId="13409" builtinId="8" hidden="1"/>
    <cellStyle name="Hyperlink" xfId="13411" builtinId="8" hidden="1"/>
    <cellStyle name="Hyperlink" xfId="13413" builtinId="8" hidden="1"/>
    <cellStyle name="Hyperlink" xfId="13415" builtinId="8" hidden="1"/>
    <cellStyle name="Hyperlink" xfId="13417" builtinId="8" hidden="1"/>
    <cellStyle name="Hyperlink" xfId="13419" builtinId="8" hidden="1"/>
    <cellStyle name="Hyperlink" xfId="13421" builtinId="8" hidden="1"/>
    <cellStyle name="Hyperlink" xfId="13423" builtinId="8" hidden="1"/>
    <cellStyle name="Hyperlink" xfId="13425" builtinId="8" hidden="1"/>
    <cellStyle name="Hyperlink" xfId="13427" builtinId="8" hidden="1"/>
    <cellStyle name="Hyperlink" xfId="13429" builtinId="8" hidden="1"/>
    <cellStyle name="Hyperlink" xfId="13431" builtinId="8" hidden="1"/>
    <cellStyle name="Hyperlink" xfId="13433" builtinId="8" hidden="1"/>
    <cellStyle name="Hyperlink" xfId="13435" builtinId="8" hidden="1"/>
    <cellStyle name="Hyperlink" xfId="13437" builtinId="8" hidden="1"/>
    <cellStyle name="Hyperlink" xfId="13439" builtinId="8" hidden="1"/>
    <cellStyle name="Hyperlink" xfId="13441" builtinId="8" hidden="1"/>
    <cellStyle name="Hyperlink" xfId="13443" builtinId="8" hidden="1"/>
    <cellStyle name="Hyperlink" xfId="13445" builtinId="8" hidden="1"/>
    <cellStyle name="Hyperlink" xfId="13447" builtinId="8" hidden="1"/>
    <cellStyle name="Hyperlink" xfId="13449" builtinId="8" hidden="1"/>
    <cellStyle name="Hyperlink" xfId="13451" builtinId="8" hidden="1"/>
    <cellStyle name="Hyperlink" xfId="13453" builtinId="8" hidden="1"/>
    <cellStyle name="Hyperlink" xfId="13455" builtinId="8" hidden="1"/>
    <cellStyle name="Hyperlink" xfId="13457" builtinId="8" hidden="1"/>
    <cellStyle name="Hyperlink" xfId="13459" builtinId="8" hidden="1"/>
    <cellStyle name="Hyperlink" xfId="13461" builtinId="8" hidden="1"/>
    <cellStyle name="Hyperlink" xfId="13463" builtinId="8" hidden="1"/>
    <cellStyle name="Hyperlink" xfId="13465" builtinId="8" hidden="1"/>
    <cellStyle name="Hyperlink" xfId="13467" builtinId="8" hidden="1"/>
    <cellStyle name="Hyperlink" xfId="13469" builtinId="8" hidden="1"/>
    <cellStyle name="Hyperlink" xfId="13471" builtinId="8" hidden="1"/>
    <cellStyle name="Hyperlink" xfId="13473" builtinId="8" hidden="1"/>
    <cellStyle name="Hyperlink" xfId="13475" builtinId="8" hidden="1"/>
    <cellStyle name="Hyperlink" xfId="13477" builtinId="8" hidden="1"/>
    <cellStyle name="Hyperlink" xfId="13479" builtinId="8" hidden="1"/>
    <cellStyle name="Hyperlink" xfId="13481" builtinId="8" hidden="1"/>
    <cellStyle name="Hyperlink" xfId="13483" builtinId="8" hidden="1"/>
    <cellStyle name="Hyperlink" xfId="13485" builtinId="8" hidden="1"/>
    <cellStyle name="Hyperlink" xfId="13487" builtinId="8" hidden="1"/>
    <cellStyle name="Hyperlink" xfId="13489" builtinId="8" hidden="1"/>
    <cellStyle name="Hyperlink" xfId="13491" builtinId="8" hidden="1"/>
    <cellStyle name="Hyperlink" xfId="13493" builtinId="8" hidden="1"/>
    <cellStyle name="Hyperlink" xfId="13495" builtinId="8" hidden="1"/>
    <cellStyle name="Hyperlink" xfId="13497" builtinId="8" hidden="1"/>
    <cellStyle name="Hyperlink" xfId="13499" builtinId="8" hidden="1"/>
    <cellStyle name="Hyperlink" xfId="13501" builtinId="8" hidden="1"/>
    <cellStyle name="Hyperlink" xfId="13503" builtinId="8" hidden="1"/>
    <cellStyle name="Hyperlink" xfId="13505" builtinId="8" hidden="1"/>
    <cellStyle name="Hyperlink" xfId="13507" builtinId="8" hidden="1"/>
    <cellStyle name="Hyperlink" xfId="13509" builtinId="8" hidden="1"/>
    <cellStyle name="Hyperlink" xfId="13511" builtinId="8" hidden="1"/>
    <cellStyle name="Hyperlink" xfId="13513" builtinId="8" hidden="1"/>
    <cellStyle name="Hyperlink" xfId="13515" builtinId="8" hidden="1"/>
    <cellStyle name="Hyperlink" xfId="13517" builtinId="8" hidden="1"/>
    <cellStyle name="Hyperlink" xfId="13519" builtinId="8" hidden="1"/>
    <cellStyle name="Hyperlink" xfId="13521" builtinId="8" hidden="1"/>
    <cellStyle name="Hyperlink" xfId="13523" builtinId="8" hidden="1"/>
    <cellStyle name="Hyperlink" xfId="13525" builtinId="8" hidden="1"/>
    <cellStyle name="Hyperlink" xfId="13527" builtinId="8" hidden="1"/>
    <cellStyle name="Hyperlink" xfId="13529" builtinId="8" hidden="1"/>
    <cellStyle name="Hyperlink" xfId="13531" builtinId="8" hidden="1"/>
    <cellStyle name="Hyperlink" xfId="13533" builtinId="8" hidden="1"/>
    <cellStyle name="Hyperlink" xfId="13535" builtinId="8" hidden="1"/>
    <cellStyle name="Hyperlink" xfId="13537" builtinId="8" hidden="1"/>
    <cellStyle name="Hyperlink" xfId="13539" builtinId="8" hidden="1"/>
    <cellStyle name="Hyperlink" xfId="13541" builtinId="8" hidden="1"/>
    <cellStyle name="Hyperlink" xfId="13543" builtinId="8" hidden="1"/>
    <cellStyle name="Hyperlink" xfId="13545" builtinId="8" hidden="1"/>
    <cellStyle name="Hyperlink" xfId="13547" builtinId="8" hidden="1"/>
    <cellStyle name="Hyperlink" xfId="13549" builtinId="8" hidden="1"/>
    <cellStyle name="Hyperlink" xfId="13551" builtinId="8" hidden="1"/>
    <cellStyle name="Hyperlink" xfId="13553" builtinId="8" hidden="1"/>
    <cellStyle name="Hyperlink" xfId="13555" builtinId="8" hidden="1"/>
    <cellStyle name="Hyperlink" xfId="13557" builtinId="8" hidden="1"/>
    <cellStyle name="Hyperlink" xfId="13559" builtinId="8" hidden="1"/>
    <cellStyle name="Hyperlink" xfId="13561" builtinId="8" hidden="1"/>
    <cellStyle name="Hyperlink" xfId="13563" builtinId="8" hidden="1"/>
    <cellStyle name="Hyperlink" xfId="13565" builtinId="8" hidden="1"/>
    <cellStyle name="Hyperlink" xfId="13567" builtinId="8" hidden="1"/>
    <cellStyle name="Hyperlink" xfId="13569" builtinId="8" hidden="1"/>
    <cellStyle name="Hyperlink" xfId="13571" builtinId="8" hidden="1"/>
    <cellStyle name="Hyperlink" xfId="13573" builtinId="8" hidden="1"/>
    <cellStyle name="Hyperlink" xfId="13575" builtinId="8" hidden="1"/>
    <cellStyle name="Hyperlink" xfId="13577" builtinId="8" hidden="1"/>
    <cellStyle name="Hyperlink" xfId="13579" builtinId="8" hidden="1"/>
    <cellStyle name="Hyperlink" xfId="13581" builtinId="8" hidden="1"/>
    <cellStyle name="Hyperlink" xfId="13583" builtinId="8" hidden="1"/>
    <cellStyle name="Hyperlink" xfId="13585" builtinId="8" hidden="1"/>
    <cellStyle name="Hyperlink" xfId="13587" builtinId="8" hidden="1"/>
    <cellStyle name="Hyperlink" xfId="13589" builtinId="8" hidden="1"/>
    <cellStyle name="Hyperlink" xfId="13591" builtinId="8" hidden="1"/>
    <cellStyle name="Hyperlink" xfId="13593" builtinId="8" hidden="1"/>
    <cellStyle name="Hyperlink" xfId="13595" builtinId="8" hidden="1"/>
    <cellStyle name="Hyperlink" xfId="13597" builtinId="8" hidden="1"/>
    <cellStyle name="Hyperlink" xfId="13599" builtinId="8" hidden="1"/>
    <cellStyle name="Hyperlink" xfId="13601" builtinId="8" hidden="1"/>
    <cellStyle name="Hyperlink" xfId="13603" builtinId="8" hidden="1"/>
    <cellStyle name="Hyperlink" xfId="13605" builtinId="8" hidden="1"/>
    <cellStyle name="Hyperlink" xfId="13607" builtinId="8" hidden="1"/>
    <cellStyle name="Hyperlink" xfId="13609" builtinId="8" hidden="1"/>
    <cellStyle name="Hyperlink" xfId="13611" builtinId="8" hidden="1"/>
    <cellStyle name="Hyperlink" xfId="13613" builtinId="8" hidden="1"/>
    <cellStyle name="Hyperlink" xfId="13615" builtinId="8" hidden="1"/>
    <cellStyle name="Hyperlink" xfId="13617" builtinId="8" hidden="1"/>
    <cellStyle name="Hyperlink" xfId="13619" builtinId="8" hidden="1"/>
    <cellStyle name="Hyperlink" xfId="13621" builtinId="8" hidden="1"/>
    <cellStyle name="Hyperlink" xfId="13623" builtinId="8" hidden="1"/>
    <cellStyle name="Hyperlink" xfId="13625" builtinId="8" hidden="1"/>
    <cellStyle name="Hyperlink" xfId="13627" builtinId="8" hidden="1"/>
    <cellStyle name="Hyperlink" xfId="13629" builtinId="8" hidden="1"/>
    <cellStyle name="Hyperlink" xfId="13631" builtinId="8" hidden="1"/>
    <cellStyle name="Hyperlink" xfId="13633" builtinId="8" hidden="1"/>
    <cellStyle name="Hyperlink" xfId="13635" builtinId="8" hidden="1"/>
    <cellStyle name="Hyperlink" xfId="13637" builtinId="8" hidden="1"/>
    <cellStyle name="Hyperlink" xfId="13639" builtinId="8" hidden="1"/>
    <cellStyle name="Hyperlink" xfId="13641" builtinId="8" hidden="1"/>
    <cellStyle name="Hyperlink" xfId="13643" builtinId="8" hidden="1"/>
    <cellStyle name="Hyperlink" xfId="13645" builtinId="8" hidden="1"/>
    <cellStyle name="Hyperlink" xfId="13647" builtinId="8" hidden="1"/>
    <cellStyle name="Hyperlink" xfId="13649" builtinId="8" hidden="1"/>
    <cellStyle name="Hyperlink" xfId="13651" builtinId="8" hidden="1"/>
    <cellStyle name="Hyperlink" xfId="13653" builtinId="8" hidden="1"/>
    <cellStyle name="Hyperlink" xfId="13655" builtinId="8" hidden="1"/>
    <cellStyle name="Hyperlink" xfId="13657" builtinId="8" hidden="1"/>
    <cellStyle name="Hyperlink" xfId="13659" builtinId="8" hidden="1"/>
    <cellStyle name="Hyperlink" xfId="13661" builtinId="8" hidden="1"/>
    <cellStyle name="Hyperlink" xfId="13663" builtinId="8" hidden="1"/>
    <cellStyle name="Hyperlink" xfId="13665" builtinId="8" hidden="1"/>
    <cellStyle name="Hyperlink" xfId="13667" builtinId="8" hidden="1"/>
    <cellStyle name="Hyperlink" xfId="13669" builtinId="8" hidden="1"/>
    <cellStyle name="Hyperlink" xfId="13671" builtinId="8" hidden="1"/>
    <cellStyle name="Hyperlink" xfId="13673" builtinId="8" hidden="1"/>
    <cellStyle name="Hyperlink" xfId="13675" builtinId="8" hidden="1"/>
    <cellStyle name="Hyperlink" xfId="13677" builtinId="8" hidden="1"/>
    <cellStyle name="Hyperlink" xfId="13679" builtinId="8" hidden="1"/>
    <cellStyle name="Hyperlink" xfId="13681" builtinId="8" hidden="1"/>
    <cellStyle name="Hyperlink" xfId="13683" builtinId="8" hidden="1"/>
    <cellStyle name="Hyperlink" xfId="13685" builtinId="8" hidden="1"/>
    <cellStyle name="Hyperlink" xfId="13687" builtinId="8" hidden="1"/>
    <cellStyle name="Hyperlink" xfId="13689" builtinId="8" hidden="1"/>
    <cellStyle name="Hyperlink" xfId="13691" builtinId="8" hidden="1"/>
    <cellStyle name="Hyperlink" xfId="13693" builtinId="8" hidden="1"/>
    <cellStyle name="Hyperlink" xfId="13695" builtinId="8" hidden="1"/>
    <cellStyle name="Hyperlink" xfId="13697" builtinId="8" hidden="1"/>
    <cellStyle name="Hyperlink" xfId="13699" builtinId="8" hidden="1"/>
    <cellStyle name="Hyperlink" xfId="13701" builtinId="8" hidden="1"/>
    <cellStyle name="Hyperlink" xfId="13703" builtinId="8" hidden="1"/>
    <cellStyle name="Hyperlink" xfId="13705" builtinId="8" hidden="1"/>
    <cellStyle name="Hyperlink" xfId="13707" builtinId="8" hidden="1"/>
    <cellStyle name="Hyperlink" xfId="13709" builtinId="8" hidden="1"/>
    <cellStyle name="Hyperlink" xfId="13711" builtinId="8" hidden="1"/>
    <cellStyle name="Hyperlink" xfId="13713" builtinId="8" hidden="1"/>
    <cellStyle name="Hyperlink" xfId="13715" builtinId="8" hidden="1"/>
    <cellStyle name="Hyperlink" xfId="13717" builtinId="8" hidden="1"/>
    <cellStyle name="Hyperlink" xfId="13719" builtinId="8" hidden="1"/>
    <cellStyle name="Hyperlink" xfId="13721" builtinId="8" hidden="1"/>
    <cellStyle name="Hyperlink" xfId="13723" builtinId="8" hidden="1"/>
    <cellStyle name="Hyperlink" xfId="13725" builtinId="8" hidden="1"/>
    <cellStyle name="Hyperlink" xfId="13727" builtinId="8" hidden="1"/>
    <cellStyle name="Hyperlink" xfId="13729" builtinId="8" hidden="1"/>
    <cellStyle name="Hyperlink" xfId="13731" builtinId="8" hidden="1"/>
    <cellStyle name="Hyperlink" xfId="13733" builtinId="8" hidden="1"/>
    <cellStyle name="Hyperlink" xfId="13735" builtinId="8" hidden="1"/>
    <cellStyle name="Hyperlink" xfId="13737" builtinId="8" hidden="1"/>
    <cellStyle name="Hyperlink" xfId="13739" builtinId="8" hidden="1"/>
    <cellStyle name="Hyperlink" xfId="13741" builtinId="8" hidden="1"/>
    <cellStyle name="Hyperlink" xfId="13743" builtinId="8" hidden="1"/>
    <cellStyle name="Hyperlink" xfId="13745" builtinId="8" hidden="1"/>
    <cellStyle name="Hyperlink" xfId="13747" builtinId="8" hidden="1"/>
    <cellStyle name="Hyperlink" xfId="13749" builtinId="8" hidden="1"/>
    <cellStyle name="Hyperlink" xfId="13751" builtinId="8" hidden="1"/>
    <cellStyle name="Hyperlink" xfId="13753" builtinId="8" hidden="1"/>
    <cellStyle name="Hyperlink" xfId="13755" builtinId="8" hidden="1"/>
    <cellStyle name="Hyperlink" xfId="13757" builtinId="8" hidden="1"/>
    <cellStyle name="Hyperlink" xfId="13759" builtinId="8" hidden="1"/>
    <cellStyle name="Hyperlink" xfId="13761" builtinId="8" hidden="1"/>
    <cellStyle name="Hyperlink" xfId="13763" builtinId="8" hidden="1"/>
    <cellStyle name="Hyperlink" xfId="13765" builtinId="8" hidden="1"/>
    <cellStyle name="Hyperlink" xfId="13767" builtinId="8" hidden="1"/>
    <cellStyle name="Hyperlink" xfId="13769" builtinId="8" hidden="1"/>
    <cellStyle name="Hyperlink" xfId="13771" builtinId="8" hidden="1"/>
    <cellStyle name="Hyperlink" xfId="13773" builtinId="8" hidden="1"/>
    <cellStyle name="Hyperlink" xfId="13775" builtinId="8" hidden="1"/>
    <cellStyle name="Hyperlink" xfId="13777" builtinId="8" hidden="1"/>
    <cellStyle name="Hyperlink" xfId="13779" builtinId="8" hidden="1"/>
    <cellStyle name="Hyperlink" xfId="13781" builtinId="8" hidden="1"/>
    <cellStyle name="Hyperlink" xfId="13783" builtinId="8" hidden="1"/>
    <cellStyle name="Hyperlink" xfId="13785" builtinId="8" hidden="1"/>
    <cellStyle name="Hyperlink" xfId="13787" builtinId="8" hidden="1"/>
    <cellStyle name="Hyperlink" xfId="13789" builtinId="8" hidden="1"/>
    <cellStyle name="Hyperlink" xfId="13791" builtinId="8" hidden="1"/>
    <cellStyle name="Hyperlink" xfId="13793" builtinId="8" hidden="1"/>
    <cellStyle name="Hyperlink" xfId="13795" builtinId="8" hidden="1"/>
    <cellStyle name="Hyperlink" xfId="13797" builtinId="8" hidden="1"/>
    <cellStyle name="Hyperlink" xfId="13799" builtinId="8" hidden="1"/>
    <cellStyle name="Hyperlink" xfId="13801" builtinId="8" hidden="1"/>
    <cellStyle name="Hyperlink" xfId="13803" builtinId="8" hidden="1"/>
    <cellStyle name="Hyperlink" xfId="13805" builtinId="8" hidden="1"/>
    <cellStyle name="Hyperlink" xfId="13807" builtinId="8" hidden="1"/>
    <cellStyle name="Hyperlink" xfId="13809" builtinId="8" hidden="1"/>
    <cellStyle name="Hyperlink" xfId="13811" builtinId="8" hidden="1"/>
    <cellStyle name="Hyperlink" xfId="13813" builtinId="8" hidden="1"/>
    <cellStyle name="Hyperlink" xfId="13815" builtinId="8" hidden="1"/>
    <cellStyle name="Hyperlink" xfId="13817" builtinId="8" hidden="1"/>
    <cellStyle name="Hyperlink" xfId="13819" builtinId="8" hidden="1"/>
    <cellStyle name="Hyperlink" xfId="13821" builtinId="8" hidden="1"/>
    <cellStyle name="Hyperlink" xfId="13823" builtinId="8" hidden="1"/>
    <cellStyle name="Hyperlink" xfId="13825" builtinId="8" hidden="1"/>
    <cellStyle name="Hyperlink" xfId="13827" builtinId="8" hidden="1"/>
    <cellStyle name="Hyperlink" xfId="13829" builtinId="8" hidden="1"/>
    <cellStyle name="Hyperlink" xfId="13831" builtinId="8" hidden="1"/>
    <cellStyle name="Hyperlink" xfId="13833" builtinId="8" hidden="1"/>
    <cellStyle name="Hyperlink" xfId="13835" builtinId="8" hidden="1"/>
    <cellStyle name="Hyperlink" xfId="13837" builtinId="8" hidden="1"/>
    <cellStyle name="Hyperlink" xfId="13839" builtinId="8" hidden="1"/>
    <cellStyle name="Hyperlink" xfId="13841" builtinId="8" hidden="1"/>
    <cellStyle name="Hyperlink" xfId="13843" builtinId="8" hidden="1"/>
    <cellStyle name="Hyperlink" xfId="13845" builtinId="8" hidden="1"/>
    <cellStyle name="Hyperlink" xfId="13847" builtinId="8" hidden="1"/>
    <cellStyle name="Hyperlink" xfId="13849" builtinId="8" hidden="1"/>
    <cellStyle name="Hyperlink" xfId="13851" builtinId="8" hidden="1"/>
    <cellStyle name="Hyperlink" xfId="13853" builtinId="8" hidden="1"/>
    <cellStyle name="Hyperlink" xfId="13855" builtinId="8" hidden="1"/>
    <cellStyle name="Hyperlink" xfId="13857" builtinId="8" hidden="1"/>
    <cellStyle name="Hyperlink" xfId="13859" builtinId="8" hidden="1"/>
    <cellStyle name="Hyperlink" xfId="13861" builtinId="8" hidden="1"/>
    <cellStyle name="Hyperlink" xfId="13863" builtinId="8" hidden="1"/>
    <cellStyle name="Hyperlink" xfId="13865" builtinId="8" hidden="1"/>
    <cellStyle name="Hyperlink" xfId="13867" builtinId="8" hidden="1"/>
    <cellStyle name="Hyperlink" xfId="13869" builtinId="8" hidden="1"/>
    <cellStyle name="Hyperlink" xfId="13871" builtinId="8" hidden="1"/>
    <cellStyle name="Hyperlink" xfId="13873" builtinId="8" hidden="1"/>
    <cellStyle name="Hyperlink" xfId="13875" builtinId="8" hidden="1"/>
    <cellStyle name="Hyperlink" xfId="13877" builtinId="8" hidden="1"/>
    <cellStyle name="Hyperlink" xfId="13879" builtinId="8" hidden="1"/>
    <cellStyle name="Hyperlink" xfId="13881" builtinId="8" hidden="1"/>
    <cellStyle name="Hyperlink" xfId="13883" builtinId="8" hidden="1"/>
    <cellStyle name="Hyperlink" xfId="13885" builtinId="8" hidden="1"/>
    <cellStyle name="Hyperlink" xfId="13887" builtinId="8" hidden="1"/>
    <cellStyle name="Hyperlink" xfId="13889" builtinId="8" hidden="1"/>
    <cellStyle name="Hyperlink" xfId="13891" builtinId="8" hidden="1"/>
    <cellStyle name="Hyperlink" xfId="13893" builtinId="8" hidden="1"/>
    <cellStyle name="Hyperlink" xfId="13895" builtinId="8" hidden="1"/>
    <cellStyle name="Hyperlink" xfId="13897" builtinId="8" hidden="1"/>
    <cellStyle name="Hyperlink" xfId="13899" builtinId="8" hidden="1"/>
    <cellStyle name="Hyperlink" xfId="13901" builtinId="8" hidden="1"/>
    <cellStyle name="Hyperlink" xfId="13903" builtinId="8" hidden="1"/>
    <cellStyle name="Hyperlink" xfId="13905" builtinId="8" hidden="1"/>
    <cellStyle name="Hyperlink" xfId="13907" builtinId="8" hidden="1"/>
    <cellStyle name="Hyperlink" xfId="13909" builtinId="8" hidden="1"/>
    <cellStyle name="Hyperlink" xfId="13911" builtinId="8" hidden="1"/>
    <cellStyle name="Hyperlink" xfId="13913" builtinId="8" hidden="1"/>
    <cellStyle name="Hyperlink" xfId="13915" builtinId="8" hidden="1"/>
    <cellStyle name="Hyperlink" xfId="13917" builtinId="8" hidden="1"/>
    <cellStyle name="Hyperlink" xfId="13919" builtinId="8" hidden="1"/>
    <cellStyle name="Hyperlink" xfId="13921" builtinId="8" hidden="1"/>
    <cellStyle name="Hyperlink" xfId="13923" builtinId="8" hidden="1"/>
    <cellStyle name="Hyperlink" xfId="13925" builtinId="8" hidden="1"/>
    <cellStyle name="Hyperlink" xfId="13927" builtinId="8" hidden="1"/>
    <cellStyle name="Hyperlink" xfId="13929" builtinId="8" hidden="1"/>
    <cellStyle name="Hyperlink" xfId="13931" builtinId="8" hidden="1"/>
    <cellStyle name="Hyperlink" xfId="13933" builtinId="8" hidden="1"/>
    <cellStyle name="Hyperlink" xfId="13935" builtinId="8" hidden="1"/>
    <cellStyle name="Hyperlink" xfId="13937" builtinId="8" hidden="1"/>
    <cellStyle name="Hyperlink" xfId="13939" builtinId="8" hidden="1"/>
    <cellStyle name="Hyperlink" xfId="13941" builtinId="8" hidden="1"/>
    <cellStyle name="Hyperlink" xfId="13943" builtinId="8" hidden="1"/>
    <cellStyle name="Hyperlink" xfId="13945" builtinId="8" hidden="1"/>
    <cellStyle name="Hyperlink" xfId="13947" builtinId="8" hidden="1"/>
    <cellStyle name="Hyperlink" xfId="13949" builtinId="8" hidden="1"/>
    <cellStyle name="Hyperlink" xfId="13951" builtinId="8" hidden="1"/>
    <cellStyle name="Hyperlink" xfId="13953" builtinId="8" hidden="1"/>
    <cellStyle name="Hyperlink" xfId="13955" builtinId="8" hidden="1"/>
    <cellStyle name="Hyperlink" xfId="13957" builtinId="8" hidden="1"/>
    <cellStyle name="Hyperlink" xfId="13959" builtinId="8" hidden="1"/>
    <cellStyle name="Hyperlink" xfId="13961" builtinId="8" hidden="1"/>
    <cellStyle name="Hyperlink" xfId="13963" builtinId="8" hidden="1"/>
    <cellStyle name="Hyperlink" xfId="13965" builtinId="8" hidden="1"/>
    <cellStyle name="Hyperlink" xfId="13967" builtinId="8" hidden="1"/>
    <cellStyle name="Hyperlink" xfId="13969" builtinId="8" hidden="1"/>
    <cellStyle name="Hyperlink" xfId="13971" builtinId="8" hidden="1"/>
    <cellStyle name="Hyperlink" xfId="13973" builtinId="8" hidden="1"/>
    <cellStyle name="Hyperlink" xfId="13975" builtinId="8" hidden="1"/>
    <cellStyle name="Hyperlink" xfId="13977" builtinId="8" hidden="1"/>
    <cellStyle name="Hyperlink" xfId="13979" builtinId="8" hidden="1"/>
    <cellStyle name="Hyperlink" xfId="13981" builtinId="8" hidden="1"/>
    <cellStyle name="Hyperlink" xfId="13983" builtinId="8" hidden="1"/>
    <cellStyle name="Hyperlink" xfId="13985" builtinId="8" hidden="1"/>
    <cellStyle name="Hyperlink" xfId="13987" builtinId="8" hidden="1"/>
    <cellStyle name="Hyperlink" xfId="13989" builtinId="8" hidden="1"/>
    <cellStyle name="Hyperlink" xfId="13991" builtinId="8" hidden="1"/>
    <cellStyle name="Hyperlink" xfId="13993" builtinId="8" hidden="1"/>
    <cellStyle name="Hyperlink" xfId="13995" builtinId="8" hidden="1"/>
    <cellStyle name="Hyperlink" xfId="13997" builtinId="8" hidden="1"/>
    <cellStyle name="Hyperlink" xfId="13999" builtinId="8" hidden="1"/>
    <cellStyle name="Hyperlink" xfId="14001" builtinId="8" hidden="1"/>
    <cellStyle name="Hyperlink" xfId="14003" builtinId="8" hidden="1"/>
    <cellStyle name="Hyperlink" xfId="14005" builtinId="8" hidden="1"/>
    <cellStyle name="Hyperlink" xfId="14007" builtinId="8" hidden="1"/>
    <cellStyle name="Hyperlink" xfId="14009" builtinId="8" hidden="1"/>
    <cellStyle name="Hyperlink" xfId="14011" builtinId="8" hidden="1"/>
    <cellStyle name="Hyperlink" xfId="14013" builtinId="8" hidden="1"/>
    <cellStyle name="Hyperlink" xfId="14015" builtinId="8" hidden="1"/>
    <cellStyle name="Hyperlink" xfId="14017" builtinId="8" hidden="1"/>
    <cellStyle name="Hyperlink" xfId="14019" builtinId="8" hidden="1"/>
    <cellStyle name="Hyperlink" xfId="14021" builtinId="8" hidden="1"/>
    <cellStyle name="Hyperlink" xfId="14023" builtinId="8" hidden="1"/>
    <cellStyle name="Hyperlink" xfId="14025" builtinId="8" hidden="1"/>
    <cellStyle name="Hyperlink" xfId="14027" builtinId="8" hidden="1"/>
    <cellStyle name="Hyperlink" xfId="14029" builtinId="8" hidden="1"/>
    <cellStyle name="Hyperlink" xfId="14031" builtinId="8" hidden="1"/>
    <cellStyle name="Hyperlink" xfId="14033" builtinId="8" hidden="1"/>
    <cellStyle name="Hyperlink" xfId="14035" builtinId="8" hidden="1"/>
    <cellStyle name="Hyperlink" xfId="14037" builtinId="8" hidden="1"/>
    <cellStyle name="Hyperlink" xfId="14039" builtinId="8" hidden="1"/>
    <cellStyle name="Hyperlink" xfId="14041" builtinId="8" hidden="1"/>
    <cellStyle name="Hyperlink" xfId="14043" builtinId="8" hidden="1"/>
    <cellStyle name="Hyperlink" xfId="14045" builtinId="8" hidden="1"/>
    <cellStyle name="Hyperlink" xfId="14047" builtinId="8" hidden="1"/>
    <cellStyle name="Hyperlink" xfId="14049" builtinId="8" hidden="1"/>
    <cellStyle name="Hyperlink" xfId="14051" builtinId="8" hidden="1"/>
    <cellStyle name="Hyperlink" xfId="14053" builtinId="8" hidden="1"/>
    <cellStyle name="Hyperlink" xfId="14055" builtinId="8" hidden="1"/>
    <cellStyle name="Hyperlink" xfId="14057" builtinId="8" hidden="1"/>
    <cellStyle name="Hyperlink" xfId="14059" builtinId="8" hidden="1"/>
    <cellStyle name="Hyperlink" xfId="14061" builtinId="8" hidden="1"/>
    <cellStyle name="Hyperlink" xfId="14063" builtinId="8" hidden="1"/>
    <cellStyle name="Hyperlink" xfId="14065" builtinId="8" hidden="1"/>
    <cellStyle name="Hyperlink" xfId="14067" builtinId="8" hidden="1"/>
    <cellStyle name="Hyperlink" xfId="14069" builtinId="8" hidden="1"/>
    <cellStyle name="Hyperlink" xfId="14071" builtinId="8" hidden="1"/>
    <cellStyle name="Hyperlink" xfId="14073" builtinId="8" hidden="1"/>
    <cellStyle name="Hyperlink" xfId="14075" builtinId="8" hidden="1"/>
    <cellStyle name="Hyperlink" xfId="14077" builtinId="8" hidden="1"/>
    <cellStyle name="Hyperlink" xfId="14079" builtinId="8" hidden="1"/>
    <cellStyle name="Hyperlink" xfId="14081" builtinId="8" hidden="1"/>
    <cellStyle name="Hyperlink" xfId="14083" builtinId="8" hidden="1"/>
    <cellStyle name="Hyperlink" xfId="14085" builtinId="8" hidden="1"/>
    <cellStyle name="Hyperlink" xfId="14087" builtinId="8" hidden="1"/>
    <cellStyle name="Hyperlink" xfId="14089" builtinId="8" hidden="1"/>
    <cellStyle name="Hyperlink" xfId="14091" builtinId="8" hidden="1"/>
    <cellStyle name="Hyperlink" xfId="14093" builtinId="8" hidden="1"/>
    <cellStyle name="Hyperlink" xfId="14095" builtinId="8" hidden="1"/>
    <cellStyle name="Hyperlink" xfId="14097" builtinId="8" hidden="1"/>
    <cellStyle name="Hyperlink" xfId="14099" builtinId="8" hidden="1"/>
    <cellStyle name="Hyperlink" xfId="14101" builtinId="8" hidden="1"/>
    <cellStyle name="Hyperlink" xfId="14103" builtinId="8" hidden="1"/>
    <cellStyle name="Hyperlink" xfId="14105" builtinId="8" hidden="1"/>
    <cellStyle name="Hyperlink" xfId="14107" builtinId="8" hidden="1"/>
    <cellStyle name="Hyperlink" xfId="14109" builtinId="8" hidden="1"/>
    <cellStyle name="Hyperlink" xfId="14111" builtinId="8" hidden="1"/>
    <cellStyle name="Hyperlink" xfId="14113" builtinId="8" hidden="1"/>
    <cellStyle name="Hyperlink" xfId="14115" builtinId="8" hidden="1"/>
    <cellStyle name="Hyperlink" xfId="14117" builtinId="8" hidden="1"/>
    <cellStyle name="Hyperlink" xfId="14119" builtinId="8" hidden="1"/>
    <cellStyle name="Hyperlink" xfId="14121" builtinId="8" hidden="1"/>
    <cellStyle name="Hyperlink" xfId="14123" builtinId="8" hidden="1"/>
    <cellStyle name="Hyperlink" xfId="14125" builtinId="8" hidden="1"/>
    <cellStyle name="Hyperlink" xfId="14127" builtinId="8" hidden="1"/>
    <cellStyle name="Hyperlink" xfId="14129" builtinId="8" hidden="1"/>
    <cellStyle name="Hyperlink" xfId="14131" builtinId="8" hidden="1"/>
    <cellStyle name="Hyperlink" xfId="14133" builtinId="8" hidden="1"/>
    <cellStyle name="Hyperlink" xfId="14135" builtinId="8" hidden="1"/>
    <cellStyle name="Hyperlink" xfId="14137" builtinId="8" hidden="1"/>
    <cellStyle name="Hyperlink" xfId="14139" builtinId="8" hidden="1"/>
    <cellStyle name="Hyperlink" xfId="14141" builtinId="8" hidden="1"/>
    <cellStyle name="Hyperlink" xfId="14143" builtinId="8" hidden="1"/>
    <cellStyle name="Hyperlink" xfId="14145" builtinId="8" hidden="1"/>
    <cellStyle name="Hyperlink" xfId="14147" builtinId="8" hidden="1"/>
    <cellStyle name="Hyperlink" xfId="14149" builtinId="8" hidden="1"/>
    <cellStyle name="Hyperlink" xfId="14151" builtinId="8" hidden="1"/>
    <cellStyle name="Hyperlink" xfId="14153" builtinId="8" hidden="1"/>
    <cellStyle name="Hyperlink" xfId="14155" builtinId="8" hidden="1"/>
    <cellStyle name="Hyperlink" xfId="14157" builtinId="8" hidden="1"/>
    <cellStyle name="Hyperlink" xfId="14159" builtinId="8" hidden="1"/>
    <cellStyle name="Hyperlink" xfId="14161" builtinId="8" hidden="1"/>
    <cellStyle name="Hyperlink" xfId="14163" builtinId="8" hidden="1"/>
    <cellStyle name="Hyperlink" xfId="14165" builtinId="8" hidden="1"/>
    <cellStyle name="Hyperlink" xfId="14167" builtinId="8" hidden="1"/>
    <cellStyle name="Hyperlink" xfId="14169" builtinId="8" hidden="1"/>
    <cellStyle name="Hyperlink" xfId="14171" builtinId="8" hidden="1"/>
    <cellStyle name="Hyperlink" xfId="14173" builtinId="8" hidden="1"/>
    <cellStyle name="Hyperlink" xfId="14175" builtinId="8" hidden="1"/>
    <cellStyle name="Hyperlink" xfId="14177" builtinId="8" hidden="1"/>
    <cellStyle name="Hyperlink" xfId="14179" builtinId="8" hidden="1"/>
    <cellStyle name="Hyperlink" xfId="14181" builtinId="8" hidden="1"/>
    <cellStyle name="Hyperlink" xfId="14183" builtinId="8" hidden="1"/>
    <cellStyle name="Hyperlink" xfId="14185" builtinId="8" hidden="1"/>
    <cellStyle name="Hyperlink" xfId="14187" builtinId="8" hidden="1"/>
    <cellStyle name="Hyperlink" xfId="14189" builtinId="8" hidden="1"/>
    <cellStyle name="Hyperlink" xfId="14191" builtinId="8" hidden="1"/>
    <cellStyle name="Hyperlink" xfId="14193" builtinId="8" hidden="1"/>
    <cellStyle name="Hyperlink" xfId="14195" builtinId="8" hidden="1"/>
    <cellStyle name="Hyperlink" xfId="14197" builtinId="8" hidden="1"/>
    <cellStyle name="Hyperlink" xfId="14199" builtinId="8" hidden="1"/>
    <cellStyle name="Hyperlink" xfId="14201" builtinId="8" hidden="1"/>
    <cellStyle name="Hyperlink" xfId="14203" builtinId="8" hidden="1"/>
    <cellStyle name="Hyperlink" xfId="14205" builtinId="8" hidden="1"/>
    <cellStyle name="Hyperlink" xfId="14207" builtinId="8" hidden="1"/>
    <cellStyle name="Hyperlink" xfId="14209" builtinId="8" hidden="1"/>
    <cellStyle name="Hyperlink" xfId="14211" builtinId="8" hidden="1"/>
    <cellStyle name="Hyperlink" xfId="14213" builtinId="8" hidden="1"/>
    <cellStyle name="Hyperlink" xfId="14215" builtinId="8" hidden="1"/>
    <cellStyle name="Hyperlink" xfId="14217" builtinId="8" hidden="1"/>
    <cellStyle name="Hyperlink" xfId="14219" builtinId="8" hidden="1"/>
    <cellStyle name="Hyperlink" xfId="14221" builtinId="8" hidden="1"/>
    <cellStyle name="Hyperlink" xfId="14223" builtinId="8" hidden="1"/>
    <cellStyle name="Hyperlink" xfId="14225" builtinId="8" hidden="1"/>
    <cellStyle name="Hyperlink" xfId="14227" builtinId="8" hidden="1"/>
    <cellStyle name="Hyperlink" xfId="14229" builtinId="8" hidden="1"/>
    <cellStyle name="Hyperlink" xfId="14231" builtinId="8" hidden="1"/>
    <cellStyle name="Hyperlink" xfId="14233" builtinId="8" hidden="1"/>
    <cellStyle name="Hyperlink" xfId="14235" builtinId="8" hidden="1"/>
    <cellStyle name="Hyperlink" xfId="14237" builtinId="8" hidden="1"/>
    <cellStyle name="Hyperlink" xfId="14239" builtinId="8" hidden="1"/>
    <cellStyle name="Hyperlink" xfId="14241" builtinId="8" hidden="1"/>
    <cellStyle name="Hyperlink" xfId="14243" builtinId="8" hidden="1"/>
    <cellStyle name="Hyperlink" xfId="14245" builtinId="8" hidden="1"/>
    <cellStyle name="Hyperlink" xfId="14247" builtinId="8" hidden="1"/>
    <cellStyle name="Hyperlink" xfId="14249" builtinId="8" hidden="1"/>
    <cellStyle name="Hyperlink" xfId="14251" builtinId="8" hidden="1"/>
    <cellStyle name="Hyperlink" xfId="14253" builtinId="8" hidden="1"/>
    <cellStyle name="Hyperlink" xfId="14255" builtinId="8" hidden="1"/>
    <cellStyle name="Hyperlink" xfId="14257" builtinId="8" hidden="1"/>
    <cellStyle name="Hyperlink" xfId="14259" builtinId="8" hidden="1"/>
    <cellStyle name="Hyperlink" xfId="14261" builtinId="8" hidden="1"/>
    <cellStyle name="Hyperlink" xfId="14263" builtinId="8" hidden="1"/>
    <cellStyle name="Hyperlink" xfId="14265" builtinId="8" hidden="1"/>
    <cellStyle name="Hyperlink" xfId="14267" builtinId="8" hidden="1"/>
    <cellStyle name="Hyperlink" xfId="14269" builtinId="8" hidden="1"/>
    <cellStyle name="Hyperlink" xfId="14271" builtinId="8" hidden="1"/>
    <cellStyle name="Hyperlink" xfId="14273" builtinId="8" hidden="1"/>
    <cellStyle name="Hyperlink" xfId="14275" builtinId="8" hidden="1"/>
    <cellStyle name="Hyperlink" xfId="14277" builtinId="8" hidden="1"/>
    <cellStyle name="Hyperlink" xfId="14279" builtinId="8" hidden="1"/>
    <cellStyle name="Hyperlink" xfId="14281" builtinId="8" hidden="1"/>
    <cellStyle name="Hyperlink" xfId="14283" builtinId="8" hidden="1"/>
    <cellStyle name="Hyperlink" xfId="14285" builtinId="8" hidden="1"/>
    <cellStyle name="Hyperlink" xfId="14287" builtinId="8" hidden="1"/>
    <cellStyle name="Hyperlink" xfId="14289" builtinId="8" hidden="1"/>
    <cellStyle name="Hyperlink" xfId="14291" builtinId="8" hidden="1"/>
    <cellStyle name="Hyperlink" xfId="14293" builtinId="8" hidden="1"/>
    <cellStyle name="Hyperlink" xfId="14295" builtinId="8" hidden="1"/>
    <cellStyle name="Hyperlink" xfId="14297" builtinId="8" hidden="1"/>
    <cellStyle name="Hyperlink" xfId="14299" builtinId="8" hidden="1"/>
    <cellStyle name="Hyperlink" xfId="14301" builtinId="8" hidden="1"/>
    <cellStyle name="Hyperlink" xfId="14303" builtinId="8" hidden="1"/>
    <cellStyle name="Hyperlink" xfId="14305" builtinId="8" hidden="1"/>
    <cellStyle name="Hyperlink" xfId="14307" builtinId="8" hidden="1"/>
    <cellStyle name="Hyperlink" xfId="14309" builtinId="8" hidden="1"/>
    <cellStyle name="Hyperlink" xfId="14311" builtinId="8" hidden="1"/>
    <cellStyle name="Hyperlink" xfId="14313" builtinId="8" hidden="1"/>
    <cellStyle name="Hyperlink" xfId="14315" builtinId="8" hidden="1"/>
    <cellStyle name="Hyperlink" xfId="14317" builtinId="8" hidden="1"/>
    <cellStyle name="Hyperlink" xfId="14319" builtinId="8" hidden="1"/>
    <cellStyle name="Hyperlink" xfId="14321" builtinId="8" hidden="1"/>
    <cellStyle name="Hyperlink" xfId="14323" builtinId="8" hidden="1"/>
    <cellStyle name="Hyperlink" xfId="14325" builtinId="8" hidden="1"/>
    <cellStyle name="Hyperlink" xfId="14327" builtinId="8" hidden="1"/>
    <cellStyle name="Hyperlink" xfId="14329" builtinId="8" hidden="1"/>
    <cellStyle name="Hyperlink" xfId="14331" builtinId="8" hidden="1"/>
    <cellStyle name="Hyperlink" xfId="14333" builtinId="8" hidden="1"/>
    <cellStyle name="Hyperlink" xfId="14335" builtinId="8" hidden="1"/>
    <cellStyle name="Hyperlink" xfId="14337" builtinId="8" hidden="1"/>
    <cellStyle name="Hyperlink" xfId="14339" builtinId="8" hidden="1"/>
    <cellStyle name="Hyperlink" xfId="14341" builtinId="8" hidden="1"/>
    <cellStyle name="Hyperlink" xfId="14343" builtinId="8" hidden="1"/>
    <cellStyle name="Hyperlink" xfId="14345" builtinId="8" hidden="1"/>
    <cellStyle name="Hyperlink" xfId="14347" builtinId="8" hidden="1"/>
    <cellStyle name="Hyperlink" xfId="14349" builtinId="8" hidden="1"/>
    <cellStyle name="Hyperlink" xfId="14351" builtinId="8" hidden="1"/>
    <cellStyle name="Hyperlink" xfId="14353" builtinId="8" hidden="1"/>
    <cellStyle name="Hyperlink" xfId="14355" builtinId="8" hidden="1"/>
    <cellStyle name="Hyperlink" xfId="14357" builtinId="8" hidden="1"/>
    <cellStyle name="Hyperlink" xfId="14359" builtinId="8" hidden="1"/>
    <cellStyle name="Hyperlink" xfId="14361" builtinId="8" hidden="1"/>
    <cellStyle name="Hyperlink" xfId="14363" builtinId="8" hidden="1"/>
    <cellStyle name="Hyperlink" xfId="14365" builtinId="8" hidden="1"/>
    <cellStyle name="Hyperlink" xfId="14367" builtinId="8" hidden="1"/>
    <cellStyle name="Hyperlink" xfId="14369" builtinId="8" hidden="1"/>
    <cellStyle name="Hyperlink" xfId="14371" builtinId="8" hidden="1"/>
    <cellStyle name="Hyperlink" xfId="14373" builtinId="8" hidden="1"/>
    <cellStyle name="Hyperlink" xfId="14375" builtinId="8" hidden="1"/>
    <cellStyle name="Hyperlink" xfId="14377" builtinId="8" hidden="1"/>
    <cellStyle name="Hyperlink" xfId="14379" builtinId="8" hidden="1"/>
    <cellStyle name="Hyperlink" xfId="14381" builtinId="8" hidden="1"/>
    <cellStyle name="Hyperlink" xfId="14383" builtinId="8" hidden="1"/>
    <cellStyle name="Hyperlink" xfId="14385" builtinId="8" hidden="1"/>
    <cellStyle name="Hyperlink" xfId="14387" builtinId="8" hidden="1"/>
    <cellStyle name="Hyperlink" xfId="14389" builtinId="8" hidden="1"/>
    <cellStyle name="Hyperlink" xfId="14391" builtinId="8" hidden="1"/>
    <cellStyle name="Hyperlink" xfId="14393" builtinId="8" hidden="1"/>
    <cellStyle name="Hyperlink" xfId="14395" builtinId="8" hidden="1"/>
    <cellStyle name="Hyperlink" xfId="14397" builtinId="8" hidden="1"/>
    <cellStyle name="Hyperlink" xfId="14399" builtinId="8" hidden="1"/>
    <cellStyle name="Hyperlink" xfId="14401" builtinId="8" hidden="1"/>
    <cellStyle name="Hyperlink" xfId="14403" builtinId="8" hidden="1"/>
    <cellStyle name="Hyperlink" xfId="14405" builtinId="8" hidden="1"/>
    <cellStyle name="Hyperlink" xfId="14407" builtinId="8" hidden="1"/>
    <cellStyle name="Hyperlink" xfId="14409" builtinId="8" hidden="1"/>
    <cellStyle name="Hyperlink" xfId="14411" builtinId="8" hidden="1"/>
    <cellStyle name="Hyperlink" xfId="14413" builtinId="8" hidden="1"/>
    <cellStyle name="Hyperlink" xfId="14415" builtinId="8" hidden="1"/>
    <cellStyle name="Hyperlink" xfId="14417" builtinId="8" hidden="1"/>
    <cellStyle name="Hyperlink" xfId="14419" builtinId="8" hidden="1"/>
    <cellStyle name="Hyperlink" xfId="14421" builtinId="8" hidden="1"/>
    <cellStyle name="Hyperlink" xfId="14423" builtinId="8" hidden="1"/>
    <cellStyle name="Hyperlink" xfId="14425" builtinId="8" hidden="1"/>
    <cellStyle name="Hyperlink" xfId="14427" builtinId="8" hidden="1"/>
    <cellStyle name="Hyperlink" xfId="14429" builtinId="8" hidden="1"/>
    <cellStyle name="Hyperlink" xfId="14431" builtinId="8" hidden="1"/>
    <cellStyle name="Hyperlink" xfId="14433" builtinId="8" hidden="1"/>
    <cellStyle name="Hyperlink" xfId="14435" builtinId="8" hidden="1"/>
    <cellStyle name="Hyperlink" xfId="14437" builtinId="8" hidden="1"/>
    <cellStyle name="Hyperlink" xfId="14439" builtinId="8" hidden="1"/>
    <cellStyle name="Hyperlink" xfId="14441" builtinId="8" hidden="1"/>
    <cellStyle name="Hyperlink" xfId="14443" builtinId="8" hidden="1"/>
    <cellStyle name="Hyperlink" xfId="14445" builtinId="8" hidden="1"/>
    <cellStyle name="Hyperlink" xfId="14447" builtinId="8" hidden="1"/>
    <cellStyle name="Hyperlink" xfId="14449" builtinId="8" hidden="1"/>
    <cellStyle name="Hyperlink" xfId="14451" builtinId="8" hidden="1"/>
    <cellStyle name="Hyperlink" xfId="14453" builtinId="8" hidden="1"/>
    <cellStyle name="Hyperlink" xfId="14455" builtinId="8" hidden="1"/>
    <cellStyle name="Hyperlink" xfId="14457" builtinId="8" hidden="1"/>
    <cellStyle name="Hyperlink" xfId="14459" builtinId="8" hidden="1"/>
    <cellStyle name="Hyperlink" xfId="14461" builtinId="8" hidden="1"/>
    <cellStyle name="Hyperlink" xfId="14463" builtinId="8" hidden="1"/>
    <cellStyle name="Hyperlink" xfId="14465" builtinId="8" hidden="1"/>
    <cellStyle name="Hyperlink" xfId="14467" builtinId="8" hidden="1"/>
    <cellStyle name="Hyperlink" xfId="14469" builtinId="8" hidden="1"/>
    <cellStyle name="Hyperlink" xfId="14471" builtinId="8" hidden="1"/>
    <cellStyle name="Hyperlink" xfId="14473" builtinId="8" hidden="1"/>
    <cellStyle name="Hyperlink" xfId="14475" builtinId="8" hidden="1"/>
    <cellStyle name="Hyperlink" xfId="14477" builtinId="8" hidden="1"/>
    <cellStyle name="Hyperlink" xfId="14479" builtinId="8" hidden="1"/>
    <cellStyle name="Hyperlink" xfId="14481" builtinId="8" hidden="1"/>
    <cellStyle name="Hyperlink" xfId="14483" builtinId="8" hidden="1"/>
    <cellStyle name="Hyperlink" xfId="14485" builtinId="8" hidden="1"/>
    <cellStyle name="Hyperlink" xfId="14487" builtinId="8" hidden="1"/>
    <cellStyle name="Hyperlink" xfId="14489" builtinId="8" hidden="1"/>
    <cellStyle name="Hyperlink" xfId="14491" builtinId="8" hidden="1"/>
    <cellStyle name="Hyperlink" xfId="14493" builtinId="8" hidden="1"/>
    <cellStyle name="Hyperlink" xfId="14495" builtinId="8" hidden="1"/>
    <cellStyle name="Hyperlink" xfId="14497" builtinId="8" hidden="1"/>
    <cellStyle name="Hyperlink" xfId="14499" builtinId="8" hidden="1"/>
    <cellStyle name="Hyperlink" xfId="14501" builtinId="8" hidden="1"/>
    <cellStyle name="Hyperlink" xfId="14503" builtinId="8" hidden="1"/>
    <cellStyle name="Hyperlink" xfId="14505" builtinId="8" hidden="1"/>
    <cellStyle name="Hyperlink" xfId="14507" builtinId="8" hidden="1"/>
    <cellStyle name="Hyperlink" xfId="14509" builtinId="8" hidden="1"/>
    <cellStyle name="Hyperlink" xfId="14511" builtinId="8" hidden="1"/>
    <cellStyle name="Hyperlink" xfId="14513" builtinId="8" hidden="1"/>
    <cellStyle name="Hyperlink" xfId="14515" builtinId="8" hidden="1"/>
    <cellStyle name="Hyperlink" xfId="14517" builtinId="8" hidden="1"/>
    <cellStyle name="Hyperlink" xfId="14519" builtinId="8" hidden="1"/>
    <cellStyle name="Hyperlink" xfId="14521" builtinId="8" hidden="1"/>
    <cellStyle name="Hyperlink" xfId="14523" builtinId="8" hidden="1"/>
    <cellStyle name="Hyperlink" xfId="14525" builtinId="8" hidden="1"/>
    <cellStyle name="Hyperlink" xfId="14527" builtinId="8" hidden="1"/>
    <cellStyle name="Hyperlink" xfId="14529" builtinId="8" hidden="1"/>
    <cellStyle name="Hyperlink" xfId="14531" builtinId="8" hidden="1"/>
    <cellStyle name="Hyperlink" xfId="14533" builtinId="8" hidden="1"/>
    <cellStyle name="Hyperlink" xfId="14535" builtinId="8" hidden="1"/>
    <cellStyle name="Hyperlink" xfId="14537" builtinId="8" hidden="1"/>
    <cellStyle name="Hyperlink" xfId="14539" builtinId="8" hidden="1"/>
    <cellStyle name="Hyperlink" xfId="14541" builtinId="8" hidden="1"/>
    <cellStyle name="Hyperlink" xfId="14543" builtinId="8" hidden="1"/>
    <cellStyle name="Hyperlink" xfId="14545" builtinId="8" hidden="1"/>
    <cellStyle name="Hyperlink" xfId="14547" builtinId="8" hidden="1"/>
    <cellStyle name="Hyperlink" xfId="14549" builtinId="8" hidden="1"/>
    <cellStyle name="Hyperlink" xfId="14551" builtinId="8" hidden="1"/>
    <cellStyle name="Hyperlink" xfId="14553" builtinId="8" hidden="1"/>
    <cellStyle name="Hyperlink" xfId="14555" builtinId="8" hidden="1"/>
    <cellStyle name="Hyperlink" xfId="14557" builtinId="8" hidden="1"/>
    <cellStyle name="Hyperlink" xfId="14559" builtinId="8" hidden="1"/>
    <cellStyle name="Hyperlink" xfId="14561" builtinId="8" hidden="1"/>
    <cellStyle name="Hyperlink" xfId="14563" builtinId="8" hidden="1"/>
    <cellStyle name="Hyperlink" xfId="14565" builtinId="8" hidden="1"/>
    <cellStyle name="Hyperlink" xfId="14567" builtinId="8" hidden="1"/>
    <cellStyle name="Hyperlink" xfId="14569" builtinId="8" hidden="1"/>
    <cellStyle name="Hyperlink" xfId="14571" builtinId="8" hidden="1"/>
    <cellStyle name="Hyperlink" xfId="14573" builtinId="8" hidden="1"/>
    <cellStyle name="Hyperlink" xfId="14575" builtinId="8" hidden="1"/>
    <cellStyle name="Hyperlink" xfId="14577" builtinId="8" hidden="1"/>
    <cellStyle name="Hyperlink" xfId="14579" builtinId="8" hidden="1"/>
    <cellStyle name="Hyperlink" xfId="14581" builtinId="8" hidden="1"/>
    <cellStyle name="Hyperlink" xfId="14583" builtinId="8" hidden="1"/>
    <cellStyle name="Hyperlink" xfId="14585" builtinId="8" hidden="1"/>
    <cellStyle name="Hyperlink" xfId="14587" builtinId="8" hidden="1"/>
    <cellStyle name="Hyperlink" xfId="14589" builtinId="8" hidden="1"/>
    <cellStyle name="Hyperlink" xfId="14591" builtinId="8" hidden="1"/>
    <cellStyle name="Hyperlink" xfId="14593" builtinId="8" hidden="1"/>
    <cellStyle name="Hyperlink" xfId="14595" builtinId="8" hidden="1"/>
    <cellStyle name="Hyperlink" xfId="14597" builtinId="8" hidden="1"/>
    <cellStyle name="Hyperlink" xfId="14599" builtinId="8" hidden="1"/>
    <cellStyle name="Hyperlink" xfId="14601" builtinId="8" hidden="1"/>
    <cellStyle name="Hyperlink" xfId="14603" builtinId="8" hidden="1"/>
    <cellStyle name="Hyperlink" xfId="14605" builtinId="8" hidden="1"/>
    <cellStyle name="Hyperlink" xfId="14607" builtinId="8" hidden="1"/>
    <cellStyle name="Hyperlink" xfId="14609" builtinId="8" hidden="1"/>
    <cellStyle name="Hyperlink" xfId="14611" builtinId="8" hidden="1"/>
    <cellStyle name="Hyperlink" xfId="14613" builtinId="8" hidden="1"/>
    <cellStyle name="Hyperlink" xfId="14615" builtinId="8" hidden="1"/>
    <cellStyle name="Hyperlink" xfId="14617" builtinId="8" hidden="1"/>
    <cellStyle name="Hyperlink" xfId="14619" builtinId="8" hidden="1"/>
    <cellStyle name="Hyperlink" xfId="14621" builtinId="8" hidden="1"/>
    <cellStyle name="Hyperlink" xfId="14623" builtinId="8" hidden="1"/>
    <cellStyle name="Hyperlink" xfId="14625" builtinId="8" hidden="1"/>
    <cellStyle name="Hyperlink" xfId="14627" builtinId="8" hidden="1"/>
    <cellStyle name="Hyperlink" xfId="14629" builtinId="8" hidden="1"/>
    <cellStyle name="Hyperlink" xfId="14631" builtinId="8" hidden="1"/>
    <cellStyle name="Hyperlink" xfId="14633" builtinId="8" hidden="1"/>
    <cellStyle name="Hyperlink" xfId="14635" builtinId="8" hidden="1"/>
    <cellStyle name="Hyperlink" xfId="14637" builtinId="8" hidden="1"/>
    <cellStyle name="Hyperlink" xfId="14639" builtinId="8" hidden="1"/>
    <cellStyle name="Hyperlink" xfId="14641" builtinId="8" hidden="1"/>
    <cellStyle name="Hyperlink" xfId="14643" builtinId="8" hidden="1"/>
    <cellStyle name="Hyperlink" xfId="14645" builtinId="8" hidden="1"/>
    <cellStyle name="Hyperlink" xfId="14647" builtinId="8" hidden="1"/>
    <cellStyle name="Hyperlink" xfId="14649" builtinId="8" hidden="1"/>
    <cellStyle name="Hyperlink" xfId="14651" builtinId="8" hidden="1"/>
    <cellStyle name="Hyperlink" xfId="14653" builtinId="8" hidden="1"/>
    <cellStyle name="Hyperlink" xfId="14655" builtinId="8" hidden="1"/>
    <cellStyle name="Hyperlink" xfId="14657" builtinId="8" hidden="1"/>
    <cellStyle name="Hyperlink" xfId="14659" builtinId="8" hidden="1"/>
    <cellStyle name="Hyperlink" xfId="14661" builtinId="8" hidden="1"/>
    <cellStyle name="Hyperlink" xfId="14663" builtinId="8" hidden="1"/>
    <cellStyle name="Hyperlink" xfId="14665" builtinId="8" hidden="1"/>
    <cellStyle name="Hyperlink" xfId="14667" builtinId="8" hidden="1"/>
    <cellStyle name="Hyperlink" xfId="14669" builtinId="8" hidden="1"/>
    <cellStyle name="Hyperlink" xfId="14671" builtinId="8" hidden="1"/>
    <cellStyle name="Hyperlink" xfId="14673" builtinId="8" hidden="1"/>
    <cellStyle name="Hyperlink" xfId="14675" builtinId="8" hidden="1"/>
    <cellStyle name="Hyperlink" xfId="14677" builtinId="8" hidden="1"/>
    <cellStyle name="Hyperlink" xfId="14679" builtinId="8" hidden="1"/>
    <cellStyle name="Hyperlink" xfId="14681" builtinId="8" hidden="1"/>
    <cellStyle name="Hyperlink" xfId="14683" builtinId="8" hidden="1"/>
    <cellStyle name="Hyperlink" xfId="14685" builtinId="8" hidden="1"/>
    <cellStyle name="Hyperlink" xfId="14687" builtinId="8" hidden="1"/>
    <cellStyle name="Hyperlink" xfId="14689" builtinId="8" hidden="1"/>
    <cellStyle name="Hyperlink" xfId="14691" builtinId="8" hidden="1"/>
    <cellStyle name="Hyperlink" xfId="14693" builtinId="8" hidden="1"/>
    <cellStyle name="Hyperlink" xfId="14695" builtinId="8" hidden="1"/>
    <cellStyle name="Hyperlink" xfId="14697" builtinId="8" hidden="1"/>
    <cellStyle name="Hyperlink" xfId="14699" builtinId="8" hidden="1"/>
    <cellStyle name="Hyperlink" xfId="14701" builtinId="8" hidden="1"/>
    <cellStyle name="Hyperlink" xfId="14703" builtinId="8" hidden="1"/>
    <cellStyle name="Hyperlink" xfId="14705" builtinId="8" hidden="1"/>
    <cellStyle name="Hyperlink" xfId="14707" builtinId="8" hidden="1"/>
    <cellStyle name="Hyperlink" xfId="14709" builtinId="8" hidden="1"/>
    <cellStyle name="Hyperlink" xfId="14711" builtinId="8" hidden="1"/>
    <cellStyle name="Hyperlink" xfId="14713" builtinId="8" hidden="1"/>
    <cellStyle name="Hyperlink" xfId="14715" builtinId="8" hidden="1"/>
    <cellStyle name="Hyperlink" xfId="14717" builtinId="8" hidden="1"/>
    <cellStyle name="Hyperlink" xfId="14719" builtinId="8" hidden="1"/>
    <cellStyle name="Hyperlink" xfId="14721" builtinId="8" hidden="1"/>
    <cellStyle name="Hyperlink" xfId="14723" builtinId="8" hidden="1"/>
    <cellStyle name="Hyperlink" xfId="14725" builtinId="8" hidden="1"/>
    <cellStyle name="Hyperlink" xfId="14727" builtinId="8" hidden="1"/>
    <cellStyle name="Hyperlink" xfId="14729" builtinId="8" hidden="1"/>
    <cellStyle name="Hyperlink" xfId="14731" builtinId="8" hidden="1"/>
    <cellStyle name="Hyperlink" xfId="14733" builtinId="8" hidden="1"/>
    <cellStyle name="Hyperlink" xfId="14735" builtinId="8" hidden="1"/>
    <cellStyle name="Hyperlink" xfId="14737" builtinId="8" hidden="1"/>
    <cellStyle name="Hyperlink" xfId="14739" builtinId="8" hidden="1"/>
    <cellStyle name="Hyperlink" xfId="14741" builtinId="8" hidden="1"/>
    <cellStyle name="Hyperlink" xfId="14743" builtinId="8" hidden="1"/>
    <cellStyle name="Hyperlink" xfId="14745" builtinId="8" hidden="1"/>
    <cellStyle name="Hyperlink" xfId="14747" builtinId="8" hidden="1"/>
    <cellStyle name="Hyperlink" xfId="14749" builtinId="8" hidden="1"/>
    <cellStyle name="Hyperlink" xfId="14751" builtinId="8" hidden="1"/>
    <cellStyle name="Hyperlink" xfId="14753" builtinId="8" hidden="1"/>
    <cellStyle name="Hyperlink" xfId="14755" builtinId="8" hidden="1"/>
    <cellStyle name="Hyperlink" xfId="14757" builtinId="8" hidden="1"/>
    <cellStyle name="Hyperlink" xfId="14759" builtinId="8" hidden="1"/>
    <cellStyle name="Hyperlink" xfId="14761" builtinId="8" hidden="1"/>
    <cellStyle name="Hyperlink" xfId="14763" builtinId="8" hidden="1"/>
    <cellStyle name="Hyperlink" xfId="14765" builtinId="8" hidden="1"/>
    <cellStyle name="Hyperlink" xfId="14767" builtinId="8" hidden="1"/>
    <cellStyle name="Hyperlink" xfId="14769" builtinId="8" hidden="1"/>
    <cellStyle name="Hyperlink" xfId="14771" builtinId="8" hidden="1"/>
    <cellStyle name="Hyperlink" xfId="14773" builtinId="8" hidden="1"/>
    <cellStyle name="Hyperlink" xfId="14775" builtinId="8" hidden="1"/>
    <cellStyle name="Hyperlink" xfId="14777" builtinId="8" hidden="1"/>
    <cellStyle name="Hyperlink" xfId="14779" builtinId="8" hidden="1"/>
    <cellStyle name="Hyperlink" xfId="14781" builtinId="8" hidden="1"/>
    <cellStyle name="Hyperlink" xfId="14783" builtinId="8" hidden="1"/>
    <cellStyle name="Hyperlink" xfId="14785" builtinId="8" hidden="1"/>
    <cellStyle name="Hyperlink" xfId="14787" builtinId="8" hidden="1"/>
    <cellStyle name="Hyperlink" xfId="14789" builtinId="8" hidden="1"/>
    <cellStyle name="Hyperlink" xfId="14791" builtinId="8" hidden="1"/>
    <cellStyle name="Hyperlink" xfId="14793" builtinId="8" hidden="1"/>
    <cellStyle name="Hyperlink" xfId="14795" builtinId="8" hidden="1"/>
    <cellStyle name="Hyperlink" xfId="14797" builtinId="8" hidden="1"/>
    <cellStyle name="Hyperlink" xfId="14799" builtinId="8" hidden="1"/>
    <cellStyle name="Hyperlink" xfId="14801" builtinId="8" hidden="1"/>
    <cellStyle name="Hyperlink" xfId="14803" builtinId="8" hidden="1"/>
    <cellStyle name="Hyperlink" xfId="14805" builtinId="8" hidden="1"/>
    <cellStyle name="Hyperlink" xfId="14807" builtinId="8" hidden="1"/>
    <cellStyle name="Hyperlink" xfId="14809" builtinId="8" hidden="1"/>
    <cellStyle name="Hyperlink" xfId="14811" builtinId="8" hidden="1"/>
    <cellStyle name="Hyperlink" xfId="14813" builtinId="8" hidden="1"/>
    <cellStyle name="Hyperlink" xfId="14815" builtinId="8" hidden="1"/>
    <cellStyle name="Hyperlink" xfId="14817" builtinId="8" hidden="1"/>
    <cellStyle name="Hyperlink" xfId="14819" builtinId="8" hidden="1"/>
    <cellStyle name="Hyperlink" xfId="14821" builtinId="8" hidden="1"/>
    <cellStyle name="Hyperlink" xfId="14823" builtinId="8" hidden="1"/>
    <cellStyle name="Hyperlink" xfId="14825" builtinId="8" hidden="1"/>
    <cellStyle name="Hyperlink" xfId="14827" builtinId="8" hidden="1"/>
    <cellStyle name="Hyperlink" xfId="14829" builtinId="8" hidden="1"/>
    <cellStyle name="Hyperlink" xfId="14831" builtinId="8" hidden="1"/>
    <cellStyle name="Hyperlink" xfId="14833" builtinId="8" hidden="1"/>
    <cellStyle name="Hyperlink" xfId="14835" builtinId="8" hidden="1"/>
    <cellStyle name="Hyperlink" xfId="14837" builtinId="8" hidden="1"/>
    <cellStyle name="Hyperlink" xfId="14839" builtinId="8" hidden="1"/>
    <cellStyle name="Hyperlink" xfId="14841" builtinId="8" hidden="1"/>
    <cellStyle name="Hyperlink" xfId="14843" builtinId="8" hidden="1"/>
    <cellStyle name="Hyperlink" xfId="14845" builtinId="8" hidden="1"/>
    <cellStyle name="Hyperlink" xfId="14847" builtinId="8" hidden="1"/>
    <cellStyle name="Hyperlink" xfId="14849" builtinId="8" hidden="1"/>
    <cellStyle name="Hyperlink" xfId="14851" builtinId="8" hidden="1"/>
    <cellStyle name="Hyperlink" xfId="14853" builtinId="8" hidden="1"/>
    <cellStyle name="Hyperlink" xfId="14855" builtinId="8" hidden="1"/>
    <cellStyle name="Hyperlink" xfId="14857" builtinId="8" hidden="1"/>
    <cellStyle name="Hyperlink" xfId="14859" builtinId="8" hidden="1"/>
    <cellStyle name="Hyperlink" xfId="14861" builtinId="8" hidden="1"/>
    <cellStyle name="Hyperlink" xfId="14863" builtinId="8" hidden="1"/>
    <cellStyle name="Hyperlink" xfId="14865" builtinId="8" hidden="1"/>
    <cellStyle name="Hyperlink" xfId="14867" builtinId="8" hidden="1"/>
    <cellStyle name="Hyperlink" xfId="14869" builtinId="8" hidden="1"/>
    <cellStyle name="Hyperlink" xfId="14871" builtinId="8" hidden="1"/>
    <cellStyle name="Hyperlink" xfId="14873" builtinId="8" hidden="1"/>
    <cellStyle name="Hyperlink" xfId="14875" builtinId="8" hidden="1"/>
    <cellStyle name="Hyperlink" xfId="14877" builtinId="8" hidden="1"/>
    <cellStyle name="Hyperlink" xfId="14879" builtinId="8" hidden="1"/>
    <cellStyle name="Hyperlink" xfId="14881" builtinId="8" hidden="1"/>
    <cellStyle name="Hyperlink" xfId="14883" builtinId="8" hidden="1"/>
    <cellStyle name="Hyperlink" xfId="14885" builtinId="8" hidden="1"/>
    <cellStyle name="Hyperlink" xfId="14887" builtinId="8" hidden="1"/>
    <cellStyle name="Hyperlink" xfId="14889" builtinId="8" hidden="1"/>
    <cellStyle name="Hyperlink" xfId="14891" builtinId="8" hidden="1"/>
    <cellStyle name="Hyperlink" xfId="14893" builtinId="8" hidden="1"/>
    <cellStyle name="Hyperlink" xfId="14895" builtinId="8" hidden="1"/>
    <cellStyle name="Hyperlink" xfId="14897" builtinId="8" hidden="1"/>
    <cellStyle name="Hyperlink" xfId="14899" builtinId="8" hidden="1"/>
    <cellStyle name="Hyperlink" xfId="14901" builtinId="8" hidden="1"/>
    <cellStyle name="Hyperlink" xfId="14903" builtinId="8" hidden="1"/>
    <cellStyle name="Hyperlink" xfId="14905" builtinId="8" hidden="1"/>
    <cellStyle name="Hyperlink" xfId="14907" builtinId="8" hidden="1"/>
    <cellStyle name="Hyperlink" xfId="14909" builtinId="8" hidden="1"/>
    <cellStyle name="Hyperlink" xfId="14911" builtinId="8" hidden="1"/>
    <cellStyle name="Hyperlink" xfId="14913" builtinId="8" hidden="1"/>
    <cellStyle name="Hyperlink" xfId="14915" builtinId="8" hidden="1"/>
    <cellStyle name="Hyperlink" xfId="14917" builtinId="8" hidden="1"/>
    <cellStyle name="Hyperlink" xfId="14919" builtinId="8" hidden="1"/>
    <cellStyle name="Hyperlink" xfId="14921" builtinId="8" hidden="1"/>
    <cellStyle name="Hyperlink" xfId="14923" builtinId="8" hidden="1"/>
    <cellStyle name="Hyperlink" xfId="14925" builtinId="8" hidden="1"/>
    <cellStyle name="Hyperlink" xfId="14927" builtinId="8" hidden="1"/>
    <cellStyle name="Hyperlink" xfId="14929" builtinId="8" hidden="1"/>
    <cellStyle name="Hyperlink" xfId="14931" builtinId="8" hidden="1"/>
    <cellStyle name="Hyperlink" xfId="14933" builtinId="8" hidden="1"/>
    <cellStyle name="Hyperlink" xfId="14935" builtinId="8" hidden="1"/>
    <cellStyle name="Hyperlink" xfId="14937" builtinId="8" hidden="1"/>
    <cellStyle name="Hyperlink" xfId="14939" builtinId="8" hidden="1"/>
    <cellStyle name="Hyperlink" xfId="14941" builtinId="8" hidden="1"/>
    <cellStyle name="Hyperlink" xfId="14943" builtinId="8" hidden="1"/>
    <cellStyle name="Hyperlink" xfId="14945" builtinId="8" hidden="1"/>
    <cellStyle name="Hyperlink" xfId="14947" builtinId="8" hidden="1"/>
    <cellStyle name="Hyperlink" xfId="14949" builtinId="8" hidden="1"/>
    <cellStyle name="Hyperlink" xfId="14951" builtinId="8" hidden="1"/>
    <cellStyle name="Hyperlink" xfId="14953" builtinId="8" hidden="1"/>
    <cellStyle name="Hyperlink" xfId="14955" builtinId="8" hidden="1"/>
    <cellStyle name="Hyperlink" xfId="14957" builtinId="8" hidden="1"/>
    <cellStyle name="Hyperlink" xfId="14959" builtinId="8" hidden="1"/>
    <cellStyle name="Hyperlink" xfId="14961" builtinId="8" hidden="1"/>
    <cellStyle name="Hyperlink" xfId="14963" builtinId="8" hidden="1"/>
    <cellStyle name="Hyperlink" xfId="14965" builtinId="8" hidden="1"/>
    <cellStyle name="Hyperlink" xfId="14967" builtinId="8" hidden="1"/>
    <cellStyle name="Hyperlink" xfId="14969" builtinId="8" hidden="1"/>
    <cellStyle name="Hyperlink" xfId="14971" builtinId="8" hidden="1"/>
    <cellStyle name="Hyperlink" xfId="14973" builtinId="8" hidden="1"/>
    <cellStyle name="Hyperlink" xfId="14975" builtinId="8" hidden="1"/>
    <cellStyle name="Hyperlink" xfId="14977" builtinId="8" hidden="1"/>
    <cellStyle name="Hyperlink" xfId="14979" builtinId="8" hidden="1"/>
    <cellStyle name="Hyperlink" xfId="14981" builtinId="8" hidden="1"/>
    <cellStyle name="Hyperlink" xfId="14983" builtinId="8" hidden="1"/>
    <cellStyle name="Hyperlink" xfId="14985" builtinId="8" hidden="1"/>
    <cellStyle name="Hyperlink" xfId="14987" builtinId="8" hidden="1"/>
    <cellStyle name="Hyperlink" xfId="14989" builtinId="8" hidden="1"/>
    <cellStyle name="Hyperlink" xfId="14991" builtinId="8" hidden="1"/>
    <cellStyle name="Hyperlink" xfId="14993" builtinId="8" hidden="1"/>
    <cellStyle name="Hyperlink" xfId="14995" builtinId="8" hidden="1"/>
    <cellStyle name="Hyperlink" xfId="14997" builtinId="8" hidden="1"/>
    <cellStyle name="Hyperlink" xfId="14999" builtinId="8" hidden="1"/>
    <cellStyle name="Hyperlink" xfId="15001" builtinId="8" hidden="1"/>
    <cellStyle name="Hyperlink" xfId="15003" builtinId="8" hidden="1"/>
    <cellStyle name="Hyperlink" xfId="15005" builtinId="8" hidden="1"/>
    <cellStyle name="Hyperlink" xfId="1500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Sheet1!$R$70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Sheet1!$Q$71:$Q$109</c:f>
              <c:strCache>
                <c:ptCount val="39"/>
                <c:pt idx="0">
                  <c:v>188794.2</c:v>
                </c:pt>
                <c:pt idx="1">
                  <c:v>1739217.893</c:v>
                </c:pt>
                <c:pt idx="2">
                  <c:v>3289641.585</c:v>
                </c:pt>
                <c:pt idx="3">
                  <c:v>4840065.278</c:v>
                </c:pt>
                <c:pt idx="4">
                  <c:v>6390488.971</c:v>
                </c:pt>
                <c:pt idx="5">
                  <c:v>7940912.663</c:v>
                </c:pt>
                <c:pt idx="6">
                  <c:v>9491336.356</c:v>
                </c:pt>
                <c:pt idx="7">
                  <c:v>11041760.05</c:v>
                </c:pt>
                <c:pt idx="8">
                  <c:v>12592183.74</c:v>
                </c:pt>
                <c:pt idx="9">
                  <c:v>14142607.43</c:v>
                </c:pt>
                <c:pt idx="10">
                  <c:v>15693031.13</c:v>
                </c:pt>
                <c:pt idx="11">
                  <c:v>17243454.82</c:v>
                </c:pt>
                <c:pt idx="12">
                  <c:v>18793878.51</c:v>
                </c:pt>
                <c:pt idx="13">
                  <c:v>20344302.2</c:v>
                </c:pt>
                <c:pt idx="14">
                  <c:v>21894725.9</c:v>
                </c:pt>
                <c:pt idx="15">
                  <c:v>23445149.59</c:v>
                </c:pt>
                <c:pt idx="16">
                  <c:v>24995573.28</c:v>
                </c:pt>
                <c:pt idx="17">
                  <c:v>26545996.97</c:v>
                </c:pt>
                <c:pt idx="18">
                  <c:v>28096420.67</c:v>
                </c:pt>
                <c:pt idx="19">
                  <c:v>29646844.36</c:v>
                </c:pt>
                <c:pt idx="20">
                  <c:v>31197268.05</c:v>
                </c:pt>
                <c:pt idx="21">
                  <c:v>32747691.75</c:v>
                </c:pt>
                <c:pt idx="22">
                  <c:v>34298115.44</c:v>
                </c:pt>
                <c:pt idx="23">
                  <c:v>35848539.13</c:v>
                </c:pt>
                <c:pt idx="24">
                  <c:v>37398962.82</c:v>
                </c:pt>
                <c:pt idx="25">
                  <c:v>38949386.52</c:v>
                </c:pt>
                <c:pt idx="26">
                  <c:v>40499810.21</c:v>
                </c:pt>
                <c:pt idx="27">
                  <c:v>42050233.9</c:v>
                </c:pt>
                <c:pt idx="28">
                  <c:v>43600657.59</c:v>
                </c:pt>
                <c:pt idx="29">
                  <c:v>45151081.29</c:v>
                </c:pt>
                <c:pt idx="30">
                  <c:v>46701504.98</c:v>
                </c:pt>
                <c:pt idx="31">
                  <c:v>48251928.67</c:v>
                </c:pt>
                <c:pt idx="32">
                  <c:v>49802352.36</c:v>
                </c:pt>
                <c:pt idx="33">
                  <c:v>51352776.06</c:v>
                </c:pt>
                <c:pt idx="34">
                  <c:v>52903199.75</c:v>
                </c:pt>
                <c:pt idx="35">
                  <c:v>54453623.44</c:v>
                </c:pt>
                <c:pt idx="36">
                  <c:v>56004047.13</c:v>
                </c:pt>
                <c:pt idx="37">
                  <c:v>57554470.83</c:v>
                </c:pt>
                <c:pt idx="38">
                  <c:v>More</c:v>
                </c:pt>
              </c:strCache>
            </c:strRef>
          </c:cat>
          <c:val>
            <c:numRef>
              <c:f>Sheet1!$R$71:$R$109</c:f>
              <c:numCache>
                <c:formatCode>General</c:formatCode>
                <c:ptCount val="39"/>
                <c:pt idx="0">
                  <c:v>1</c:v>
                </c:pt>
                <c:pt idx="1">
                  <c:v>637</c:v>
                </c:pt>
                <c:pt idx="2">
                  <c:v>447</c:v>
                </c:pt>
                <c:pt idx="3">
                  <c:v>176</c:v>
                </c:pt>
                <c:pt idx="4">
                  <c:v>95</c:v>
                </c:pt>
                <c:pt idx="5">
                  <c:v>54</c:v>
                </c:pt>
                <c:pt idx="6">
                  <c:v>30</c:v>
                </c:pt>
                <c:pt idx="7">
                  <c:v>14</c:v>
                </c:pt>
                <c:pt idx="8">
                  <c:v>12</c:v>
                </c:pt>
                <c:pt idx="9">
                  <c:v>9</c:v>
                </c:pt>
                <c:pt idx="10">
                  <c:v>9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D-A448-A537-996FC405A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5477232"/>
        <c:axId val="885478880"/>
      </c:barChart>
      <c:catAx>
        <c:axId val="88547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478880"/>
        <c:crosses val="autoZero"/>
        <c:auto val="1"/>
        <c:lblAlgn val="ctr"/>
        <c:lblOffset val="100"/>
        <c:noMultiLvlLbl val="0"/>
      </c:catAx>
      <c:valAx>
        <c:axId val="885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47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876300</xdr:colOff>
      <xdr:row>15</xdr:row>
      <xdr:rowOff>177800</xdr:rowOff>
    </xdr:from>
    <xdr:to>
      <xdr:col>18</xdr:col>
      <xdr:colOff>647700</xdr:colOff>
      <xdr:row>35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203200</xdr:colOff>
          <xdr:row>4</xdr:row>
          <xdr:rowOff>0</xdr:rowOff>
        </xdr:from>
        <xdr:to>
          <xdr:col>14</xdr:col>
          <xdr:colOff>660400</xdr:colOff>
          <xdr:row>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526"/>
  <sheetViews>
    <sheetView tabSelected="1" workbookViewId="0"/>
  </sheetViews>
  <sheetFormatPr baseColWidth="10" defaultColWidth="11" defaultRowHeight="16" x14ac:dyDescent="0.2"/>
  <cols>
    <col min="1" max="1" width="27.83203125" customWidth="1"/>
    <col min="2" max="2" width="14.83203125" customWidth="1"/>
    <col min="3" max="3" width="13" customWidth="1"/>
    <col min="4" max="4" width="14.1640625" customWidth="1"/>
    <col min="5" max="8" width="14.1640625" hidden="1" customWidth="1"/>
    <col min="9" max="9" width="14" hidden="1" customWidth="1"/>
    <col min="10" max="10" width="13.83203125" hidden="1" customWidth="1"/>
    <col min="11" max="11" width="17" hidden="1" customWidth="1"/>
    <col min="12" max="12" width="13.83203125" hidden="1" customWidth="1"/>
    <col min="13" max="13" width="13.5" customWidth="1"/>
    <col min="14" max="14" width="14.33203125" customWidth="1"/>
    <col min="15" max="15" width="23.5" customWidth="1"/>
  </cols>
  <sheetData>
    <row r="1" spans="1:19" ht="24" x14ac:dyDescent="0.3">
      <c r="A1" s="32" t="s">
        <v>26</v>
      </c>
      <c r="B1" s="2"/>
      <c r="C1" s="3"/>
      <c r="D1" s="4"/>
      <c r="I1" s="5"/>
    </row>
    <row r="2" spans="1:19" ht="17" thickBot="1" x14ac:dyDescent="0.25">
      <c r="A2" s="6" t="s">
        <v>27</v>
      </c>
      <c r="B2" s="7"/>
      <c r="C2" s="8"/>
      <c r="D2" s="9"/>
      <c r="I2" s="5"/>
    </row>
    <row r="3" spans="1:19" ht="17" thickBot="1" x14ac:dyDescent="0.25"/>
    <row r="4" spans="1:19" ht="17" thickBot="1" x14ac:dyDescent="0.25">
      <c r="A4" s="11" t="s">
        <v>0</v>
      </c>
      <c r="B4" s="12"/>
      <c r="C4" s="12"/>
      <c r="D4" s="13"/>
      <c r="N4" s="10"/>
    </row>
    <row r="5" spans="1:19" x14ac:dyDescent="0.2">
      <c r="A5" s="1" t="s">
        <v>1</v>
      </c>
      <c r="B5" s="2"/>
      <c r="C5" s="14">
        <v>0</v>
      </c>
      <c r="D5" s="4"/>
      <c r="N5" s="5"/>
    </row>
    <row r="6" spans="1:19" x14ac:dyDescent="0.2">
      <c r="A6" s="15" t="s">
        <v>28</v>
      </c>
      <c r="B6" s="42"/>
      <c r="C6" s="16">
        <f>O11/2</f>
        <v>343.75</v>
      </c>
      <c r="D6" s="17"/>
      <c r="N6" s="5"/>
    </row>
    <row r="7" spans="1:19" x14ac:dyDescent="0.2">
      <c r="A7" s="15" t="s">
        <v>2</v>
      </c>
      <c r="B7" s="42"/>
      <c r="C7" s="18">
        <v>0.03</v>
      </c>
      <c r="D7" s="17"/>
      <c r="N7" s="50" t="s">
        <v>29</v>
      </c>
      <c r="P7" s="51">
        <v>55000</v>
      </c>
    </row>
    <row r="8" spans="1:19" x14ac:dyDescent="0.2">
      <c r="A8" s="15" t="s">
        <v>3</v>
      </c>
      <c r="B8" s="42"/>
      <c r="C8" s="18">
        <v>0.03</v>
      </c>
      <c r="D8" s="17"/>
      <c r="N8" s="50" t="s">
        <v>30</v>
      </c>
      <c r="P8" s="52">
        <v>0.15</v>
      </c>
    </row>
    <row r="9" spans="1:19" x14ac:dyDescent="0.2">
      <c r="A9" s="15"/>
      <c r="B9" s="42"/>
      <c r="C9" s="43" t="s">
        <v>34</v>
      </c>
      <c r="D9" s="39" t="s">
        <v>7</v>
      </c>
      <c r="N9" s="50" t="s">
        <v>38</v>
      </c>
      <c r="P9" s="53">
        <v>0.03</v>
      </c>
      <c r="Q9" s="35"/>
      <c r="R9" s="36"/>
    </row>
    <row r="10" spans="1:19" x14ac:dyDescent="0.2">
      <c r="A10" s="20" t="s">
        <v>43</v>
      </c>
      <c r="B10" s="42"/>
      <c r="C10" s="21">
        <f>MEDIAN(E:E)</f>
        <v>53640.475000000006</v>
      </c>
      <c r="D10" s="39"/>
      <c r="Q10" s="35"/>
      <c r="R10" s="35"/>
    </row>
    <row r="11" spans="1:19" x14ac:dyDescent="0.2">
      <c r="A11" s="20" t="s">
        <v>44</v>
      </c>
      <c r="B11" s="42"/>
      <c r="C11" s="21">
        <f>MEDIAN(F:F)</f>
        <v>141564.54</v>
      </c>
      <c r="D11" s="39"/>
      <c r="N11" t="s">
        <v>31</v>
      </c>
      <c r="O11" s="38">
        <f>(P7*P8)/12</f>
        <v>687.5</v>
      </c>
      <c r="P11" s="36" t="s">
        <v>32</v>
      </c>
      <c r="Q11" s="35"/>
      <c r="R11" s="36"/>
    </row>
    <row r="12" spans="1:19" x14ac:dyDescent="0.2">
      <c r="A12" s="20" t="s">
        <v>45</v>
      </c>
      <c r="B12" s="42"/>
      <c r="C12" s="21">
        <f>MEDIAN(G:G)</f>
        <v>291142.7</v>
      </c>
      <c r="D12" s="39"/>
      <c r="N12" t="s">
        <v>39</v>
      </c>
      <c r="Q12" s="54">
        <f>O11*(1-R12)</f>
        <v>550</v>
      </c>
      <c r="R12" s="55">
        <v>0.2</v>
      </c>
      <c r="S12" t="s">
        <v>33</v>
      </c>
    </row>
    <row r="13" spans="1:19" x14ac:dyDescent="0.2">
      <c r="A13" s="20" t="s">
        <v>4</v>
      </c>
      <c r="B13" s="42"/>
      <c r="C13" s="21">
        <f>MEDIAN(H:H)</f>
        <v>509137.745</v>
      </c>
      <c r="D13" s="22"/>
      <c r="F13" s="5"/>
      <c r="M13" s="41"/>
    </row>
    <row r="14" spans="1:19" x14ac:dyDescent="0.2">
      <c r="A14" s="20" t="s">
        <v>16</v>
      </c>
      <c r="B14" s="42"/>
      <c r="C14" s="21">
        <f>MEDIAN(I:I)</f>
        <v>859291.86499999999</v>
      </c>
      <c r="D14" s="22"/>
      <c r="I14" s="5"/>
    </row>
    <row r="15" spans="1:19" x14ac:dyDescent="0.2">
      <c r="A15" s="20" t="s">
        <v>17</v>
      </c>
      <c r="B15" s="42"/>
      <c r="C15" s="21">
        <f>MEDIAN(J:J)</f>
        <v>1391960.4649999999</v>
      </c>
      <c r="D15" s="22"/>
      <c r="I15" s="5"/>
    </row>
    <row r="16" spans="1:19" x14ac:dyDescent="0.2">
      <c r="A16" s="20" t="s">
        <v>18</v>
      </c>
      <c r="B16" s="42"/>
      <c r="C16" s="40">
        <f>MEDIAN(K:K)</f>
        <v>2202445.9000000004</v>
      </c>
      <c r="D16" s="22">
        <f>AVERAGE(L27:L1526)</f>
        <v>5707066.0739200059</v>
      </c>
      <c r="I16" s="5"/>
    </row>
    <row r="17" spans="1:15" x14ac:dyDescent="0.2">
      <c r="A17" s="20" t="s">
        <v>19</v>
      </c>
      <c r="B17" s="42"/>
      <c r="C17" s="21">
        <f>MEDIAN(L:L)</f>
        <v>3382335.7450000001</v>
      </c>
      <c r="D17" s="22"/>
      <c r="I17" s="5"/>
    </row>
    <row r="18" spans="1:15" x14ac:dyDescent="0.2">
      <c r="A18" s="20"/>
      <c r="B18" s="42"/>
      <c r="C18" s="44"/>
      <c r="D18" s="22"/>
      <c r="I18" s="5"/>
      <c r="N18" s="47"/>
    </row>
    <row r="19" spans="1:15" x14ac:dyDescent="0.2">
      <c r="A19" s="15"/>
      <c r="B19" s="42"/>
      <c r="C19" s="44" t="s">
        <v>5</v>
      </c>
      <c r="D19" s="17" t="s">
        <v>6</v>
      </c>
      <c r="I19" s="5"/>
    </row>
    <row r="20" spans="1:15" x14ac:dyDescent="0.2">
      <c r="A20" s="15" t="s">
        <v>7</v>
      </c>
      <c r="B20" s="42"/>
      <c r="C20" s="18">
        <v>0.1</v>
      </c>
      <c r="D20" s="23">
        <f>(C20/12)/2</f>
        <v>4.1666666666666666E-3</v>
      </c>
      <c r="I20" s="5"/>
    </row>
    <row r="21" spans="1:15" x14ac:dyDescent="0.2">
      <c r="A21" s="15" t="s">
        <v>8</v>
      </c>
      <c r="B21" s="42"/>
      <c r="C21" s="18">
        <v>0.2</v>
      </c>
      <c r="D21" s="23">
        <f>(C21/SQRT(24))</f>
        <v>4.0824829046386304E-2</v>
      </c>
      <c r="E21" s="31"/>
      <c r="F21" s="31"/>
      <c r="G21" s="31"/>
      <c r="H21" s="5"/>
      <c r="I21" s="5"/>
    </row>
    <row r="22" spans="1:15" ht="17" thickBot="1" x14ac:dyDescent="0.25">
      <c r="A22" s="24"/>
      <c r="B22" s="7"/>
      <c r="C22" s="45"/>
      <c r="D22" s="25"/>
      <c r="H22" s="5"/>
      <c r="I22" s="5"/>
      <c r="J22" s="5"/>
      <c r="K22" s="5"/>
      <c r="L22" s="5"/>
    </row>
    <row r="23" spans="1:15" x14ac:dyDescent="0.2">
      <c r="H23" s="5"/>
    </row>
    <row r="24" spans="1:15" x14ac:dyDescent="0.2">
      <c r="A24" s="26" t="s">
        <v>20</v>
      </c>
      <c r="B24" s="26"/>
      <c r="C24" s="31"/>
      <c r="D24" s="31"/>
      <c r="E24" s="27"/>
      <c r="F24" s="27"/>
      <c r="G24" s="27"/>
      <c r="H24" s="5"/>
    </row>
    <row r="25" spans="1:15" x14ac:dyDescent="0.2">
      <c r="B25" s="26"/>
      <c r="C25" t="s">
        <v>9</v>
      </c>
      <c r="E25" s="5" t="s">
        <v>40</v>
      </c>
      <c r="F25" s="5" t="s">
        <v>41</v>
      </c>
      <c r="G25" s="5" t="s">
        <v>42</v>
      </c>
      <c r="H25" s="5" t="s">
        <v>21</v>
      </c>
      <c r="I25" s="5" t="s">
        <v>22</v>
      </c>
      <c r="J25" s="5" t="s">
        <v>23</v>
      </c>
      <c r="K25" s="5" t="s">
        <v>24</v>
      </c>
      <c r="L25" s="5" t="s">
        <v>25</v>
      </c>
    </row>
    <row r="26" spans="1:15" x14ac:dyDescent="0.2">
      <c r="B26" t="s">
        <v>10</v>
      </c>
      <c r="C26" t="s">
        <v>12</v>
      </c>
      <c r="E26" s="5"/>
      <c r="F26" s="5"/>
      <c r="G26" s="5"/>
      <c r="H26" s="5"/>
      <c r="I26" s="5"/>
      <c r="J26" s="5"/>
      <c r="K26" s="5"/>
      <c r="L26" s="5"/>
    </row>
    <row r="27" spans="1:15" x14ac:dyDescent="0.2">
      <c r="B27" s="27" t="s">
        <v>11</v>
      </c>
      <c r="C27" s="27" t="s">
        <v>13</v>
      </c>
      <c r="D27" s="27" t="s">
        <v>14</v>
      </c>
      <c r="E27" s="56">
        <v>69013.14</v>
      </c>
      <c r="F27" s="56">
        <v>281061.77</v>
      </c>
      <c r="G27" s="56">
        <v>485935.06</v>
      </c>
      <c r="H27" s="33">
        <v>848263.09</v>
      </c>
      <c r="I27" s="33">
        <v>1402945.6</v>
      </c>
      <c r="J27" s="33">
        <v>3616101.53</v>
      </c>
      <c r="K27" s="33">
        <v>6480290.5899999999</v>
      </c>
      <c r="L27" s="33">
        <v>9064566.0099999998</v>
      </c>
      <c r="M27" s="46"/>
      <c r="O27" s="46"/>
    </row>
    <row r="28" spans="1:15" x14ac:dyDescent="0.2">
      <c r="A28" t="s">
        <v>15</v>
      </c>
      <c r="C28" s="19"/>
      <c r="D28" s="5"/>
      <c r="E28" s="56">
        <v>59553.38</v>
      </c>
      <c r="F28" s="56">
        <v>294156.18</v>
      </c>
      <c r="G28" s="56">
        <v>353947.59</v>
      </c>
      <c r="H28" s="34">
        <v>658325.22</v>
      </c>
      <c r="I28" s="34">
        <v>2712139.42</v>
      </c>
      <c r="J28" s="34">
        <v>2578155.44</v>
      </c>
      <c r="K28" s="34">
        <v>4789623.03</v>
      </c>
      <c r="L28" s="34">
        <v>6446993.9299999997</v>
      </c>
      <c r="M28" s="46"/>
      <c r="O28" s="46"/>
    </row>
    <row r="29" spans="1:15" x14ac:dyDescent="0.2">
      <c r="A29" s="5">
        <v>1</v>
      </c>
      <c r="B29" s="28">
        <f>$C$5+$C$6</f>
        <v>343.75</v>
      </c>
      <c r="C29" s="19"/>
      <c r="D29" s="5"/>
      <c r="E29" s="56">
        <v>78504.63</v>
      </c>
      <c r="F29" s="56">
        <v>125259.53</v>
      </c>
      <c r="G29" s="56">
        <v>385949.29</v>
      </c>
      <c r="H29" s="34">
        <v>724497.92000000004</v>
      </c>
      <c r="I29" s="34">
        <v>1129187.2</v>
      </c>
      <c r="J29" s="34">
        <v>2376451.4700000002</v>
      </c>
      <c r="K29" s="34">
        <v>4271595.9000000004</v>
      </c>
      <c r="L29" s="34">
        <v>9634600.1600000001</v>
      </c>
      <c r="M29" s="46"/>
      <c r="O29" s="46"/>
    </row>
    <row r="30" spans="1:15" x14ac:dyDescent="0.2">
      <c r="A30" s="5">
        <v>2</v>
      </c>
      <c r="B30" s="28">
        <f t="shared" ref="B30:B52" ca="1" si="0">(B29*(1+D30))+$C$6</f>
        <v>688.0833433604206</v>
      </c>
      <c r="C30" s="29">
        <f ca="1">NORMSINV(RAND())</f>
        <v>-6.0494259441538537E-2</v>
      </c>
      <c r="D30" s="30">
        <f t="shared" ref="D30:D93" ca="1" si="1">$D$20+(C30*$D$21)</f>
        <v>1.696998866678115E-3</v>
      </c>
      <c r="E30" s="56">
        <v>34480.449999999997</v>
      </c>
      <c r="F30" s="56">
        <v>129328.38</v>
      </c>
      <c r="G30" s="56">
        <v>254443.15</v>
      </c>
      <c r="H30" s="34">
        <v>468281.14</v>
      </c>
      <c r="I30" s="34">
        <v>513772.26</v>
      </c>
      <c r="J30" s="34">
        <v>1403956.86</v>
      </c>
      <c r="K30" s="34">
        <v>4598455.5999999996</v>
      </c>
      <c r="L30" s="34">
        <v>5113365.9000000004</v>
      </c>
      <c r="M30" s="46"/>
      <c r="O30" s="46"/>
    </row>
    <row r="31" spans="1:15" x14ac:dyDescent="0.2">
      <c r="A31" s="5">
        <v>3</v>
      </c>
      <c r="B31" s="28">
        <f t="shared" ca="1" si="0"/>
        <v>1085.6428437713596</v>
      </c>
      <c r="C31" s="29">
        <f t="shared" ref="C31:C94" ca="1" si="2">NORMSINV(RAND())</f>
        <v>1.8134881378741894</v>
      </c>
      <c r="D31" s="30">
        <f t="shared" ca="1" si="1"/>
        <v>7.8202009873029887E-2</v>
      </c>
      <c r="E31" s="56">
        <v>54910.51</v>
      </c>
      <c r="F31" s="56">
        <v>206995.88</v>
      </c>
      <c r="G31" s="56">
        <v>348862.37</v>
      </c>
      <c r="H31" s="34">
        <v>663889.17000000004</v>
      </c>
      <c r="I31" s="34">
        <v>946891.61</v>
      </c>
      <c r="J31" s="34">
        <v>1039179.11</v>
      </c>
      <c r="K31" s="34">
        <v>888720.57</v>
      </c>
      <c r="L31" s="34">
        <v>1384452.83</v>
      </c>
      <c r="M31" s="46"/>
      <c r="O31" s="46"/>
    </row>
    <row r="32" spans="1:15" x14ac:dyDescent="0.2">
      <c r="A32" s="5">
        <v>4</v>
      </c>
      <c r="B32" s="28">
        <f t="shared" ca="1" si="0"/>
        <v>1417.4906467753804</v>
      </c>
      <c r="C32" s="29">
        <f t="shared" ca="1" si="2"/>
        <v>-0.37060627778898869</v>
      </c>
      <c r="D32" s="30">
        <f t="shared" ca="1" si="1"/>
        <v>-1.0963271267586349E-2</v>
      </c>
      <c r="E32" s="56">
        <v>73994.559999999998</v>
      </c>
      <c r="F32" s="56">
        <v>92744.19</v>
      </c>
      <c r="G32" s="56">
        <v>141596.12</v>
      </c>
      <c r="H32" s="34">
        <v>246680.81</v>
      </c>
      <c r="I32" s="34">
        <v>278904.76</v>
      </c>
      <c r="J32" s="34">
        <v>373719.79</v>
      </c>
      <c r="K32" s="34">
        <v>986300.37</v>
      </c>
      <c r="L32" s="34">
        <v>1551086.25</v>
      </c>
      <c r="M32" s="46"/>
      <c r="O32" s="46"/>
    </row>
    <row r="33" spans="1:18" x14ac:dyDescent="0.2">
      <c r="A33" s="5">
        <v>5</v>
      </c>
      <c r="B33" s="28">
        <f t="shared" ca="1" si="0"/>
        <v>1771.5478098869512</v>
      </c>
      <c r="C33" s="29">
        <f t="shared" ca="1" si="2"/>
        <v>7.6050498189497218E-2</v>
      </c>
      <c r="D33" s="30">
        <f t="shared" ca="1" si="1"/>
        <v>7.2714152541454016E-3</v>
      </c>
      <c r="E33" s="56">
        <v>65191.39</v>
      </c>
      <c r="F33" s="56">
        <v>98831.12</v>
      </c>
      <c r="G33" s="56">
        <v>208107.25</v>
      </c>
      <c r="H33" s="34">
        <v>790228.9</v>
      </c>
      <c r="I33" s="34">
        <v>1281310.43</v>
      </c>
      <c r="J33" s="34">
        <v>1296411.06</v>
      </c>
      <c r="K33" s="34">
        <v>2202154.6</v>
      </c>
      <c r="L33" s="34">
        <v>9991124.0800000001</v>
      </c>
      <c r="M33" s="46"/>
      <c r="O33" s="46"/>
    </row>
    <row r="34" spans="1:18" x14ac:dyDescent="0.2">
      <c r="A34" s="5">
        <v>6</v>
      </c>
      <c r="B34" s="28">
        <f t="shared" ca="1" si="0"/>
        <v>2107.7609726454039</v>
      </c>
      <c r="C34" s="29">
        <f t="shared" ca="1" si="2"/>
        <v>-0.20627266977379582</v>
      </c>
      <c r="D34" s="30">
        <f t="shared" ca="1" si="1"/>
        <v>-4.2543798137902435E-3</v>
      </c>
      <c r="E34" s="56">
        <v>57554.77</v>
      </c>
      <c r="F34" s="56">
        <v>233348.25</v>
      </c>
      <c r="G34" s="56">
        <v>293427.87</v>
      </c>
      <c r="H34" s="34">
        <v>396472.16</v>
      </c>
      <c r="I34" s="34">
        <v>911618.79</v>
      </c>
      <c r="J34" s="34">
        <v>863916.99</v>
      </c>
      <c r="K34" s="34">
        <v>720671.48</v>
      </c>
      <c r="L34" s="34">
        <v>1160962.0900000001</v>
      </c>
      <c r="M34" s="46"/>
      <c r="O34" s="46"/>
    </row>
    <row r="35" spans="1:18" x14ac:dyDescent="0.2">
      <c r="A35" s="5">
        <v>7</v>
      </c>
      <c r="B35" s="28">
        <f t="shared" ca="1" si="0"/>
        <v>2448.8044716597947</v>
      </c>
      <c r="C35" s="29">
        <f t="shared" ca="1" si="2"/>
        <v>-0.13351510020837565</v>
      </c>
      <c r="D35" s="30">
        <f t="shared" ca="1" si="1"/>
        <v>-1.2840644744514058E-3</v>
      </c>
      <c r="E35" s="56">
        <v>70000.820000000007</v>
      </c>
      <c r="F35" s="56">
        <v>96107.77</v>
      </c>
      <c r="G35" s="56">
        <v>522089.87</v>
      </c>
      <c r="H35" s="34">
        <v>934407.55</v>
      </c>
      <c r="I35" s="34">
        <v>3298722.89</v>
      </c>
      <c r="J35" s="34">
        <v>2504388.6800000002</v>
      </c>
      <c r="K35" s="34">
        <v>4055327.98</v>
      </c>
      <c r="L35" s="34">
        <v>4678531</v>
      </c>
      <c r="M35" s="46"/>
      <c r="O35" s="46"/>
    </row>
    <row r="36" spans="1:18" x14ac:dyDescent="0.2">
      <c r="A36" s="5">
        <v>8</v>
      </c>
      <c r="B36" s="28">
        <f t="shared" ca="1" si="0"/>
        <v>2708.9569177440849</v>
      </c>
      <c r="C36" s="29">
        <f t="shared" ca="1" si="2"/>
        <v>-0.93827155037595189</v>
      </c>
      <c r="D36" s="30">
        <f t="shared" ca="1" si="1"/>
        <v>-3.4138108976519407E-2</v>
      </c>
      <c r="E36" s="56">
        <v>39861.279999999999</v>
      </c>
      <c r="F36" s="56">
        <v>120226.01</v>
      </c>
      <c r="G36" s="56">
        <v>503707.54</v>
      </c>
      <c r="H36" s="34">
        <v>739713.46</v>
      </c>
      <c r="I36" s="34">
        <v>701157.22</v>
      </c>
      <c r="J36" s="34">
        <v>1888936.68</v>
      </c>
      <c r="K36" s="34">
        <v>4221595.8600000003</v>
      </c>
      <c r="L36" s="34">
        <v>7932257.4100000001</v>
      </c>
      <c r="M36" s="46"/>
      <c r="O36" s="46"/>
    </row>
    <row r="37" spans="1:18" x14ac:dyDescent="0.2">
      <c r="A37" s="5">
        <v>9</v>
      </c>
      <c r="B37" s="28">
        <f t="shared" ca="1" si="0"/>
        <v>2970.6523050079886</v>
      </c>
      <c r="C37" s="29">
        <f t="shared" ca="1" si="2"/>
        <v>-0.84401529796475327</v>
      </c>
      <c r="D37" s="30">
        <f t="shared" ca="1" si="1"/>
        <v>-3.0290113585279187E-2</v>
      </c>
      <c r="E37" s="56">
        <v>54360.31</v>
      </c>
      <c r="F37" s="56">
        <v>115200.88</v>
      </c>
      <c r="G37" s="56">
        <v>243965.97</v>
      </c>
      <c r="H37" s="34">
        <v>472608.14</v>
      </c>
      <c r="I37" s="34">
        <v>622782.92000000004</v>
      </c>
      <c r="J37" s="34">
        <v>2331735.79</v>
      </c>
      <c r="K37" s="34">
        <v>5023472.83</v>
      </c>
      <c r="L37" s="34">
        <v>9106275.3699999992</v>
      </c>
      <c r="M37" s="46"/>
      <c r="O37" s="46"/>
    </row>
    <row r="38" spans="1:18" x14ac:dyDescent="0.2">
      <c r="A38" s="5">
        <v>10</v>
      </c>
      <c r="B38" s="28">
        <f t="shared" ca="1" si="0"/>
        <v>3472.4436975622802</v>
      </c>
      <c r="C38" s="29">
        <f t="shared" ca="1" si="2"/>
        <v>1.2010886506924821</v>
      </c>
      <c r="D38" s="30">
        <f t="shared" ca="1" si="1"/>
        <v>5.3200905500742038E-2</v>
      </c>
      <c r="E38" s="56">
        <v>71076.92</v>
      </c>
      <c r="F38" s="56">
        <v>155654.76999999999</v>
      </c>
      <c r="G38" s="56">
        <v>435424.84</v>
      </c>
      <c r="H38" s="34">
        <v>659497.04</v>
      </c>
      <c r="I38" s="34">
        <v>1249990.96</v>
      </c>
      <c r="J38" s="34">
        <v>2747343.59</v>
      </c>
      <c r="K38" s="34">
        <v>2701124.98</v>
      </c>
      <c r="L38" s="34">
        <v>3367067.74</v>
      </c>
      <c r="M38" s="46"/>
      <c r="O38" s="46"/>
    </row>
    <row r="39" spans="1:18" x14ac:dyDescent="0.2">
      <c r="A39" s="5">
        <v>11</v>
      </c>
      <c r="B39" s="28">
        <f t="shared" ca="1" si="0"/>
        <v>3599.9420697148935</v>
      </c>
      <c r="C39" s="29">
        <f t="shared" ca="1" si="2"/>
        <v>-1.6275184670398757</v>
      </c>
      <c r="D39" s="30">
        <f t="shared" ca="1" si="1"/>
        <v>-6.2276496520072958E-2</v>
      </c>
      <c r="E39" s="56">
        <v>74022.960000000006</v>
      </c>
      <c r="F39" s="56">
        <v>94504.3</v>
      </c>
      <c r="G39" s="56">
        <v>290528.83</v>
      </c>
      <c r="H39" s="34">
        <v>1243934.8799999999</v>
      </c>
      <c r="I39" s="34">
        <v>2323682.87</v>
      </c>
      <c r="J39" s="34">
        <v>1453255.43</v>
      </c>
      <c r="K39" s="34">
        <v>2076781.13</v>
      </c>
      <c r="L39" s="34">
        <v>2207950.96</v>
      </c>
      <c r="M39" s="46"/>
      <c r="O39" s="46"/>
    </row>
    <row r="40" spans="1:18" x14ac:dyDescent="0.2">
      <c r="A40" s="5">
        <v>12</v>
      </c>
      <c r="B40" s="28">
        <f t="shared" ca="1" si="0"/>
        <v>3909.9052809628911</v>
      </c>
      <c r="C40" s="29">
        <f t="shared" ca="1" si="2"/>
        <v>-0.33195575114442938</v>
      </c>
      <c r="D40" s="30">
        <f t="shared" ca="1" si="1"/>
        <v>-9.3853701247694175E-3</v>
      </c>
      <c r="E40" s="56">
        <v>50213.07</v>
      </c>
      <c r="F40" s="56">
        <v>211927.35</v>
      </c>
      <c r="G40" s="56">
        <v>229359.13</v>
      </c>
      <c r="H40" s="34">
        <v>525723.4</v>
      </c>
      <c r="I40" s="34">
        <v>1027725.56</v>
      </c>
      <c r="J40" s="34">
        <v>518760.72</v>
      </c>
      <c r="K40" s="34">
        <v>1134188.03</v>
      </c>
      <c r="L40" s="34">
        <v>1262589.21</v>
      </c>
      <c r="M40" s="46"/>
      <c r="O40" s="46"/>
      <c r="Q40" s="41" t="s">
        <v>34</v>
      </c>
      <c r="R40" s="37">
        <f>C16</f>
        <v>2202445.9000000004</v>
      </c>
    </row>
    <row r="41" spans="1:18" x14ac:dyDescent="0.2">
      <c r="A41" s="5">
        <v>13</v>
      </c>
      <c r="B41" s="28">
        <f t="shared" ca="1" si="0"/>
        <v>4384.0010420592062</v>
      </c>
      <c r="C41" s="29">
        <f t="shared" ca="1" si="2"/>
        <v>0.71453214611165805</v>
      </c>
      <c r="D41" s="30">
        <f t="shared" ca="1" si="1"/>
        <v>3.3337319379822629E-2</v>
      </c>
      <c r="E41" s="56">
        <v>43236.49</v>
      </c>
      <c r="F41" s="56">
        <v>108728.3</v>
      </c>
      <c r="G41" s="56">
        <v>175122.43</v>
      </c>
      <c r="H41" s="34">
        <v>363222.52</v>
      </c>
      <c r="I41" s="34">
        <v>601229.69999999995</v>
      </c>
      <c r="J41" s="34">
        <v>1299969.28</v>
      </c>
      <c r="K41" s="34">
        <v>1894969.86</v>
      </c>
      <c r="L41" s="34">
        <v>4181018.21</v>
      </c>
      <c r="M41" s="46"/>
      <c r="O41" s="46"/>
      <c r="Q41" s="41" t="s">
        <v>7</v>
      </c>
      <c r="R41" s="37">
        <f>D16</f>
        <v>5707066.0739200059</v>
      </c>
    </row>
    <row r="42" spans="1:18" x14ac:dyDescent="0.2">
      <c r="A42" s="5">
        <v>14</v>
      </c>
      <c r="B42" s="28">
        <f t="shared" ca="1" si="0"/>
        <v>4874.0668107285628</v>
      </c>
      <c r="C42" s="29">
        <f t="shared" ca="1" si="2"/>
        <v>0.71545364219481866</v>
      </c>
      <c r="D42" s="30">
        <f t="shared" ca="1" si="1"/>
        <v>3.3374939299884575E-2</v>
      </c>
      <c r="E42" s="56">
        <v>68107.81</v>
      </c>
      <c r="F42" s="56">
        <v>182049.42</v>
      </c>
      <c r="G42" s="56">
        <v>449853.26</v>
      </c>
      <c r="H42" s="34">
        <v>572062.98</v>
      </c>
      <c r="I42" s="34">
        <v>961930.11</v>
      </c>
      <c r="J42" s="34">
        <v>2560487.89</v>
      </c>
      <c r="K42" s="34">
        <v>3076577.06</v>
      </c>
      <c r="L42" s="34">
        <v>6253598.1200000001</v>
      </c>
      <c r="M42" s="46"/>
      <c r="O42" s="46"/>
    </row>
    <row r="43" spans="1:18" x14ac:dyDescent="0.2">
      <c r="A43" s="5">
        <v>15</v>
      </c>
      <c r="B43" s="28">
        <f t="shared" ca="1" si="0"/>
        <v>5234.9618365421529</v>
      </c>
      <c r="C43" s="29">
        <f t="shared" ca="1" si="2"/>
        <v>-1.5898779208292527E-2</v>
      </c>
      <c r="D43" s="30">
        <f t="shared" ca="1" si="1"/>
        <v>3.5176017234418832E-3</v>
      </c>
      <c r="E43" s="56">
        <v>49026.81</v>
      </c>
      <c r="F43" s="56">
        <v>93867.839999999997</v>
      </c>
      <c r="G43" s="56">
        <v>232758.45</v>
      </c>
      <c r="H43" s="34">
        <v>525553.05000000005</v>
      </c>
      <c r="I43" s="34">
        <v>1385237.73</v>
      </c>
      <c r="J43" s="34">
        <v>3793544.47</v>
      </c>
      <c r="K43" s="34">
        <v>3836228.36</v>
      </c>
      <c r="L43" s="34">
        <v>7046018.5199999996</v>
      </c>
      <c r="M43" s="46"/>
      <c r="O43" s="46"/>
    </row>
    <row r="44" spans="1:18" x14ac:dyDescent="0.2">
      <c r="A44" s="5">
        <v>16</v>
      </c>
      <c r="B44" s="28">
        <f t="shared" ca="1" si="0"/>
        <v>5816.8371235970026</v>
      </c>
      <c r="C44" s="29">
        <f t="shared" ca="1" si="2"/>
        <v>1.0121493893790134</v>
      </c>
      <c r="D44" s="30">
        <f t="shared" ca="1" si="1"/>
        <v>4.5487492457469178E-2</v>
      </c>
      <c r="E44" s="56">
        <v>66082.92</v>
      </c>
      <c r="F44" s="56">
        <v>232699.32</v>
      </c>
      <c r="G44" s="56">
        <v>449911.23</v>
      </c>
      <c r="H44" s="34">
        <v>1050602.48</v>
      </c>
      <c r="I44" s="34">
        <v>3007575.84</v>
      </c>
      <c r="J44" s="34">
        <v>5625334.0300000003</v>
      </c>
      <c r="K44" s="34">
        <v>10229658.02</v>
      </c>
      <c r="L44" s="34">
        <v>29838556.789999999</v>
      </c>
      <c r="O44" s="46"/>
    </row>
    <row r="45" spans="1:18" x14ac:dyDescent="0.2">
      <c r="A45" s="5">
        <v>17</v>
      </c>
      <c r="B45" s="28">
        <f t="shared" ca="1" si="0"/>
        <v>6046.526850870624</v>
      </c>
      <c r="C45" s="29">
        <f t="shared" ca="1" si="2"/>
        <v>-0.58237373025018957</v>
      </c>
      <c r="D45" s="30">
        <f t="shared" ca="1" si="1"/>
        <v>-1.9608641311903617E-2</v>
      </c>
      <c r="E45" s="56">
        <v>77423.360000000001</v>
      </c>
      <c r="F45" s="56">
        <v>356160.68</v>
      </c>
      <c r="G45" s="56">
        <v>474060.68</v>
      </c>
      <c r="H45" s="34">
        <v>482612.31</v>
      </c>
      <c r="I45" s="34">
        <v>397208.69</v>
      </c>
      <c r="J45" s="34">
        <v>514588.88</v>
      </c>
      <c r="K45" s="34">
        <v>613645.6</v>
      </c>
      <c r="L45" s="34">
        <v>1656866.58</v>
      </c>
      <c r="O45" s="46"/>
    </row>
    <row r="46" spans="1:18" x14ac:dyDescent="0.2">
      <c r="A46" s="5">
        <v>18</v>
      </c>
      <c r="B46" s="28">
        <f t="shared" ca="1" si="0"/>
        <v>6414.8417653646848</v>
      </c>
      <c r="C46" s="29">
        <f t="shared" ca="1" si="2"/>
        <v>-2.5479092464895606E-3</v>
      </c>
      <c r="D46" s="30">
        <f t="shared" ca="1" si="1"/>
        <v>4.0626487072530229E-3</v>
      </c>
      <c r="E46" s="56">
        <v>42081.78</v>
      </c>
      <c r="F46" s="56">
        <v>53789.35</v>
      </c>
      <c r="G46" s="56">
        <v>138176.1</v>
      </c>
      <c r="H46" s="34">
        <v>332118.65000000002</v>
      </c>
      <c r="I46" s="34">
        <v>299739.89</v>
      </c>
      <c r="J46" s="34">
        <v>467746.92</v>
      </c>
      <c r="K46" s="34">
        <v>1028785.74</v>
      </c>
      <c r="L46" s="34">
        <v>997802.75</v>
      </c>
      <c r="O46" s="46"/>
    </row>
    <row r="47" spans="1:18" x14ac:dyDescent="0.2">
      <c r="A47" s="5">
        <v>19</v>
      </c>
      <c r="B47" s="28">
        <f t="shared" ca="1" si="0"/>
        <v>6872.0754722343272</v>
      </c>
      <c r="C47" s="29">
        <f t="shared" ca="1" si="2"/>
        <v>0.33127235108107267</v>
      </c>
      <c r="D47" s="30">
        <f t="shared" ca="1" si="1"/>
        <v>1.7690803767345924E-2</v>
      </c>
      <c r="E47" s="56">
        <v>46375.68</v>
      </c>
      <c r="F47" s="56">
        <v>145826.06</v>
      </c>
      <c r="G47" s="56">
        <v>423088.91</v>
      </c>
      <c r="H47" s="34">
        <v>180642.16</v>
      </c>
      <c r="I47" s="34">
        <v>406194.53</v>
      </c>
      <c r="J47" s="34">
        <v>984047.76</v>
      </c>
      <c r="K47" s="34">
        <v>686941.46</v>
      </c>
      <c r="L47" s="34">
        <v>1294860.75</v>
      </c>
      <c r="O47" s="46"/>
    </row>
    <row r="48" spans="1:18" x14ac:dyDescent="0.2">
      <c r="A48" s="5">
        <v>20</v>
      </c>
      <c r="B48" s="28">
        <f t="shared" ca="1" si="0"/>
        <v>6893.6843897105964</v>
      </c>
      <c r="C48" s="29">
        <f t="shared" ca="1" si="2"/>
        <v>-1.2503051042286457</v>
      </c>
      <c r="D48" s="30">
        <f t="shared" ca="1" si="1"/>
        <v>-4.6876825469292005E-2</v>
      </c>
      <c r="E48" s="56">
        <v>49833</v>
      </c>
      <c r="F48" s="56">
        <v>337912.85</v>
      </c>
      <c r="G48" s="56">
        <v>267516.07</v>
      </c>
      <c r="H48" s="34">
        <v>485803.65</v>
      </c>
      <c r="I48" s="34">
        <v>822963.91</v>
      </c>
      <c r="J48" s="34">
        <v>1299744.77</v>
      </c>
      <c r="K48" s="34">
        <v>834660.54</v>
      </c>
      <c r="L48" s="34">
        <v>1667104.22</v>
      </c>
      <c r="O48" s="46"/>
    </row>
    <row r="49" spans="1:15" x14ac:dyDescent="0.2">
      <c r="A49" s="5">
        <v>21</v>
      </c>
      <c r="B49" s="28">
        <f t="shared" ca="1" si="0"/>
        <v>6817.0923967703284</v>
      </c>
      <c r="C49" s="29">
        <f t="shared" ca="1" si="2"/>
        <v>-1.5956369767775553</v>
      </c>
      <c r="D49" s="30">
        <f t="shared" ca="1" si="1"/>
        <v>-6.0974940130369706E-2</v>
      </c>
      <c r="E49" s="56">
        <v>77972.06</v>
      </c>
      <c r="F49" s="56">
        <v>254735.84</v>
      </c>
      <c r="G49" s="56">
        <v>682259.31</v>
      </c>
      <c r="H49" s="34">
        <v>1595119.95</v>
      </c>
      <c r="I49" s="34">
        <v>3325151.22</v>
      </c>
      <c r="J49" s="34">
        <v>3755253.37</v>
      </c>
      <c r="K49" s="34">
        <v>6404431.8300000001</v>
      </c>
      <c r="L49" s="34">
        <v>9197401.9000000004</v>
      </c>
      <c r="O49" s="46"/>
    </row>
    <row r="50" spans="1:15" x14ac:dyDescent="0.2">
      <c r="A50" s="5">
        <v>22</v>
      </c>
      <c r="B50" s="28">
        <f t="shared" ca="1" si="0"/>
        <v>6946.7651879280893</v>
      </c>
      <c r="C50" s="29">
        <f t="shared" ca="1" si="2"/>
        <v>-0.87127553886023668</v>
      </c>
      <c r="D50" s="30">
        <f t="shared" ca="1" si="1"/>
        <v>-3.1403008259600601E-2</v>
      </c>
      <c r="E50" s="56">
        <v>72000.89</v>
      </c>
      <c r="F50" s="56">
        <v>174382.85</v>
      </c>
      <c r="G50" s="56">
        <v>256908.14</v>
      </c>
      <c r="H50" s="34">
        <v>812280.63</v>
      </c>
      <c r="I50" s="34">
        <v>486843.78</v>
      </c>
      <c r="J50" s="34">
        <v>832759.26</v>
      </c>
      <c r="K50" s="34">
        <v>1963866.38</v>
      </c>
      <c r="L50" s="34">
        <v>2862710.51</v>
      </c>
      <c r="O50" s="46"/>
    </row>
    <row r="51" spans="1:15" x14ac:dyDescent="0.2">
      <c r="A51" s="5">
        <v>23</v>
      </c>
      <c r="B51" s="28">
        <f t="shared" ca="1" si="0"/>
        <v>7484.5065520006747</v>
      </c>
      <c r="C51" s="29">
        <f t="shared" ca="1" si="2"/>
        <v>0.58196832661225495</v>
      </c>
      <c r="D51" s="30">
        <f t="shared" ca="1" si="1"/>
        <v>2.7925424111023483E-2</v>
      </c>
      <c r="E51" s="56">
        <v>37054.17</v>
      </c>
      <c r="F51" s="56">
        <v>83088.160000000003</v>
      </c>
      <c r="G51" s="56">
        <v>103702.94</v>
      </c>
      <c r="H51" s="34">
        <v>449483.95</v>
      </c>
      <c r="I51" s="34">
        <v>809707.85</v>
      </c>
      <c r="J51" s="34">
        <v>1169945.27</v>
      </c>
      <c r="K51" s="34">
        <v>1018689.99</v>
      </c>
      <c r="L51" s="34">
        <v>2418836.0099999998</v>
      </c>
      <c r="O51" s="46"/>
    </row>
    <row r="52" spans="1:15" x14ac:dyDescent="0.2">
      <c r="A52" s="5">
        <v>24</v>
      </c>
      <c r="B52" s="28">
        <f t="shared" ca="1" si="0"/>
        <v>7160.9632836852852</v>
      </c>
      <c r="C52" s="29">
        <f t="shared" ca="1" si="2"/>
        <v>-2.2859442094147964</v>
      </c>
      <c r="D52" s="30">
        <f t="shared" ca="1" si="1"/>
        <v>-8.9156614892269087E-2</v>
      </c>
      <c r="E52" s="56">
        <v>39631.74</v>
      </c>
      <c r="F52" s="56">
        <v>231465.97</v>
      </c>
      <c r="G52" s="56">
        <v>771711.08</v>
      </c>
      <c r="H52" s="34">
        <v>1061241.3999999999</v>
      </c>
      <c r="I52" s="34">
        <v>1553825.01</v>
      </c>
      <c r="J52" s="34">
        <v>1386507.34</v>
      </c>
      <c r="K52" s="34">
        <v>1863235.7</v>
      </c>
      <c r="L52" s="34">
        <v>2443810.06</v>
      </c>
      <c r="O52" s="46"/>
    </row>
    <row r="53" spans="1:15" x14ac:dyDescent="0.2">
      <c r="A53" s="5">
        <v>25</v>
      </c>
      <c r="B53" s="28">
        <f t="shared" ref="B53:B76" ca="1" si="3">(B52*(1+D53))+($C$6*(1+$C$8))</f>
        <v>7587.0534901055153</v>
      </c>
      <c r="C53" s="29">
        <f t="shared" ca="1" si="2"/>
        <v>0.14431697037467475</v>
      </c>
      <c r="D53" s="30">
        <f t="shared" ca="1" si="1"/>
        <v>1.0058382310705161E-2</v>
      </c>
      <c r="E53" s="56">
        <v>44665.599999999999</v>
      </c>
      <c r="F53" s="56">
        <v>99456.87</v>
      </c>
      <c r="G53" s="56">
        <v>214622.51</v>
      </c>
      <c r="H53" s="34">
        <v>463846.61</v>
      </c>
      <c r="I53" s="34">
        <v>421496.34</v>
      </c>
      <c r="J53" s="34">
        <v>302804.24</v>
      </c>
      <c r="K53" s="34">
        <v>682888.12</v>
      </c>
      <c r="L53" s="34">
        <v>903991.06</v>
      </c>
      <c r="O53" s="46"/>
    </row>
    <row r="54" spans="1:15" x14ac:dyDescent="0.2">
      <c r="A54" s="5">
        <v>26</v>
      </c>
      <c r="B54" s="28">
        <f t="shared" ca="1" si="3"/>
        <v>7414.1156252025185</v>
      </c>
      <c r="C54" s="29">
        <f t="shared" ca="1" si="2"/>
        <v>-1.8034893657757645</v>
      </c>
      <c r="D54" s="30">
        <f t="shared" ca="1" si="1"/>
        <v>-6.9460478378104581E-2</v>
      </c>
      <c r="E54" s="56">
        <v>39361.78</v>
      </c>
      <c r="F54" s="56">
        <v>103765.47</v>
      </c>
      <c r="G54" s="56">
        <v>155355.17000000001</v>
      </c>
      <c r="H54" s="34">
        <v>348237.43</v>
      </c>
      <c r="I54" s="34">
        <v>787038.8</v>
      </c>
      <c r="J54" s="34">
        <v>898633.79</v>
      </c>
      <c r="K54" s="34">
        <v>1037699.21</v>
      </c>
      <c r="L54" s="34">
        <v>2349566.77</v>
      </c>
      <c r="O54" s="46"/>
    </row>
    <row r="55" spans="1:15" x14ac:dyDescent="0.2">
      <c r="A55" s="5">
        <v>27</v>
      </c>
      <c r="B55" s="28">
        <f t="shared" ca="1" si="3"/>
        <v>7482.7794692049256</v>
      </c>
      <c r="C55" s="29">
        <f t="shared" ca="1" si="2"/>
        <v>-1.0449676271150761</v>
      </c>
      <c r="D55" s="30">
        <f t="shared" ca="1" si="1"/>
        <v>-3.8493958069314264E-2</v>
      </c>
      <c r="E55" s="56">
        <v>55354.75</v>
      </c>
      <c r="F55" s="56">
        <v>110961.98</v>
      </c>
      <c r="G55" s="56">
        <v>167988.86</v>
      </c>
      <c r="H55" s="34">
        <v>285586.65999999997</v>
      </c>
      <c r="I55" s="34">
        <v>447935.37</v>
      </c>
      <c r="J55" s="34">
        <v>522548.72</v>
      </c>
      <c r="K55" s="34">
        <v>459284.22</v>
      </c>
      <c r="L55" s="34">
        <v>473799.31</v>
      </c>
      <c r="O55" s="46"/>
    </row>
    <row r="56" spans="1:15" x14ac:dyDescent="0.2">
      <c r="A56" s="5">
        <v>28</v>
      </c>
      <c r="B56" s="28">
        <f t="shared" ca="1" si="3"/>
        <v>8193.748742944219</v>
      </c>
      <c r="C56" s="29">
        <f t="shared" ca="1" si="2"/>
        <v>1.0662731496127984</v>
      </c>
      <c r="D56" s="30">
        <f t="shared" ca="1" si="1"/>
        <v>4.7697085716361047E-2</v>
      </c>
      <c r="E56" s="56">
        <v>44029.64</v>
      </c>
      <c r="F56" s="56">
        <v>146187.72</v>
      </c>
      <c r="G56" s="56">
        <v>347821.99</v>
      </c>
      <c r="H56" s="34">
        <v>363898.39</v>
      </c>
      <c r="I56" s="34">
        <v>537348.44999999995</v>
      </c>
      <c r="J56" s="34">
        <v>665851.23</v>
      </c>
      <c r="K56" s="34">
        <v>471207.8</v>
      </c>
      <c r="L56" s="34">
        <v>990006.74</v>
      </c>
      <c r="O56" s="46"/>
    </row>
    <row r="57" spans="1:15" x14ac:dyDescent="0.2">
      <c r="A57" s="5">
        <v>29</v>
      </c>
      <c r="B57" s="28">
        <f t="shared" ca="1" si="3"/>
        <v>7965.8422059393552</v>
      </c>
      <c r="C57" s="29">
        <f t="shared" ca="1" si="2"/>
        <v>-1.8418361753895764</v>
      </c>
      <c r="D57" s="30">
        <f t="shared" ca="1" si="1"/>
        <v>-7.1025980325062771E-2</v>
      </c>
      <c r="E57" s="56">
        <v>138347.47</v>
      </c>
      <c r="F57" s="56">
        <v>230614.08</v>
      </c>
      <c r="G57" s="56">
        <v>354305.86</v>
      </c>
      <c r="H57" s="34">
        <v>424788.23</v>
      </c>
      <c r="I57" s="34">
        <v>1036537.43</v>
      </c>
      <c r="J57" s="34">
        <v>2333832.23</v>
      </c>
      <c r="K57" s="34">
        <v>6073750.6399999997</v>
      </c>
      <c r="L57" s="34">
        <v>11617116.890000001</v>
      </c>
      <c r="O57" s="46"/>
    </row>
    <row r="58" spans="1:15" x14ac:dyDescent="0.2">
      <c r="A58" s="5">
        <v>30</v>
      </c>
      <c r="B58" s="28">
        <f t="shared" ca="1" si="3"/>
        <v>8250.2181028460418</v>
      </c>
      <c r="C58" s="29">
        <f t="shared" ca="1" si="2"/>
        <v>-0.31634778789061951</v>
      </c>
      <c r="D58" s="30">
        <f t="shared" ca="1" si="1"/>
        <v>-8.7481776931703503E-3</v>
      </c>
      <c r="E58" s="56">
        <v>64117.15</v>
      </c>
      <c r="F58" s="56">
        <v>125728.15</v>
      </c>
      <c r="G58" s="56">
        <v>219635.87</v>
      </c>
      <c r="H58" s="34">
        <v>479603.29</v>
      </c>
      <c r="I58" s="34">
        <v>656438.36</v>
      </c>
      <c r="J58" s="34">
        <v>603558.04</v>
      </c>
      <c r="K58" s="34">
        <v>573555.37</v>
      </c>
      <c r="L58" s="34">
        <v>1548241.35</v>
      </c>
      <c r="O58" s="46"/>
    </row>
    <row r="59" spans="1:15" x14ac:dyDescent="0.2">
      <c r="A59" s="5">
        <v>31</v>
      </c>
      <c r="B59" s="28">
        <f t="shared" ca="1" si="3"/>
        <v>8522.9825489499362</v>
      </c>
      <c r="C59" s="29">
        <f t="shared" ca="1" si="2"/>
        <v>-0.3434359934557652</v>
      </c>
      <c r="D59" s="30">
        <f t="shared" ca="1" si="1"/>
        <v>-9.8540490545407922E-3</v>
      </c>
      <c r="E59" s="56">
        <v>62567.66</v>
      </c>
      <c r="F59" s="56">
        <v>166668.72</v>
      </c>
      <c r="G59" s="56">
        <v>443585.91</v>
      </c>
      <c r="H59" s="34">
        <v>1129490.27</v>
      </c>
      <c r="I59" s="34">
        <v>2470221.7799999998</v>
      </c>
      <c r="J59" s="34">
        <v>5297882.45</v>
      </c>
      <c r="K59" s="34">
        <v>10709373.85</v>
      </c>
      <c r="L59" s="34">
        <v>12577510.560000001</v>
      </c>
      <c r="O59" s="46"/>
    </row>
    <row r="60" spans="1:15" x14ac:dyDescent="0.2">
      <c r="A60" s="5">
        <v>32</v>
      </c>
      <c r="B60" s="28">
        <f t="shared" ca="1" si="3"/>
        <v>9034.0819425246045</v>
      </c>
      <c r="C60" s="29">
        <f t="shared" ca="1" si="2"/>
        <v>0.34925911435170537</v>
      </c>
      <c r="D60" s="30">
        <f t="shared" ca="1" si="1"/>
        <v>1.8425110302967323E-2</v>
      </c>
      <c r="E60" s="56">
        <v>42901.64</v>
      </c>
      <c r="F60" s="56">
        <v>108610.41</v>
      </c>
      <c r="G60" s="56">
        <v>324427.19</v>
      </c>
      <c r="H60" s="34">
        <v>642243.24</v>
      </c>
      <c r="I60" s="34">
        <v>932422.31</v>
      </c>
      <c r="J60" s="34">
        <v>1978952.68</v>
      </c>
      <c r="K60" s="34">
        <v>1103547.8799999999</v>
      </c>
      <c r="L60" s="34">
        <v>1027550.74</v>
      </c>
      <c r="O60" s="46"/>
    </row>
    <row r="61" spans="1:15" x14ac:dyDescent="0.2">
      <c r="A61" s="5">
        <v>33</v>
      </c>
      <c r="B61" s="28">
        <f t="shared" ca="1" si="3"/>
        <v>9508.6644652150426</v>
      </c>
      <c r="C61" s="29">
        <f t="shared" ca="1" si="2"/>
        <v>0.22471441807604356</v>
      </c>
      <c r="D61" s="30">
        <f t="shared" ca="1" si="1"/>
        <v>1.3340594368879324E-2</v>
      </c>
      <c r="E61" s="56">
        <v>49438.19</v>
      </c>
      <c r="F61" s="56">
        <v>121997.06</v>
      </c>
      <c r="G61" s="56">
        <v>259054.17</v>
      </c>
      <c r="H61" s="34">
        <v>313918.71000000002</v>
      </c>
      <c r="I61" s="34">
        <v>846599.45</v>
      </c>
      <c r="J61" s="34">
        <v>1079670.1399999999</v>
      </c>
      <c r="K61" s="34">
        <v>3474864.46</v>
      </c>
      <c r="L61" s="34">
        <v>5350618.08</v>
      </c>
      <c r="O61" s="46"/>
    </row>
    <row r="62" spans="1:15" x14ac:dyDescent="0.2">
      <c r="A62" s="5">
        <v>34</v>
      </c>
      <c r="B62" s="28">
        <f t="shared" ca="1" si="3"/>
        <v>10119.513145126655</v>
      </c>
      <c r="C62" s="29">
        <f t="shared" ca="1" si="2"/>
        <v>0.5594347296773351</v>
      </c>
      <c r="D62" s="30">
        <f t="shared" ca="1" si="1"/>
        <v>2.7005493868355206E-2</v>
      </c>
      <c r="E62" s="56">
        <v>45457.34</v>
      </c>
      <c r="F62" s="56">
        <v>101870.29</v>
      </c>
      <c r="G62" s="56">
        <v>220743.8</v>
      </c>
      <c r="H62" s="34">
        <v>311165.71999999997</v>
      </c>
      <c r="I62" s="34">
        <v>272265.55</v>
      </c>
      <c r="J62" s="34">
        <v>304726.07</v>
      </c>
      <c r="K62" s="34">
        <v>684131.74</v>
      </c>
      <c r="L62" s="34">
        <v>1761380.9</v>
      </c>
      <c r="O62" s="46"/>
    </row>
    <row r="63" spans="1:15" x14ac:dyDescent="0.2">
      <c r="A63" s="5">
        <v>35</v>
      </c>
      <c r="B63" s="28">
        <f t="shared" ca="1" si="3"/>
        <v>10574.601654017393</v>
      </c>
      <c r="C63" s="29">
        <f t="shared" ca="1" si="2"/>
        <v>0.14247753021201662</v>
      </c>
      <c r="D63" s="30">
        <f t="shared" ca="1" si="1"/>
        <v>9.9832874805235849E-3</v>
      </c>
      <c r="E63" s="56">
        <v>53761.8</v>
      </c>
      <c r="F63" s="56">
        <v>172028.79</v>
      </c>
      <c r="G63" s="56">
        <v>243092.72</v>
      </c>
      <c r="H63" s="34">
        <v>407785.15</v>
      </c>
      <c r="I63" s="34">
        <v>501907.49</v>
      </c>
      <c r="J63" s="34">
        <v>869003.7</v>
      </c>
      <c r="K63" s="34">
        <v>1290343.78</v>
      </c>
      <c r="L63" s="34">
        <v>916767.21</v>
      </c>
      <c r="O63" s="46"/>
    </row>
    <row r="64" spans="1:15" x14ac:dyDescent="0.2">
      <c r="A64" s="5">
        <v>36</v>
      </c>
      <c r="B64" s="28">
        <f t="shared" ca="1" si="3"/>
        <v>10671.314438893354</v>
      </c>
      <c r="C64" s="29">
        <f t="shared" ca="1" si="2"/>
        <v>-0.69818427951254369</v>
      </c>
      <c r="D64" s="30">
        <f t="shared" ca="1" si="1"/>
        <v>-2.4336587187307322E-2</v>
      </c>
      <c r="E64" s="56">
        <v>47846.74</v>
      </c>
      <c r="F64" s="56">
        <v>127973.59</v>
      </c>
      <c r="G64" s="56">
        <v>431112.73</v>
      </c>
      <c r="H64" s="34">
        <v>374502.75</v>
      </c>
      <c r="I64" s="34">
        <v>622712.93999999994</v>
      </c>
      <c r="J64" s="34">
        <v>1395159.32</v>
      </c>
      <c r="K64" s="34">
        <v>2640813.64</v>
      </c>
      <c r="L64" s="34">
        <v>3278638.94</v>
      </c>
      <c r="O64" s="46"/>
    </row>
    <row r="65" spans="1:18" x14ac:dyDescent="0.2">
      <c r="A65" s="5">
        <v>37</v>
      </c>
      <c r="B65" s="28">
        <f t="shared" ca="1" si="3"/>
        <v>9997.7757740724464</v>
      </c>
      <c r="C65" s="29">
        <f t="shared" ca="1" si="2"/>
        <v>-2.4608141526098612</v>
      </c>
      <c r="D65" s="30">
        <f t="shared" ca="1" si="1"/>
        <v>-9.6295650428558893E-2</v>
      </c>
      <c r="E65" s="56">
        <v>27831</v>
      </c>
      <c r="F65" s="56">
        <v>63744.11</v>
      </c>
      <c r="G65" s="56">
        <v>197305.88</v>
      </c>
      <c r="H65" s="34">
        <v>631549.75</v>
      </c>
      <c r="I65" s="34">
        <v>585815.32999999996</v>
      </c>
      <c r="J65" s="34">
        <v>1097784.28</v>
      </c>
      <c r="K65" s="34">
        <v>1696088.57</v>
      </c>
      <c r="L65" s="34">
        <v>1931150.62</v>
      </c>
      <c r="O65" s="46"/>
    </row>
    <row r="66" spans="1:18" x14ac:dyDescent="0.2">
      <c r="A66" s="5">
        <v>38</v>
      </c>
      <c r="B66" s="28">
        <f t="shared" ca="1" si="3"/>
        <v>10590.604530230175</v>
      </c>
      <c r="C66" s="29">
        <f t="shared" ca="1" si="2"/>
        <v>0.48292353678109934</v>
      </c>
      <c r="D66" s="30">
        <f t="shared" ca="1" si="1"/>
        <v>2.3881937498231295E-2</v>
      </c>
      <c r="E66" s="56">
        <v>54700.41</v>
      </c>
      <c r="F66" s="56">
        <v>155583.41</v>
      </c>
      <c r="G66" s="56">
        <v>575709.98</v>
      </c>
      <c r="H66" s="34">
        <v>663674.37</v>
      </c>
      <c r="I66" s="34">
        <v>761929.02</v>
      </c>
      <c r="J66" s="34">
        <v>1204800.68</v>
      </c>
      <c r="K66" s="34">
        <v>1496080.04</v>
      </c>
      <c r="L66" s="34">
        <v>2264202.64</v>
      </c>
      <c r="O66" s="46"/>
    </row>
    <row r="67" spans="1:18" x14ac:dyDescent="0.2">
      <c r="A67" s="5">
        <v>39</v>
      </c>
      <c r="B67" s="28">
        <f t="shared" ca="1" si="3"/>
        <v>10909.897630434443</v>
      </c>
      <c r="C67" s="29">
        <f t="shared" ca="1" si="2"/>
        <v>-0.18247985039179548</v>
      </c>
      <c r="D67" s="30">
        <f t="shared" ca="1" si="1"/>
        <v>-3.2830420299885333E-3</v>
      </c>
      <c r="E67" s="56">
        <v>76318.539999999994</v>
      </c>
      <c r="F67" s="56">
        <v>364700.73</v>
      </c>
      <c r="G67" s="56">
        <v>653099.14</v>
      </c>
      <c r="H67" s="34">
        <v>935978.65</v>
      </c>
      <c r="I67" s="34">
        <v>1689783.78</v>
      </c>
      <c r="J67" s="34">
        <v>2821605.85</v>
      </c>
      <c r="K67" s="34">
        <v>2890392.4</v>
      </c>
      <c r="L67" s="34">
        <v>6156128.6500000004</v>
      </c>
      <c r="O67" s="46"/>
    </row>
    <row r="68" spans="1:18" x14ac:dyDescent="0.2">
      <c r="A68" s="5">
        <v>40</v>
      </c>
      <c r="B68" s="28">
        <f t="shared" ca="1" si="3"/>
        <v>11281.733107551487</v>
      </c>
      <c r="C68" s="29">
        <f t="shared" ca="1" si="2"/>
        <v>-6.2158192101564709E-2</v>
      </c>
      <c r="D68" s="30">
        <f t="shared" ca="1" si="1"/>
        <v>1.6290691002878478E-3</v>
      </c>
      <c r="E68" s="56">
        <v>34636.68</v>
      </c>
      <c r="F68" s="56">
        <v>150995.25</v>
      </c>
      <c r="G68" s="56">
        <v>338318.67</v>
      </c>
      <c r="H68" s="34">
        <v>847099.26</v>
      </c>
      <c r="I68" s="34">
        <v>1623549.91</v>
      </c>
      <c r="J68" s="34">
        <v>2456705.5099999998</v>
      </c>
      <c r="K68" s="34">
        <v>5071331.9400000004</v>
      </c>
      <c r="L68" s="34">
        <v>11386318.57</v>
      </c>
      <c r="O68" s="46"/>
    </row>
    <row r="69" spans="1:18" ht="17" thickBot="1" x14ac:dyDescent="0.25">
      <c r="A69" s="5">
        <v>41</v>
      </c>
      <c r="B69" s="28">
        <f t="shared" ca="1" si="3"/>
        <v>12088.095919864458</v>
      </c>
      <c r="C69" s="29">
        <f t="shared" ca="1" si="2"/>
        <v>0.8799723055299461</v>
      </c>
      <c r="D69" s="30">
        <f t="shared" ca="1" si="1"/>
        <v>4.0091385605481131E-2</v>
      </c>
      <c r="E69" s="56">
        <v>49960.639999999999</v>
      </c>
      <c r="F69" s="56">
        <v>156117.53</v>
      </c>
      <c r="G69" s="56">
        <v>337402.48</v>
      </c>
      <c r="H69" s="34">
        <v>1232994.75</v>
      </c>
      <c r="I69" s="34">
        <v>1467578.63</v>
      </c>
      <c r="J69" s="34">
        <v>2183222.0099999998</v>
      </c>
      <c r="K69" s="34">
        <v>2465812.8199999998</v>
      </c>
      <c r="L69" s="34">
        <v>3791944.33</v>
      </c>
      <c r="O69" s="46"/>
    </row>
    <row r="70" spans="1:18" x14ac:dyDescent="0.2">
      <c r="A70" s="5">
        <v>42</v>
      </c>
      <c r="B70" s="28">
        <f t="shared" ca="1" si="3"/>
        <v>12490.39586898197</v>
      </c>
      <c r="C70" s="29">
        <f t="shared" ca="1" si="2"/>
        <v>-4.3153823062009235E-3</v>
      </c>
      <c r="D70" s="30">
        <f t="shared" ca="1" si="1"/>
        <v>3.9904919217462137E-3</v>
      </c>
      <c r="E70" s="56">
        <v>65952.67</v>
      </c>
      <c r="F70" s="56">
        <v>159704.04999999999</v>
      </c>
      <c r="G70" s="56">
        <v>333410.31</v>
      </c>
      <c r="H70" s="34">
        <v>536090.81999999995</v>
      </c>
      <c r="I70" s="34">
        <v>853909.85</v>
      </c>
      <c r="J70" s="34">
        <v>539010.76</v>
      </c>
      <c r="K70" s="34">
        <v>600476.85</v>
      </c>
      <c r="L70" s="34">
        <v>1699071.2</v>
      </c>
      <c r="O70" s="46"/>
      <c r="Q70" s="49" t="s">
        <v>35</v>
      </c>
      <c r="R70" s="49" t="s">
        <v>37</v>
      </c>
    </row>
    <row r="71" spans="1:18" x14ac:dyDescent="0.2">
      <c r="A71" s="5">
        <v>43</v>
      </c>
      <c r="B71" s="28">
        <f t="shared" ca="1" si="3"/>
        <v>13178.149320321127</v>
      </c>
      <c r="C71" s="29">
        <f t="shared" ca="1" si="2"/>
        <v>0.55233877355308736</v>
      </c>
      <c r="D71" s="30">
        <f t="shared" ca="1" si="1"/>
        <v>2.6715802672662135E-2</v>
      </c>
      <c r="E71" s="56">
        <v>56078.09</v>
      </c>
      <c r="F71" s="56">
        <v>381635.95</v>
      </c>
      <c r="G71" s="56">
        <v>609522.97</v>
      </c>
      <c r="H71" s="34">
        <v>1317591.71</v>
      </c>
      <c r="I71" s="34">
        <v>1031598.07</v>
      </c>
      <c r="J71" s="34">
        <v>2617962.36</v>
      </c>
      <c r="K71" s="34">
        <v>2590166.66</v>
      </c>
      <c r="L71" s="34">
        <v>6290705.5300000003</v>
      </c>
      <c r="O71" s="46"/>
      <c r="Q71">
        <v>188794.2</v>
      </c>
      <c r="R71">
        <v>1</v>
      </c>
    </row>
    <row r="72" spans="1:18" x14ac:dyDescent="0.2">
      <c r="A72" s="5">
        <v>44</v>
      </c>
      <c r="B72" s="28">
        <f t="shared" ca="1" si="3"/>
        <v>12787.75683326153</v>
      </c>
      <c r="C72" s="29">
        <f t="shared" ca="1" si="2"/>
        <v>-1.4858184791049367</v>
      </c>
      <c r="D72" s="30">
        <f t="shared" ca="1" si="1"/>
        <v>-5.6491618736754075E-2</v>
      </c>
      <c r="E72" s="56">
        <v>59759.14</v>
      </c>
      <c r="F72" s="56">
        <v>122571.79</v>
      </c>
      <c r="G72" s="56">
        <v>220560.51</v>
      </c>
      <c r="H72" s="34">
        <v>775513.21</v>
      </c>
      <c r="I72" s="34">
        <v>1175953.7</v>
      </c>
      <c r="J72" s="34">
        <v>2969679.91</v>
      </c>
      <c r="K72" s="34">
        <v>5521473.3399999999</v>
      </c>
      <c r="L72" s="34">
        <v>7057344.5700000003</v>
      </c>
      <c r="O72" s="46"/>
      <c r="Q72">
        <v>1739217.892631579</v>
      </c>
      <c r="R72">
        <v>637</v>
      </c>
    </row>
    <row r="73" spans="1:18" x14ac:dyDescent="0.2">
      <c r="A73" s="5">
        <v>45</v>
      </c>
      <c r="B73" s="28">
        <f t="shared" ca="1" si="3"/>
        <v>13345.956371853506</v>
      </c>
      <c r="C73" s="29">
        <f t="shared" ca="1" si="2"/>
        <v>0.28896161408143178</v>
      </c>
      <c r="D73" s="30">
        <f t="shared" ca="1" si="1"/>
        <v>1.5963475162508973E-2</v>
      </c>
      <c r="E73" s="56">
        <v>48720.3</v>
      </c>
      <c r="F73" s="56">
        <v>205017.83</v>
      </c>
      <c r="G73" s="56">
        <v>448092.4</v>
      </c>
      <c r="H73" s="34">
        <v>774565.98</v>
      </c>
      <c r="I73" s="34">
        <v>894582.55</v>
      </c>
      <c r="J73" s="34">
        <v>547572.1</v>
      </c>
      <c r="K73" s="34">
        <v>723588.77</v>
      </c>
      <c r="L73" s="34">
        <v>1482347.54</v>
      </c>
      <c r="O73" s="46"/>
      <c r="Q73">
        <v>3289641.5852631582</v>
      </c>
      <c r="R73">
        <v>447</v>
      </c>
    </row>
    <row r="74" spans="1:18" x14ac:dyDescent="0.2">
      <c r="A74" s="5">
        <v>46</v>
      </c>
      <c r="B74" s="28">
        <f t="shared" ca="1" si="3"/>
        <v>12700.28997333503</v>
      </c>
      <c r="C74" s="29">
        <f t="shared" ca="1" si="2"/>
        <v>-1.9369442003962445</v>
      </c>
      <c r="D74" s="30">
        <f t="shared" ca="1" si="1"/>
        <v>-7.4908749186899437E-2</v>
      </c>
      <c r="E74" s="56">
        <v>73218.210000000006</v>
      </c>
      <c r="F74" s="56">
        <v>250566.28</v>
      </c>
      <c r="G74" s="56">
        <v>173429.94</v>
      </c>
      <c r="H74" s="34">
        <v>436962.2</v>
      </c>
      <c r="I74" s="34">
        <v>1508431.2</v>
      </c>
      <c r="J74" s="34">
        <v>1137815.67</v>
      </c>
      <c r="K74" s="34">
        <v>1067338.03</v>
      </c>
      <c r="L74" s="34">
        <v>1455020.97</v>
      </c>
      <c r="O74" s="46"/>
      <c r="Q74">
        <v>4840065.2778947372</v>
      </c>
      <c r="R74">
        <v>176</v>
      </c>
    </row>
    <row r="75" spans="1:18" x14ac:dyDescent="0.2">
      <c r="A75" s="5">
        <v>47</v>
      </c>
      <c r="B75" s="28">
        <f t="shared" ca="1" si="3"/>
        <v>12838.231837044503</v>
      </c>
      <c r="C75" s="29">
        <f t="shared" ca="1" si="2"/>
        <v>-0.51889135990695923</v>
      </c>
      <c r="D75" s="30">
        <f t="shared" ca="1" si="1"/>
        <v>-1.7016984395181855E-2</v>
      </c>
      <c r="E75" s="56">
        <v>64481.440000000002</v>
      </c>
      <c r="F75" s="56">
        <v>170761.53</v>
      </c>
      <c r="G75" s="56">
        <v>157462.9</v>
      </c>
      <c r="H75" s="34">
        <v>493800.8</v>
      </c>
      <c r="I75" s="34">
        <v>460232.34</v>
      </c>
      <c r="J75" s="34">
        <v>1139678.03</v>
      </c>
      <c r="K75" s="34">
        <v>3269177.89</v>
      </c>
      <c r="L75" s="34">
        <v>4129083.17</v>
      </c>
      <c r="O75" s="46"/>
      <c r="Q75">
        <v>6390488.9705263162</v>
      </c>
      <c r="R75">
        <v>95</v>
      </c>
    </row>
    <row r="76" spans="1:18" x14ac:dyDescent="0.2">
      <c r="A76" s="5">
        <v>48</v>
      </c>
      <c r="B76" s="28">
        <f t="shared" ca="1" si="3"/>
        <v>13264.440170146667</v>
      </c>
      <c r="C76" s="29">
        <f t="shared" ca="1" si="2"/>
        <v>3.5589654203905224E-2</v>
      </c>
      <c r="D76" s="30">
        <f t="shared" ca="1" si="1"/>
        <v>5.6196082153611012E-3</v>
      </c>
      <c r="E76" s="56">
        <v>66714.78</v>
      </c>
      <c r="F76" s="56">
        <v>193715.51</v>
      </c>
      <c r="G76" s="56">
        <v>513089.54</v>
      </c>
      <c r="H76" s="34">
        <v>1329044.96</v>
      </c>
      <c r="I76" s="34">
        <v>3048233.89</v>
      </c>
      <c r="J76" s="34">
        <v>6998804.9000000004</v>
      </c>
      <c r="K76" s="34">
        <v>17440777.02</v>
      </c>
      <c r="L76" s="34">
        <v>32524058.600000001</v>
      </c>
      <c r="O76" s="46"/>
      <c r="Q76">
        <v>7940912.6631578952</v>
      </c>
      <c r="R76">
        <v>54</v>
      </c>
    </row>
    <row r="77" spans="1:18" x14ac:dyDescent="0.2">
      <c r="A77" s="5">
        <v>49</v>
      </c>
      <c r="B77" s="28">
        <f t="shared" ref="B77:B100" ca="1" si="4">(B76*(1+D77))+($C$6*(1+$C$8)^2)</f>
        <v>13684.79038542236</v>
      </c>
      <c r="C77" s="29">
        <f t="shared" ca="1" si="2"/>
        <v>7.3375067524031595E-4</v>
      </c>
      <c r="D77" s="30">
        <f t="shared" ca="1" si="1"/>
        <v>4.1966219125460233E-3</v>
      </c>
      <c r="E77" s="56">
        <v>52630.75</v>
      </c>
      <c r="F77" s="56">
        <v>132231.60999999999</v>
      </c>
      <c r="G77" s="56">
        <v>438160.78</v>
      </c>
      <c r="H77" s="34">
        <v>729233.44</v>
      </c>
      <c r="I77" s="34">
        <v>1069092.77</v>
      </c>
      <c r="J77" s="34">
        <v>1425576.2</v>
      </c>
      <c r="K77" s="34">
        <v>1824800.62</v>
      </c>
      <c r="L77" s="34">
        <v>3438670.05</v>
      </c>
      <c r="O77" s="46"/>
      <c r="Q77">
        <v>9491336.3557894733</v>
      </c>
      <c r="R77">
        <v>30</v>
      </c>
    </row>
    <row r="78" spans="1:18" x14ac:dyDescent="0.2">
      <c r="A78" s="5">
        <v>50</v>
      </c>
      <c r="B78" s="28">
        <f t="shared" ca="1" si="4"/>
        <v>14022.344706332031</v>
      </c>
      <c r="C78" s="29">
        <f t="shared" ca="1" si="2"/>
        <v>-0.15062313007009248</v>
      </c>
      <c r="D78" s="30">
        <f t="shared" ca="1" si="1"/>
        <v>-1.9824968688764676E-3</v>
      </c>
      <c r="E78" s="56">
        <v>39768.199999999997</v>
      </c>
      <c r="F78" s="56">
        <v>200444.63</v>
      </c>
      <c r="G78" s="56">
        <v>379605.02</v>
      </c>
      <c r="H78" s="34">
        <v>829572.32</v>
      </c>
      <c r="I78" s="34">
        <v>1392919.86</v>
      </c>
      <c r="J78" s="34">
        <v>2298352.35</v>
      </c>
      <c r="K78" s="34">
        <v>3365351.44</v>
      </c>
      <c r="L78" s="34">
        <v>2912026.01</v>
      </c>
      <c r="O78" s="46"/>
      <c r="Q78">
        <v>11041760.048421051</v>
      </c>
      <c r="R78">
        <v>14</v>
      </c>
    </row>
    <row r="79" spans="1:18" x14ac:dyDescent="0.2">
      <c r="A79" s="5">
        <v>51</v>
      </c>
      <c r="B79" s="28">
        <f t="shared" ca="1" si="4"/>
        <v>14762.007011896418</v>
      </c>
      <c r="C79" s="29">
        <f t="shared" ca="1" si="2"/>
        <v>0.55296717814318919</v>
      </c>
      <c r="D79" s="30">
        <f t="shared" ca="1" si="1"/>
        <v>2.6741457182625005E-2</v>
      </c>
      <c r="E79" s="56">
        <v>47900.32</v>
      </c>
      <c r="F79" s="56">
        <v>188789.2</v>
      </c>
      <c r="G79" s="56">
        <v>382119.93</v>
      </c>
      <c r="H79" s="34">
        <v>543667.12</v>
      </c>
      <c r="I79" s="34">
        <v>928993.9</v>
      </c>
      <c r="J79" s="34">
        <v>2216984.21</v>
      </c>
      <c r="K79" s="34">
        <v>3602402.2</v>
      </c>
      <c r="L79" s="34">
        <v>7692392.7199999997</v>
      </c>
      <c r="O79" s="46"/>
      <c r="Q79">
        <v>12592183.741052631</v>
      </c>
      <c r="R79">
        <v>12</v>
      </c>
    </row>
    <row r="80" spans="1:18" x14ac:dyDescent="0.2">
      <c r="A80" s="5">
        <v>52</v>
      </c>
      <c r="B80" s="28">
        <f t="shared" ca="1" si="4"/>
        <v>14981.163329405379</v>
      </c>
      <c r="C80" s="29">
        <f t="shared" ca="1" si="2"/>
        <v>-0.34353972794033477</v>
      </c>
      <c r="D80" s="30">
        <f t="shared" ca="1" si="1"/>
        <v>-9.8582839971395608E-3</v>
      </c>
      <c r="E80" s="56">
        <v>77702.320000000007</v>
      </c>
      <c r="F80" s="56">
        <v>179200.61</v>
      </c>
      <c r="G80" s="56">
        <v>292610.94</v>
      </c>
      <c r="H80" s="34">
        <v>434747.11</v>
      </c>
      <c r="I80" s="34">
        <v>862893.93</v>
      </c>
      <c r="J80" s="34">
        <v>574345.06000000006</v>
      </c>
      <c r="K80" s="34">
        <v>773701.61</v>
      </c>
      <c r="L80" s="34">
        <v>1563419.36</v>
      </c>
      <c r="O80" s="46"/>
      <c r="Q80">
        <v>14142607.433684211</v>
      </c>
      <c r="R80">
        <v>9</v>
      </c>
    </row>
    <row r="81" spans="1:18" x14ac:dyDescent="0.2">
      <c r="A81" s="5">
        <v>53</v>
      </c>
      <c r="B81" s="28">
        <f t="shared" ca="1" si="4"/>
        <v>15202.028794260583</v>
      </c>
      <c r="C81" s="29">
        <f t="shared" ca="1" si="2"/>
        <v>-0.33721266637957792</v>
      </c>
      <c r="D81" s="30">
        <f t="shared" ca="1" si="1"/>
        <v>-9.5999827905557007E-3</v>
      </c>
      <c r="E81" s="56">
        <v>44651.11</v>
      </c>
      <c r="F81" s="56">
        <v>103636.12</v>
      </c>
      <c r="G81" s="56">
        <v>399450.44</v>
      </c>
      <c r="H81" s="34">
        <v>885967.12</v>
      </c>
      <c r="I81" s="34">
        <v>961815.79</v>
      </c>
      <c r="J81" s="34">
        <v>1610344.71</v>
      </c>
      <c r="K81" s="34">
        <v>3615987.61</v>
      </c>
      <c r="L81" s="34">
        <v>6179839.7000000002</v>
      </c>
      <c r="O81" s="46"/>
      <c r="Q81">
        <v>15693031.126315789</v>
      </c>
      <c r="R81">
        <v>9</v>
      </c>
    </row>
    <row r="82" spans="1:18" x14ac:dyDescent="0.2">
      <c r="A82" s="5">
        <v>54</v>
      </c>
      <c r="B82" s="28">
        <f t="shared" ca="1" si="4"/>
        <v>15260.169733787983</v>
      </c>
      <c r="C82" s="29">
        <f t="shared" ca="1" si="2"/>
        <v>-0.59599285716436823</v>
      </c>
      <c r="D82" s="30">
        <f t="shared" ca="1" si="1"/>
        <v>-2.0164639839935997E-2</v>
      </c>
      <c r="E82" s="56">
        <v>73960.259999999995</v>
      </c>
      <c r="F82" s="56">
        <v>150575.23000000001</v>
      </c>
      <c r="G82" s="56">
        <v>374569.12</v>
      </c>
      <c r="H82" s="34">
        <v>596778.63</v>
      </c>
      <c r="I82" s="34">
        <v>1371703.89</v>
      </c>
      <c r="J82" s="34">
        <v>2154968.81</v>
      </c>
      <c r="K82" s="34">
        <v>11725668.939999999</v>
      </c>
      <c r="L82" s="34">
        <v>10474791.23</v>
      </c>
      <c r="O82" s="46"/>
      <c r="Q82">
        <v>17243454.818947367</v>
      </c>
      <c r="R82">
        <v>4</v>
      </c>
    </row>
    <row r="83" spans="1:18" x14ac:dyDescent="0.2">
      <c r="A83" s="5">
        <v>55</v>
      </c>
      <c r="B83" s="28">
        <f t="shared" ca="1" si="4"/>
        <v>16793.026562911338</v>
      </c>
      <c r="C83" s="29">
        <f t="shared" ca="1" si="2"/>
        <v>1.7730326963769694</v>
      </c>
      <c r="D83" s="30">
        <f t="shared" ca="1" si="1"/>
        <v>7.6550423389909791E-2</v>
      </c>
      <c r="E83" s="56">
        <v>34147.26</v>
      </c>
      <c r="F83" s="56">
        <v>78930.8</v>
      </c>
      <c r="G83" s="56">
        <v>162464.45000000001</v>
      </c>
      <c r="H83" s="34">
        <v>232044.67</v>
      </c>
      <c r="I83" s="34">
        <v>787477.54</v>
      </c>
      <c r="J83" s="34">
        <v>1667515.65</v>
      </c>
      <c r="K83" s="34">
        <v>3059256.02</v>
      </c>
      <c r="L83" s="34">
        <v>5182769.43</v>
      </c>
      <c r="O83" s="46"/>
      <c r="Q83">
        <v>18793878.511578947</v>
      </c>
      <c r="R83">
        <v>1</v>
      </c>
    </row>
    <row r="84" spans="1:18" x14ac:dyDescent="0.2">
      <c r="A84" s="5">
        <v>56</v>
      </c>
      <c r="B84" s="28">
        <f t="shared" ca="1" si="4"/>
        <v>16246.647625547082</v>
      </c>
      <c r="C84" s="29">
        <f t="shared" ca="1" si="2"/>
        <v>-1.4309709684019456</v>
      </c>
      <c r="D84" s="30">
        <f t="shared" ca="1" si="1"/>
        <v>-5.425247848868462E-2</v>
      </c>
      <c r="E84" s="56">
        <v>89422.23</v>
      </c>
      <c r="F84" s="56">
        <v>199373.34</v>
      </c>
      <c r="G84" s="56">
        <v>457339.54</v>
      </c>
      <c r="H84" s="34">
        <v>1119138.33</v>
      </c>
      <c r="I84" s="34">
        <v>1234461.8899999999</v>
      </c>
      <c r="J84" s="34">
        <v>1159579.17</v>
      </c>
      <c r="K84" s="34">
        <v>1625788.82</v>
      </c>
      <c r="L84" s="34">
        <v>1319969.3500000001</v>
      </c>
      <c r="O84" s="46"/>
      <c r="Q84">
        <v>20344302.204210527</v>
      </c>
      <c r="R84">
        <v>1</v>
      </c>
    </row>
    <row r="85" spans="1:18" x14ac:dyDescent="0.2">
      <c r="A85" s="5">
        <v>57</v>
      </c>
      <c r="B85" s="28">
        <f t="shared" ca="1" si="4"/>
        <v>15552.78410265586</v>
      </c>
      <c r="C85" s="29">
        <f t="shared" ca="1" si="2"/>
        <v>-1.6980234536285206</v>
      </c>
      <c r="D85" s="30">
        <f t="shared" ca="1" si="1"/>
        <v>-6.5154850544472148E-2</v>
      </c>
      <c r="E85" s="56">
        <v>78255.92</v>
      </c>
      <c r="F85" s="56">
        <v>231344.14</v>
      </c>
      <c r="G85" s="56">
        <v>419817.04</v>
      </c>
      <c r="H85" s="34">
        <v>1311744.6499999999</v>
      </c>
      <c r="I85" s="34">
        <v>2089358.19</v>
      </c>
      <c r="J85" s="34">
        <v>3327612.45</v>
      </c>
      <c r="K85" s="34">
        <v>5939492.7800000003</v>
      </c>
      <c r="L85" s="34">
        <v>5326957.9800000004</v>
      </c>
      <c r="O85" s="46"/>
      <c r="Q85">
        <v>21894725.896842103</v>
      </c>
      <c r="R85">
        <v>4</v>
      </c>
    </row>
    <row r="86" spans="1:18" x14ac:dyDescent="0.2">
      <c r="A86" s="5">
        <v>58</v>
      </c>
      <c r="B86" s="28">
        <f t="shared" ca="1" si="4"/>
        <v>14536.830619291939</v>
      </c>
      <c r="C86" s="29">
        <f t="shared" ca="1" si="2"/>
        <v>-2.2765012278428798</v>
      </c>
      <c r="D86" s="30">
        <f t="shared" ca="1" si="1"/>
        <v>-8.8771106783907414E-2</v>
      </c>
      <c r="E86" s="56">
        <v>70052.97</v>
      </c>
      <c r="F86" s="56">
        <v>117740.97</v>
      </c>
      <c r="G86" s="56">
        <v>233128.65</v>
      </c>
      <c r="H86" s="34">
        <v>223328.87</v>
      </c>
      <c r="I86" s="34">
        <v>430895.58</v>
      </c>
      <c r="J86" s="34">
        <v>405912.31</v>
      </c>
      <c r="K86" s="34">
        <v>687315.56</v>
      </c>
      <c r="L86" s="34">
        <v>763643.09</v>
      </c>
      <c r="O86" s="46"/>
      <c r="Q86">
        <v>23445149.589473683</v>
      </c>
      <c r="R86">
        <v>2</v>
      </c>
    </row>
    <row r="87" spans="1:18" x14ac:dyDescent="0.2">
      <c r="A87" s="5">
        <v>59</v>
      </c>
      <c r="B87" s="28">
        <f t="shared" ca="1" si="4"/>
        <v>14908.236857387366</v>
      </c>
      <c r="C87" s="29">
        <f t="shared" ca="1" si="2"/>
        <v>-9.0735577084824173E-2</v>
      </c>
      <c r="D87" s="30">
        <f t="shared" ca="1" si="1"/>
        <v>4.6240224375351325E-4</v>
      </c>
      <c r="E87" s="56">
        <v>57079.02</v>
      </c>
      <c r="F87" s="56">
        <v>94502.09</v>
      </c>
      <c r="G87" s="56">
        <v>202084.19</v>
      </c>
      <c r="H87" s="34">
        <v>211028.13</v>
      </c>
      <c r="I87" s="34">
        <v>289385.52</v>
      </c>
      <c r="J87" s="34">
        <v>654921.89</v>
      </c>
      <c r="K87" s="34">
        <v>996402.08</v>
      </c>
      <c r="L87" s="34">
        <v>1024830.23</v>
      </c>
      <c r="O87" s="46"/>
      <c r="Q87">
        <v>24995573.282105263</v>
      </c>
      <c r="R87">
        <v>0</v>
      </c>
    </row>
    <row r="88" spans="1:18" x14ac:dyDescent="0.2">
      <c r="A88" s="5">
        <v>60</v>
      </c>
      <c r="B88" s="28">
        <f t="shared" ca="1" si="4"/>
        <v>14254.637047413069</v>
      </c>
      <c r="C88" s="29">
        <f t="shared" ca="1" si="2"/>
        <v>-1.7751483605473917</v>
      </c>
      <c r="D88" s="30">
        <f t="shared" ca="1" si="1"/>
        <v>-6.8303461684653524E-2</v>
      </c>
      <c r="E88" s="56">
        <v>45717.02</v>
      </c>
      <c r="F88" s="56">
        <v>112276.2</v>
      </c>
      <c r="G88" s="56">
        <v>174520.37</v>
      </c>
      <c r="H88" s="34">
        <v>845779.76</v>
      </c>
      <c r="I88" s="34">
        <v>3729664.9</v>
      </c>
      <c r="J88" s="34">
        <v>3929019.75</v>
      </c>
      <c r="K88" s="34">
        <v>9363154.2300000004</v>
      </c>
      <c r="L88" s="34">
        <v>28610957.949999999</v>
      </c>
      <c r="O88" s="46"/>
      <c r="Q88">
        <v>26545996.974736843</v>
      </c>
      <c r="R88">
        <v>1</v>
      </c>
    </row>
    <row r="89" spans="1:18" x14ac:dyDescent="0.2">
      <c r="A89" s="5">
        <v>61</v>
      </c>
      <c r="B89" s="28">
        <f t="shared" ca="1" si="4"/>
        <v>15275.497457239373</v>
      </c>
      <c r="C89" s="29">
        <f t="shared" ca="1" si="2"/>
        <v>1.025498356612121</v>
      </c>
      <c r="D89" s="30">
        <f t="shared" ca="1" si="1"/>
        <v>4.6032461762706603E-2</v>
      </c>
      <c r="E89" s="56">
        <v>55820.71</v>
      </c>
      <c r="F89" s="56">
        <v>199404.41</v>
      </c>
      <c r="G89" s="56">
        <v>430700.04</v>
      </c>
      <c r="H89" s="34">
        <v>550505.5</v>
      </c>
      <c r="I89" s="34">
        <v>1633073.81</v>
      </c>
      <c r="J89" s="34">
        <v>3850477.69</v>
      </c>
      <c r="K89" s="34">
        <v>5949772.29</v>
      </c>
      <c r="L89" s="34">
        <v>9802514.0299999993</v>
      </c>
      <c r="O89" s="46"/>
      <c r="Q89">
        <v>28096420.667368423</v>
      </c>
      <c r="R89">
        <v>0</v>
      </c>
    </row>
    <row r="90" spans="1:18" x14ac:dyDescent="0.2">
      <c r="A90" s="5">
        <v>62</v>
      </c>
      <c r="B90" s="28">
        <f t="shared" ca="1" si="4"/>
        <v>15358.19126354529</v>
      </c>
      <c r="C90" s="29">
        <f t="shared" ca="1" si="2"/>
        <v>-0.55424571345078633</v>
      </c>
      <c r="D90" s="30">
        <f t="shared" ca="1" si="1"/>
        <v>-1.8460319834654095E-2</v>
      </c>
      <c r="E90" s="56">
        <v>43459.12</v>
      </c>
      <c r="F90" s="56">
        <v>120423.08</v>
      </c>
      <c r="G90" s="56">
        <v>203371.47</v>
      </c>
      <c r="H90" s="34">
        <v>255157.85</v>
      </c>
      <c r="I90" s="34">
        <v>415449.45</v>
      </c>
      <c r="J90" s="34">
        <v>453372.25</v>
      </c>
      <c r="K90" s="34">
        <v>1059655.8700000001</v>
      </c>
      <c r="L90" s="34">
        <v>2139604.02</v>
      </c>
      <c r="O90" s="46"/>
      <c r="Q90">
        <v>29646844.359999999</v>
      </c>
      <c r="R90">
        <v>1</v>
      </c>
    </row>
    <row r="91" spans="1:18" x14ac:dyDescent="0.2">
      <c r="A91" s="5">
        <v>63</v>
      </c>
      <c r="B91" s="28">
        <f t="shared" ca="1" si="4"/>
        <v>14981.978989665509</v>
      </c>
      <c r="C91" s="29">
        <f t="shared" ca="1" si="2"/>
        <v>-1.2837238391295585</v>
      </c>
      <c r="D91" s="30">
        <f t="shared" ca="1" si="1"/>
        <v>-4.8241139608568274E-2</v>
      </c>
      <c r="E91" s="56">
        <v>34872.07</v>
      </c>
      <c r="F91" s="56">
        <v>160939.17000000001</v>
      </c>
      <c r="G91" s="56">
        <v>365615.87</v>
      </c>
      <c r="H91" s="34">
        <v>823048.84</v>
      </c>
      <c r="I91" s="34">
        <v>832004.15</v>
      </c>
      <c r="J91" s="34">
        <v>1612981.89</v>
      </c>
      <c r="K91" s="34">
        <v>1576651.08</v>
      </c>
      <c r="L91" s="34">
        <v>3319257.51</v>
      </c>
      <c r="O91" s="46"/>
      <c r="Q91">
        <v>31197268.052631579</v>
      </c>
      <c r="R91">
        <v>0</v>
      </c>
    </row>
    <row r="92" spans="1:18" x14ac:dyDescent="0.2">
      <c r="A92" s="5">
        <v>64</v>
      </c>
      <c r="B92" s="28">
        <f t="shared" ca="1" si="4"/>
        <v>14977.2210970126</v>
      </c>
      <c r="C92" s="29">
        <f t="shared" ca="1" si="2"/>
        <v>-0.70608444228461065</v>
      </c>
      <c r="D92" s="30">
        <f t="shared" ca="1" si="1"/>
        <v>-2.4659109981915582E-2</v>
      </c>
      <c r="E92" s="56">
        <v>80761.570000000007</v>
      </c>
      <c r="F92" s="56">
        <v>272774.33</v>
      </c>
      <c r="G92" s="56">
        <v>478528.92</v>
      </c>
      <c r="H92" s="34">
        <v>316360.51</v>
      </c>
      <c r="I92" s="34">
        <v>606781.64</v>
      </c>
      <c r="J92" s="34">
        <v>1213221.6399999999</v>
      </c>
      <c r="K92" s="34">
        <v>3315018.98</v>
      </c>
      <c r="L92" s="34">
        <v>11054211.390000001</v>
      </c>
      <c r="O92" s="46"/>
      <c r="Q92">
        <v>32747691.745263159</v>
      </c>
      <c r="R92">
        <v>0</v>
      </c>
    </row>
    <row r="93" spans="1:18" x14ac:dyDescent="0.2">
      <c r="A93" s="5">
        <v>65</v>
      </c>
      <c r="B93" s="28">
        <f t="shared" ca="1" si="4"/>
        <v>15042.605931030741</v>
      </c>
      <c r="C93" s="29">
        <f t="shared" ca="1" si="2"/>
        <v>-0.59155952404973622</v>
      </c>
      <c r="D93" s="30">
        <f t="shared" ca="1" si="1"/>
        <v>-1.9983649773425462E-2</v>
      </c>
      <c r="E93" s="56">
        <v>67896.94</v>
      </c>
      <c r="F93" s="56">
        <v>99584.1</v>
      </c>
      <c r="G93" s="56">
        <v>274896.56</v>
      </c>
      <c r="H93" s="34">
        <v>778214.23</v>
      </c>
      <c r="I93" s="34">
        <v>1755066.39</v>
      </c>
      <c r="J93" s="34">
        <v>5533518.9500000002</v>
      </c>
      <c r="K93" s="34">
        <v>6003156.5999999996</v>
      </c>
      <c r="L93" s="34">
        <v>3062481.6</v>
      </c>
      <c r="O93" s="46"/>
      <c r="Q93">
        <v>34298115.437894739</v>
      </c>
      <c r="R93">
        <v>0</v>
      </c>
    </row>
    <row r="94" spans="1:18" x14ac:dyDescent="0.2">
      <c r="A94" s="5">
        <v>66</v>
      </c>
      <c r="B94" s="28">
        <f t="shared" ca="1" si="4"/>
        <v>14491.685940601708</v>
      </c>
      <c r="C94" s="29">
        <f t="shared" ca="1" si="2"/>
        <v>-1.593002878915635</v>
      </c>
      <c r="D94" s="30">
        <f t="shared" ref="D94:D157" ca="1" si="5">$D$20+(C94*$D$21)</f>
        <v>-6.0867403535465353E-2</v>
      </c>
      <c r="E94" s="56">
        <v>43574.34</v>
      </c>
      <c r="F94" s="56">
        <v>71439.77</v>
      </c>
      <c r="G94" s="56">
        <v>133455.35999999999</v>
      </c>
      <c r="H94" s="34">
        <v>259947.59</v>
      </c>
      <c r="I94" s="34">
        <v>693110.92</v>
      </c>
      <c r="J94" s="34">
        <v>1099125.92</v>
      </c>
      <c r="K94" s="34">
        <v>2751501.39</v>
      </c>
      <c r="L94" s="34">
        <v>3587066.72</v>
      </c>
      <c r="O94" s="46"/>
      <c r="Q94">
        <v>35848539.130526319</v>
      </c>
      <c r="R94">
        <v>0</v>
      </c>
    </row>
    <row r="95" spans="1:18" x14ac:dyDescent="0.2">
      <c r="A95" s="5">
        <v>67</v>
      </c>
      <c r="B95" s="28">
        <f t="shared" ca="1" si="4"/>
        <v>15641.990368458135</v>
      </c>
      <c r="C95" s="29">
        <f t="shared" ref="C95:C158" ca="1" si="6">NORMSINV(RAND())</f>
        <v>1.2258498550121686</v>
      </c>
      <c r="D95" s="30">
        <f t="shared" ca="1" si="5"/>
        <v>5.4211777434075889E-2</v>
      </c>
      <c r="E95" s="56">
        <v>86835.98</v>
      </c>
      <c r="F95" s="56">
        <v>150610.69</v>
      </c>
      <c r="G95" s="56">
        <v>177615.8</v>
      </c>
      <c r="H95" s="34">
        <v>370901.77</v>
      </c>
      <c r="I95" s="34">
        <v>489602.04</v>
      </c>
      <c r="J95" s="34">
        <v>691947.16</v>
      </c>
      <c r="K95" s="34">
        <v>1246056.98</v>
      </c>
      <c r="L95" s="34">
        <v>1967737.57</v>
      </c>
      <c r="O95" s="46"/>
      <c r="Q95">
        <v>37398962.823157899</v>
      </c>
      <c r="R95">
        <v>1</v>
      </c>
    </row>
    <row r="96" spans="1:18" x14ac:dyDescent="0.2">
      <c r="A96" s="5">
        <v>68</v>
      </c>
      <c r="B96" s="28">
        <f t="shared" ca="1" si="4"/>
        <v>16271.467341178757</v>
      </c>
      <c r="C96" s="29">
        <f t="shared" ca="1" si="6"/>
        <v>0.31259535703536556</v>
      </c>
      <c r="D96" s="30">
        <f t="shared" ca="1" si="5"/>
        <v>1.6928318678329557E-2</v>
      </c>
      <c r="E96" s="56">
        <v>58998.09</v>
      </c>
      <c r="F96" s="56">
        <v>199004.04</v>
      </c>
      <c r="G96" s="56">
        <v>624458.94999999995</v>
      </c>
      <c r="H96" s="34">
        <v>1749515.99</v>
      </c>
      <c r="I96" s="34">
        <v>2089791.89</v>
      </c>
      <c r="J96" s="34">
        <v>2826360</v>
      </c>
      <c r="K96" s="34">
        <v>3184630.32</v>
      </c>
      <c r="L96" s="34">
        <v>10518768.880000001</v>
      </c>
      <c r="O96" s="46"/>
      <c r="Q96">
        <v>38949386.515789479</v>
      </c>
      <c r="R96">
        <v>0</v>
      </c>
    </row>
    <row r="97" spans="1:18" x14ac:dyDescent="0.2">
      <c r="A97" s="5">
        <v>69</v>
      </c>
      <c r="B97" s="28">
        <f t="shared" ca="1" si="4"/>
        <v>16839.231343548694</v>
      </c>
      <c r="C97" s="29">
        <f t="shared" ca="1" si="6"/>
        <v>0.20365188285011326</v>
      </c>
      <c r="D97" s="30">
        <f t="shared" ca="1" si="5"/>
        <v>1.2480719968997231E-2</v>
      </c>
      <c r="E97" s="56">
        <v>58950.12</v>
      </c>
      <c r="F97" s="56">
        <v>230592.44</v>
      </c>
      <c r="G97" s="56">
        <v>495986.25</v>
      </c>
      <c r="H97" s="34">
        <v>554020.07999999996</v>
      </c>
      <c r="I97" s="34">
        <v>1159118.72</v>
      </c>
      <c r="J97" s="34">
        <v>1013605.51</v>
      </c>
      <c r="K97" s="34">
        <v>1006714.77</v>
      </c>
      <c r="L97" s="34">
        <v>2971516.04</v>
      </c>
      <c r="O97" s="46"/>
      <c r="Q97">
        <v>40499810.208421059</v>
      </c>
      <c r="R97">
        <v>0</v>
      </c>
    </row>
    <row r="98" spans="1:18" x14ac:dyDescent="0.2">
      <c r="A98" s="5">
        <v>70</v>
      </c>
      <c r="B98" s="28">
        <f t="shared" ca="1" si="4"/>
        <v>17667.193287492075</v>
      </c>
      <c r="C98" s="29">
        <f t="shared" ca="1" si="6"/>
        <v>0.57183665235350589</v>
      </c>
      <c r="D98" s="30">
        <f t="shared" ca="1" si="5"/>
        <v>2.7511800241456382E-2</v>
      </c>
      <c r="E98" s="56">
        <v>48968.59</v>
      </c>
      <c r="F98" s="56">
        <v>98841.63</v>
      </c>
      <c r="G98" s="56">
        <v>136851.21</v>
      </c>
      <c r="H98" s="34">
        <v>260224.8</v>
      </c>
      <c r="I98" s="34">
        <v>515827.98</v>
      </c>
      <c r="J98" s="34">
        <v>679920.9</v>
      </c>
      <c r="K98" s="34">
        <v>1373119.55</v>
      </c>
      <c r="L98" s="34">
        <v>4586503.41</v>
      </c>
      <c r="O98" s="46"/>
      <c r="Q98">
        <v>42050233.901052639</v>
      </c>
      <c r="R98">
        <v>0</v>
      </c>
    </row>
    <row r="99" spans="1:18" x14ac:dyDescent="0.2">
      <c r="A99" s="5">
        <v>71</v>
      </c>
      <c r="B99" s="28">
        <f t="shared" ca="1" si="4"/>
        <v>19003.791980015991</v>
      </c>
      <c r="C99" s="29">
        <f t="shared" ca="1" si="6"/>
        <v>1.2454604867961263</v>
      </c>
      <c r="D99" s="30">
        <f t="shared" ca="1" si="5"/>
        <v>5.5012378124147589E-2</v>
      </c>
      <c r="E99" s="56">
        <v>39869.379999999997</v>
      </c>
      <c r="F99" s="56">
        <v>97800.71</v>
      </c>
      <c r="G99" s="56">
        <v>227756.4</v>
      </c>
      <c r="H99" s="34">
        <v>592396.71</v>
      </c>
      <c r="I99" s="34">
        <v>432321.53</v>
      </c>
      <c r="J99" s="34">
        <v>379037.06</v>
      </c>
      <c r="K99" s="34">
        <v>641860.29</v>
      </c>
      <c r="L99" s="34">
        <v>1075271.07</v>
      </c>
      <c r="O99" s="46"/>
      <c r="Q99">
        <v>43600657.593684211</v>
      </c>
      <c r="R99">
        <v>0</v>
      </c>
    </row>
    <row r="100" spans="1:18" x14ac:dyDescent="0.2">
      <c r="A100" s="5">
        <v>72</v>
      </c>
      <c r="B100" s="28">
        <f t="shared" ca="1" si="4"/>
        <v>20798.173384625425</v>
      </c>
      <c r="C100" s="29">
        <f t="shared" ca="1" si="6"/>
        <v>1.740742885993632</v>
      </c>
      <c r="D100" s="30">
        <f t="shared" ca="1" si="5"/>
        <v>7.5232197401069817E-2</v>
      </c>
      <c r="E100" s="56">
        <v>90003.79</v>
      </c>
      <c r="F100" s="56">
        <v>124721.43</v>
      </c>
      <c r="G100" s="56">
        <v>341031.48</v>
      </c>
      <c r="H100" s="34">
        <v>514695.21</v>
      </c>
      <c r="I100" s="34">
        <v>678834.49</v>
      </c>
      <c r="J100" s="34">
        <v>732745.2</v>
      </c>
      <c r="K100" s="34">
        <v>724884.37</v>
      </c>
      <c r="L100" s="34">
        <v>1215571.1499999999</v>
      </c>
      <c r="O100" s="46"/>
      <c r="Q100">
        <v>45151081.286315791</v>
      </c>
      <c r="R100">
        <v>0</v>
      </c>
    </row>
    <row r="101" spans="1:18" x14ac:dyDescent="0.2">
      <c r="A101" s="5">
        <v>73</v>
      </c>
      <c r="B101" s="28">
        <f t="shared" ref="B101:B124" ca="1" si="7">(B100*(1+D101))+($C$6*(1+$C$8)^3)</f>
        <v>23180.30988838054</v>
      </c>
      <c r="C101" s="29">
        <f t="shared" ca="1" si="6"/>
        <v>2.2610923669453107</v>
      </c>
      <c r="D101" s="30">
        <f t="shared" ca="1" si="5"/>
        <v>9.6475376005297944E-2</v>
      </c>
      <c r="E101" s="56">
        <v>37017.269999999997</v>
      </c>
      <c r="F101" s="56">
        <v>110315.25</v>
      </c>
      <c r="G101" s="56">
        <v>289414.65999999997</v>
      </c>
      <c r="H101" s="34">
        <v>534155.22</v>
      </c>
      <c r="I101" s="34">
        <v>1769834.07</v>
      </c>
      <c r="J101" s="34">
        <v>4602310.33</v>
      </c>
      <c r="K101" s="34">
        <v>6880834.3200000003</v>
      </c>
      <c r="L101" s="34">
        <v>8239597.6900000004</v>
      </c>
      <c r="O101" s="46"/>
      <c r="Q101">
        <v>46701504.978947371</v>
      </c>
      <c r="R101">
        <v>0</v>
      </c>
    </row>
    <row r="102" spans="1:18" x14ac:dyDescent="0.2">
      <c r="A102" s="5">
        <v>74</v>
      </c>
      <c r="B102" s="28">
        <f t="shared" ca="1" si="7"/>
        <v>21918.049157063488</v>
      </c>
      <c r="C102" s="29">
        <f t="shared" ca="1" si="6"/>
        <v>-1.8328344774678254</v>
      </c>
      <c r="D102" s="30">
        <f t="shared" ca="1" si="5"/>
        <v>-7.0658487546280069E-2</v>
      </c>
      <c r="E102" s="56">
        <v>70837.149999999994</v>
      </c>
      <c r="F102" s="56">
        <v>134388.69</v>
      </c>
      <c r="G102" s="56">
        <v>293418.01</v>
      </c>
      <c r="H102" s="34">
        <v>609385.88</v>
      </c>
      <c r="I102" s="34">
        <v>1272991.47</v>
      </c>
      <c r="J102" s="34">
        <v>4946712.05</v>
      </c>
      <c r="K102" s="34">
        <v>10662440.52</v>
      </c>
      <c r="L102" s="34">
        <v>22027497.52</v>
      </c>
      <c r="O102" s="46"/>
      <c r="Q102">
        <v>48251928.671578951</v>
      </c>
      <c r="R102">
        <v>0</v>
      </c>
    </row>
    <row r="103" spans="1:18" x14ac:dyDescent="0.2">
      <c r="A103" s="5">
        <v>75</v>
      </c>
      <c r="B103" s="28">
        <f t="shared" ca="1" si="7"/>
        <v>21909.893173133445</v>
      </c>
      <c r="C103" s="29">
        <f t="shared" ca="1" si="6"/>
        <v>-0.53096308804655512</v>
      </c>
      <c r="D103" s="30">
        <f t="shared" ca="1" si="5"/>
        <v>-1.7509810632775305E-2</v>
      </c>
      <c r="E103" s="56">
        <v>59267.18</v>
      </c>
      <c r="F103" s="56">
        <v>132693.09</v>
      </c>
      <c r="G103" s="56">
        <v>199757.22</v>
      </c>
      <c r="H103" s="34">
        <v>367864.51</v>
      </c>
      <c r="I103" s="34">
        <v>796568.85</v>
      </c>
      <c r="J103" s="34">
        <v>860361.51</v>
      </c>
      <c r="K103" s="34">
        <v>1930128.1</v>
      </c>
      <c r="L103" s="34">
        <v>2899316.09</v>
      </c>
      <c r="O103" s="46"/>
      <c r="Q103">
        <v>49802352.364210531</v>
      </c>
      <c r="R103">
        <v>0</v>
      </c>
    </row>
    <row r="104" spans="1:18" x14ac:dyDescent="0.2">
      <c r="A104" s="5">
        <v>76</v>
      </c>
      <c r="B104" s="28">
        <f t="shared" ca="1" si="7"/>
        <v>22869.013282625729</v>
      </c>
      <c r="C104" s="29">
        <f t="shared" ca="1" si="6"/>
        <v>0.55027589362193974</v>
      </c>
      <c r="D104" s="30">
        <f t="shared" ca="1" si="5"/>
        <v>2.6631585952129812E-2</v>
      </c>
      <c r="E104" s="56">
        <v>48401.06</v>
      </c>
      <c r="F104" s="56">
        <v>115858.31</v>
      </c>
      <c r="G104" s="56">
        <v>221415.67999999999</v>
      </c>
      <c r="H104" s="34">
        <v>360976.36</v>
      </c>
      <c r="I104" s="34">
        <v>585416.27</v>
      </c>
      <c r="J104" s="34">
        <v>764162.53</v>
      </c>
      <c r="K104" s="34">
        <v>1201624.3600000001</v>
      </c>
      <c r="L104" s="34">
        <v>1753641.58</v>
      </c>
      <c r="O104" s="46"/>
      <c r="Q104">
        <v>51352776.056842111</v>
      </c>
      <c r="R104">
        <v>0</v>
      </c>
    </row>
    <row r="105" spans="1:18" x14ac:dyDescent="0.2">
      <c r="A105" s="5">
        <v>77</v>
      </c>
      <c r="B105" s="28">
        <f t="shared" ca="1" si="7"/>
        <v>24426.842753307523</v>
      </c>
      <c r="C105" s="29">
        <f t="shared" ca="1" si="6"/>
        <v>1.164191927353134</v>
      </c>
      <c r="D105" s="30">
        <f t="shared" ca="1" si="5"/>
        <v>5.169460307804135E-2</v>
      </c>
      <c r="E105" s="56">
        <v>47784.46</v>
      </c>
      <c r="F105" s="56">
        <v>120502.85</v>
      </c>
      <c r="G105" s="56">
        <v>230434.3</v>
      </c>
      <c r="H105" s="34">
        <v>328339.68</v>
      </c>
      <c r="I105" s="34">
        <v>320475.21999999997</v>
      </c>
      <c r="J105" s="34">
        <v>228466.8</v>
      </c>
      <c r="K105" s="34">
        <v>1383130.2</v>
      </c>
      <c r="L105" s="34">
        <v>1245645.1599999999</v>
      </c>
      <c r="O105" s="46"/>
      <c r="Q105">
        <v>52903199.749473691</v>
      </c>
      <c r="R105">
        <v>0</v>
      </c>
    </row>
    <row r="106" spans="1:18" x14ac:dyDescent="0.2">
      <c r="A106" s="5">
        <v>78</v>
      </c>
      <c r="B106" s="28">
        <f t="shared" ca="1" si="7"/>
        <v>24903.306121784906</v>
      </c>
      <c r="C106" s="29">
        <f t="shared" ca="1" si="6"/>
        <v>-9.4266827929163194E-4</v>
      </c>
      <c r="D106" s="30">
        <f t="shared" ca="1" si="5"/>
        <v>4.1281823953171343E-3</v>
      </c>
      <c r="E106" s="56">
        <v>53331.49</v>
      </c>
      <c r="F106" s="56">
        <v>137223.95000000001</v>
      </c>
      <c r="G106" s="56">
        <v>337650.44</v>
      </c>
      <c r="H106" s="34">
        <v>646485.87</v>
      </c>
      <c r="I106" s="34">
        <v>1228803.46</v>
      </c>
      <c r="J106" s="34">
        <v>1457279.44</v>
      </c>
      <c r="K106" s="34">
        <v>2728031.81</v>
      </c>
      <c r="L106" s="34">
        <v>5807581.54</v>
      </c>
      <c r="M106" s="46"/>
      <c r="O106" s="46"/>
      <c r="Q106">
        <v>54453623.442105271</v>
      </c>
      <c r="R106">
        <v>0</v>
      </c>
    </row>
    <row r="107" spans="1:18" x14ac:dyDescent="0.2">
      <c r="A107" s="5">
        <v>79</v>
      </c>
      <c r="B107" s="28">
        <f t="shared" ca="1" si="7"/>
        <v>25565.856975811017</v>
      </c>
      <c r="C107" s="29">
        <f t="shared" ca="1" si="6"/>
        <v>0.18015835329009852</v>
      </c>
      <c r="D107" s="30">
        <f t="shared" ca="1" si="5"/>
        <v>1.1521600641013405E-2</v>
      </c>
      <c r="E107" s="56">
        <v>69179.399999999994</v>
      </c>
      <c r="F107" s="56">
        <v>209195.01</v>
      </c>
      <c r="G107" s="56">
        <v>815442.43</v>
      </c>
      <c r="H107" s="34">
        <v>2326375.0099999998</v>
      </c>
      <c r="I107" s="34">
        <v>3577069.9</v>
      </c>
      <c r="J107" s="34">
        <v>5567255.4299999997</v>
      </c>
      <c r="K107" s="34">
        <v>9117788.4499999993</v>
      </c>
      <c r="L107" s="34">
        <v>7775313.6699999999</v>
      </c>
      <c r="M107" s="46"/>
      <c r="O107" s="46"/>
      <c r="Q107">
        <v>56004047.134736851</v>
      </c>
      <c r="R107">
        <v>0</v>
      </c>
    </row>
    <row r="108" spans="1:18" x14ac:dyDescent="0.2">
      <c r="A108" s="5">
        <v>80</v>
      </c>
      <c r="B108" s="28">
        <f t="shared" ca="1" si="7"/>
        <v>26906.322282803729</v>
      </c>
      <c r="C108" s="29">
        <f t="shared" ca="1" si="6"/>
        <v>0.82236094487888067</v>
      </c>
      <c r="D108" s="30">
        <f t="shared" ca="1" si="5"/>
        <v>3.773941165577168E-2</v>
      </c>
      <c r="E108" s="56">
        <v>54233.47</v>
      </c>
      <c r="F108" s="56">
        <v>138253.9</v>
      </c>
      <c r="G108" s="56">
        <v>227616.97</v>
      </c>
      <c r="H108" s="34">
        <v>256525.9</v>
      </c>
      <c r="I108" s="34">
        <v>626428.69999999995</v>
      </c>
      <c r="J108" s="34">
        <v>1716709.89</v>
      </c>
      <c r="K108" s="34">
        <v>4169964.44</v>
      </c>
      <c r="L108" s="34">
        <v>5292698.97</v>
      </c>
      <c r="M108" s="46"/>
      <c r="O108" s="46"/>
      <c r="Q108">
        <v>57554470.827368423</v>
      </c>
      <c r="R108">
        <v>0</v>
      </c>
    </row>
    <row r="109" spans="1:18" ht="17" thickBot="1" x14ac:dyDescent="0.25">
      <c r="A109" s="5">
        <v>81</v>
      </c>
      <c r="B109" s="28">
        <f t="shared" ca="1" si="7"/>
        <v>29377.292943397359</v>
      </c>
      <c r="C109" s="29">
        <f t="shared" ca="1" si="6"/>
        <v>1.8054925455524515</v>
      </c>
      <c r="D109" s="30">
        <f t="shared" ca="1" si="5"/>
        <v>7.7875591183370341E-2</v>
      </c>
      <c r="E109" s="56">
        <v>45841.02</v>
      </c>
      <c r="F109" s="56">
        <v>244555.83</v>
      </c>
      <c r="G109" s="56">
        <v>379723.23</v>
      </c>
      <c r="H109" s="34">
        <v>469279.03</v>
      </c>
      <c r="I109" s="34">
        <v>498972.69</v>
      </c>
      <c r="J109" s="34">
        <v>566718.03</v>
      </c>
      <c r="K109" s="34">
        <v>504148.97</v>
      </c>
      <c r="L109" s="34">
        <v>688529.05</v>
      </c>
      <c r="M109" s="46"/>
      <c r="O109" s="46"/>
      <c r="Q109" s="48" t="s">
        <v>36</v>
      </c>
      <c r="R109" s="48">
        <v>1</v>
      </c>
    </row>
    <row r="110" spans="1:18" x14ac:dyDescent="0.2">
      <c r="A110" s="5">
        <v>82</v>
      </c>
      <c r="B110" s="28">
        <f t="shared" ca="1" si="7"/>
        <v>29121.656117753482</v>
      </c>
      <c r="C110" s="29">
        <f t="shared" ca="1" si="6"/>
        <v>-0.62841048064146454</v>
      </c>
      <c r="D110" s="30">
        <f t="shared" ca="1" si="5"/>
        <v>-2.1488083776478574E-2</v>
      </c>
      <c r="E110" s="56">
        <v>44755.73</v>
      </c>
      <c r="F110" s="56">
        <v>126118.58</v>
      </c>
      <c r="G110" s="56">
        <v>321904.39</v>
      </c>
      <c r="H110" s="34">
        <v>396821.25</v>
      </c>
      <c r="I110" s="34">
        <v>960789.1</v>
      </c>
      <c r="J110" s="34">
        <v>2850066.81</v>
      </c>
      <c r="K110" s="34">
        <v>2514478.06</v>
      </c>
      <c r="L110" s="34">
        <v>3883216.68</v>
      </c>
      <c r="M110" s="46"/>
      <c r="O110" s="46"/>
    </row>
    <row r="111" spans="1:18" x14ac:dyDescent="0.2">
      <c r="A111" s="5">
        <v>83</v>
      </c>
      <c r="B111" s="28">
        <f t="shared" ca="1" si="7"/>
        <v>29323.07727087789</v>
      </c>
      <c r="C111" s="29">
        <f t="shared" ca="1" si="6"/>
        <v>-0.24858887202258734</v>
      </c>
      <c r="D111" s="30">
        <f t="shared" ca="1" si="5"/>
        <v>-5.9819315364894642E-3</v>
      </c>
      <c r="E111" s="56">
        <v>70541.58</v>
      </c>
      <c r="F111" s="56">
        <v>122903.59</v>
      </c>
      <c r="G111" s="56">
        <v>420979.04</v>
      </c>
      <c r="H111" s="34">
        <v>466637.92</v>
      </c>
      <c r="I111" s="34">
        <v>754405.72</v>
      </c>
      <c r="J111" s="34">
        <v>1284254.3</v>
      </c>
      <c r="K111" s="34">
        <v>1448767.39</v>
      </c>
      <c r="L111" s="34">
        <v>6794852.3700000001</v>
      </c>
      <c r="M111" s="46"/>
      <c r="O111" s="46"/>
    </row>
    <row r="112" spans="1:18" x14ac:dyDescent="0.2">
      <c r="A112" s="5">
        <v>84</v>
      </c>
      <c r="B112" s="28">
        <f t="shared" ca="1" si="7"/>
        <v>30242.318613512718</v>
      </c>
      <c r="C112" s="29">
        <f t="shared" ca="1" si="6"/>
        <v>0.35204541161299802</v>
      </c>
      <c r="D112" s="30">
        <f t="shared" ca="1" si="5"/>
        <v>1.853886041233201E-2</v>
      </c>
      <c r="E112" s="56">
        <v>42335.11</v>
      </c>
      <c r="F112" s="56">
        <v>55336.84</v>
      </c>
      <c r="G112" s="56">
        <v>255011.56</v>
      </c>
      <c r="H112" s="34">
        <v>899877.31</v>
      </c>
      <c r="I112" s="34">
        <v>1364309.6</v>
      </c>
      <c r="J112" s="34">
        <v>1161367.19</v>
      </c>
      <c r="K112" s="34">
        <v>1995895.19</v>
      </c>
      <c r="L112" s="34">
        <v>2300323.63</v>
      </c>
      <c r="M112" s="46"/>
      <c r="O112" s="46"/>
    </row>
    <row r="113" spans="1:15" x14ac:dyDescent="0.2">
      <c r="A113" s="5">
        <v>85</v>
      </c>
      <c r="B113" s="28">
        <f t="shared" ca="1" si="7"/>
        <v>33217.543427431199</v>
      </c>
      <c r="C113" s="29">
        <f t="shared" ca="1" si="6"/>
        <v>2.0034951733581758</v>
      </c>
      <c r="D113" s="30">
        <f t="shared" ca="1" si="5"/>
        <v>8.5959014614274284E-2</v>
      </c>
      <c r="E113" s="56">
        <v>62742.400000000001</v>
      </c>
      <c r="F113" s="56">
        <v>161997.75</v>
      </c>
      <c r="G113" s="56">
        <v>379698.56</v>
      </c>
      <c r="H113" s="34">
        <v>354133.71</v>
      </c>
      <c r="I113" s="34">
        <v>796878.1</v>
      </c>
      <c r="J113" s="34">
        <v>1236727.48</v>
      </c>
      <c r="K113" s="34">
        <v>3258540.92</v>
      </c>
      <c r="L113" s="34">
        <v>7371141.96</v>
      </c>
      <c r="M113" s="46"/>
      <c r="O113" s="46"/>
    </row>
    <row r="114" spans="1:15" x14ac:dyDescent="0.2">
      <c r="A114" s="5">
        <v>86</v>
      </c>
      <c r="B114" s="28">
        <f t="shared" ca="1" si="7"/>
        <v>32692.75995279738</v>
      </c>
      <c r="C114" s="29">
        <f t="shared" ca="1" si="6"/>
        <v>-0.76603082699097269</v>
      </c>
      <c r="D114" s="30">
        <f t="shared" ca="1" si="5"/>
        <v>-2.710641088950172E-2</v>
      </c>
      <c r="E114" s="56">
        <v>72948.990000000005</v>
      </c>
      <c r="F114" s="56">
        <v>82185.259999999995</v>
      </c>
      <c r="G114" s="56">
        <v>365030.28</v>
      </c>
      <c r="H114" s="34">
        <v>633619.9</v>
      </c>
      <c r="I114" s="34">
        <v>971323.75</v>
      </c>
      <c r="J114" s="34">
        <v>3128078.77</v>
      </c>
      <c r="K114" s="34">
        <v>3841778.23</v>
      </c>
      <c r="L114" s="34">
        <v>3025375.44</v>
      </c>
      <c r="M114" s="46"/>
      <c r="O114" s="46"/>
    </row>
    <row r="115" spans="1:15" x14ac:dyDescent="0.2">
      <c r="A115" s="5">
        <v>87</v>
      </c>
      <c r="B115" s="28">
        <f t="shared" ca="1" si="7"/>
        <v>34879.372537349911</v>
      </c>
      <c r="C115" s="29">
        <f t="shared" ca="1" si="6"/>
        <v>1.2548119718861108</v>
      </c>
      <c r="D115" s="30">
        <f t="shared" ca="1" si="5"/>
        <v>5.5394150904276039E-2</v>
      </c>
      <c r="E115" s="56">
        <v>65189.38</v>
      </c>
      <c r="F115" s="56">
        <v>124113.27</v>
      </c>
      <c r="G115" s="56">
        <v>178265.34</v>
      </c>
      <c r="H115" s="34">
        <v>395197.41</v>
      </c>
      <c r="I115" s="34">
        <v>490909.06</v>
      </c>
      <c r="J115" s="34">
        <v>594475.67000000004</v>
      </c>
      <c r="K115" s="34">
        <v>385674.54</v>
      </c>
      <c r="L115" s="34">
        <v>567544.84</v>
      </c>
      <c r="M115" s="46"/>
      <c r="O115" s="46"/>
    </row>
    <row r="116" spans="1:15" x14ac:dyDescent="0.2">
      <c r="A116" s="5">
        <v>88</v>
      </c>
      <c r="B116" s="28">
        <f t="shared" ca="1" si="7"/>
        <v>38165.621368903019</v>
      </c>
      <c r="C116" s="29">
        <f t="shared" ca="1" si="6"/>
        <v>1.9419951828563771</v>
      </c>
      <c r="D116" s="30">
        <f t="shared" ca="1" si="5"/>
        <v>8.3448288015683977E-2</v>
      </c>
      <c r="E116" s="56">
        <v>77180.539999999994</v>
      </c>
      <c r="F116" s="56">
        <v>155299.84</v>
      </c>
      <c r="G116" s="56">
        <v>242471.18</v>
      </c>
      <c r="H116" s="34">
        <v>784382.13</v>
      </c>
      <c r="I116" s="34">
        <v>1793709.74</v>
      </c>
      <c r="J116" s="34">
        <v>2184402.7200000002</v>
      </c>
      <c r="K116" s="34">
        <v>4823337.7</v>
      </c>
      <c r="L116" s="34">
        <v>6566749.2199999997</v>
      </c>
      <c r="M116" s="46"/>
      <c r="O116" s="46"/>
    </row>
    <row r="117" spans="1:15" x14ac:dyDescent="0.2">
      <c r="A117" s="5">
        <v>89</v>
      </c>
      <c r="B117" s="28">
        <f t="shared" ca="1" si="7"/>
        <v>38705.599206661704</v>
      </c>
      <c r="C117" s="29">
        <f t="shared" ca="1" si="6"/>
        <v>3.4205071213275263E-3</v>
      </c>
      <c r="D117" s="30">
        <f t="shared" ca="1" si="5"/>
        <v>4.3063082851468098E-3</v>
      </c>
      <c r="E117" s="56">
        <v>63188.88</v>
      </c>
      <c r="F117" s="56">
        <v>208457.01</v>
      </c>
      <c r="G117" s="56">
        <v>1012779.01</v>
      </c>
      <c r="H117" s="34">
        <v>2056387.62</v>
      </c>
      <c r="I117" s="34">
        <v>2430527.81</v>
      </c>
      <c r="J117" s="34">
        <v>3613313.95</v>
      </c>
      <c r="K117" s="34">
        <v>8023284.6600000001</v>
      </c>
      <c r="L117" s="34">
        <v>12455089.58</v>
      </c>
      <c r="M117" s="46"/>
      <c r="O117" s="46"/>
    </row>
    <row r="118" spans="1:15" x14ac:dyDescent="0.2">
      <c r="A118" s="5">
        <v>90</v>
      </c>
      <c r="B118" s="28">
        <f t="shared" ca="1" si="7"/>
        <v>38881.811045800379</v>
      </c>
      <c r="C118" s="29">
        <f t="shared" ca="1" si="6"/>
        <v>-0.22826093595304231</v>
      </c>
      <c r="D118" s="30">
        <f t="shared" ca="1" si="5"/>
        <v>-5.152047021584419E-3</v>
      </c>
      <c r="E118" s="56">
        <v>56253.02</v>
      </c>
      <c r="F118" s="56">
        <v>138168.60999999999</v>
      </c>
      <c r="G118" s="56">
        <v>335039.69</v>
      </c>
      <c r="H118" s="34">
        <v>769016.98</v>
      </c>
      <c r="I118" s="34">
        <v>1978092.99</v>
      </c>
      <c r="J118" s="34">
        <v>1629696.38</v>
      </c>
      <c r="K118" s="34">
        <v>2018450.22</v>
      </c>
      <c r="L118" s="34">
        <v>10426061.710000001</v>
      </c>
      <c r="M118" s="46"/>
      <c r="O118" s="46"/>
    </row>
    <row r="119" spans="1:15" x14ac:dyDescent="0.2">
      <c r="A119" s="5">
        <v>91</v>
      </c>
      <c r="B119" s="28">
        <f t="shared" ca="1" si="7"/>
        <v>42036.523987627465</v>
      </c>
      <c r="C119" s="29">
        <f t="shared" ca="1" si="6"/>
        <v>1.6487173932424739</v>
      </c>
      <c r="D119" s="30">
        <f t="shared" ca="1" si="5"/>
        <v>7.1475272391594319E-2</v>
      </c>
      <c r="E119" s="56">
        <v>59519.03</v>
      </c>
      <c r="F119" s="56">
        <v>104869.78</v>
      </c>
      <c r="G119" s="56">
        <v>305001.15000000002</v>
      </c>
      <c r="H119" s="34">
        <v>461932.52</v>
      </c>
      <c r="I119" s="34">
        <v>438503.22</v>
      </c>
      <c r="J119" s="34">
        <v>722009.37</v>
      </c>
      <c r="K119" s="34">
        <v>1248842.25</v>
      </c>
      <c r="L119" s="34">
        <v>2157251.2599999998</v>
      </c>
      <c r="M119" s="46"/>
      <c r="O119" s="46"/>
    </row>
    <row r="120" spans="1:15" x14ac:dyDescent="0.2">
      <c r="A120" s="5">
        <v>92</v>
      </c>
      <c r="B120" s="28">
        <f t="shared" ca="1" si="7"/>
        <v>40007.339670174748</v>
      </c>
      <c r="C120" s="29">
        <f t="shared" ca="1" si="6"/>
        <v>-1.5033567011975155</v>
      </c>
      <c r="D120" s="30">
        <f t="shared" ca="1" si="5"/>
        <v>-5.7207613655461162E-2</v>
      </c>
      <c r="E120" s="56">
        <v>56618.21</v>
      </c>
      <c r="F120" s="56">
        <v>235482.69</v>
      </c>
      <c r="G120" s="56">
        <v>396137.14</v>
      </c>
      <c r="H120" s="34">
        <v>610652.75</v>
      </c>
      <c r="I120" s="34">
        <v>813919.13</v>
      </c>
      <c r="J120" s="34">
        <v>1029064.25</v>
      </c>
      <c r="K120" s="34">
        <v>1686280.85</v>
      </c>
      <c r="L120" s="34">
        <v>2822005.35</v>
      </c>
      <c r="M120" s="46"/>
      <c r="O120" s="46"/>
    </row>
    <row r="121" spans="1:15" x14ac:dyDescent="0.2">
      <c r="A121" s="5">
        <v>93</v>
      </c>
      <c r="B121" s="28">
        <f t="shared" ca="1" si="7"/>
        <v>39385.789626135971</v>
      </c>
      <c r="C121" s="29">
        <f t="shared" ca="1" si="6"/>
        <v>-0.71259249844020667</v>
      </c>
      <c r="D121" s="30">
        <f t="shared" ca="1" si="5"/>
        <v>-2.4924800261892071E-2</v>
      </c>
      <c r="E121" s="56">
        <v>74264</v>
      </c>
      <c r="F121" s="56">
        <v>134396.76</v>
      </c>
      <c r="G121" s="56">
        <v>294327.15000000002</v>
      </c>
      <c r="H121" s="34">
        <v>684068.5</v>
      </c>
      <c r="I121" s="34">
        <v>1921657.3</v>
      </c>
      <c r="J121" s="34">
        <v>5909623.71</v>
      </c>
      <c r="K121" s="34">
        <v>8163708.0599999996</v>
      </c>
      <c r="L121" s="34">
        <v>13399738.02</v>
      </c>
      <c r="M121" s="46"/>
      <c r="O121" s="46"/>
    </row>
    <row r="122" spans="1:15" x14ac:dyDescent="0.2">
      <c r="A122" s="5">
        <v>94</v>
      </c>
      <c r="B122" s="28">
        <f t="shared" ca="1" si="7"/>
        <v>39898.287244241365</v>
      </c>
      <c r="C122" s="29">
        <f t="shared" ca="1" si="6"/>
        <v>-1.6937892819345792E-2</v>
      </c>
      <c r="D122" s="30">
        <f t="shared" ca="1" si="5"/>
        <v>3.4751800879108605E-3</v>
      </c>
      <c r="E122" s="56">
        <v>63744.3</v>
      </c>
      <c r="F122" s="56">
        <v>203174.92</v>
      </c>
      <c r="G122" s="56">
        <v>357630.19</v>
      </c>
      <c r="H122" s="34">
        <v>501855.66</v>
      </c>
      <c r="I122" s="34">
        <v>1076337.8999999999</v>
      </c>
      <c r="J122" s="34">
        <v>952456.43</v>
      </c>
      <c r="K122" s="34">
        <v>1542403.84</v>
      </c>
      <c r="L122" s="34">
        <v>1740389.28</v>
      </c>
      <c r="M122" s="46"/>
      <c r="O122" s="46"/>
    </row>
    <row r="123" spans="1:15" x14ac:dyDescent="0.2">
      <c r="A123" s="5">
        <v>95</v>
      </c>
      <c r="B123" s="28">
        <f t="shared" ca="1" si="7"/>
        <v>40557.067801896686</v>
      </c>
      <c r="C123" s="29">
        <f t="shared" ca="1" si="6"/>
        <v>7.1776683790432588E-2</v>
      </c>
      <c r="D123" s="30">
        <f t="shared" ca="1" si="5"/>
        <v>7.0969375119276038E-3</v>
      </c>
      <c r="E123" s="56">
        <v>50628.32</v>
      </c>
      <c r="F123" s="56">
        <v>146771.44</v>
      </c>
      <c r="G123" s="56">
        <v>345602.61</v>
      </c>
      <c r="H123" s="34">
        <v>498971.77</v>
      </c>
      <c r="I123" s="34">
        <v>491550.08</v>
      </c>
      <c r="J123" s="34">
        <v>964922.25</v>
      </c>
      <c r="K123" s="34">
        <v>2184802.35</v>
      </c>
      <c r="L123" s="34">
        <v>2522344.98</v>
      </c>
      <c r="M123" s="46"/>
      <c r="O123" s="46"/>
    </row>
    <row r="124" spans="1:15" x14ac:dyDescent="0.2">
      <c r="A124" s="5">
        <v>96</v>
      </c>
      <c r="B124" s="28">
        <f t="shared" ca="1" si="7"/>
        <v>41363.236789241208</v>
      </c>
      <c r="C124" s="29">
        <f t="shared" ca="1" si="6"/>
        <v>0.15796986943871055</v>
      </c>
      <c r="D124" s="30">
        <f t="shared" ca="1" si="5"/>
        <v>1.0615759580981991E-2</v>
      </c>
      <c r="E124" s="56">
        <v>61866.04</v>
      </c>
      <c r="F124" s="56">
        <v>345179.8</v>
      </c>
      <c r="G124" s="56">
        <v>622899.92000000004</v>
      </c>
      <c r="H124" s="34">
        <v>854081.28</v>
      </c>
      <c r="I124" s="34">
        <v>1225647.6599999999</v>
      </c>
      <c r="J124" s="34">
        <v>3523859.45</v>
      </c>
      <c r="K124" s="34">
        <v>9342630.0399999991</v>
      </c>
      <c r="L124" s="34">
        <v>12817151.6</v>
      </c>
      <c r="M124" s="46"/>
      <c r="O124" s="46"/>
    </row>
    <row r="125" spans="1:15" x14ac:dyDescent="0.2">
      <c r="A125" s="5">
        <v>97</v>
      </c>
      <c r="B125" s="28">
        <f t="shared" ref="B125:B148" ca="1" si="8">(B124*(1+D125))+($C$6*(1+$C$8)^4)</f>
        <v>42051.434316405917</v>
      </c>
      <c r="C125" s="29">
        <f t="shared" ca="1" si="6"/>
        <v>7.636708463693534E-2</v>
      </c>
      <c r="D125" s="30">
        <f t="shared" ca="1" si="5"/>
        <v>7.2843398417404663E-3</v>
      </c>
      <c r="E125" s="56">
        <v>39808.29</v>
      </c>
      <c r="F125" s="56">
        <v>88206.26</v>
      </c>
      <c r="G125" s="56">
        <v>212718.06</v>
      </c>
      <c r="H125" s="34">
        <v>261429.95</v>
      </c>
      <c r="I125" s="34">
        <v>623625.46</v>
      </c>
      <c r="J125" s="34">
        <v>1149604.69</v>
      </c>
      <c r="K125" s="34">
        <v>1524928.3</v>
      </c>
      <c r="L125" s="34">
        <v>3279060.03</v>
      </c>
      <c r="M125" s="46"/>
      <c r="O125" s="46"/>
    </row>
    <row r="126" spans="1:15" x14ac:dyDescent="0.2">
      <c r="A126" s="5">
        <v>98</v>
      </c>
      <c r="B126" s="28">
        <f t="shared" ca="1" si="8"/>
        <v>41891.150641103035</v>
      </c>
      <c r="C126" s="29">
        <f t="shared" ca="1" si="6"/>
        <v>-0.42079204604523385</v>
      </c>
      <c r="D126" s="30">
        <f t="shared" ca="1" si="5"/>
        <v>-1.3012096677209119E-2</v>
      </c>
      <c r="E126" s="56">
        <v>58370.57</v>
      </c>
      <c r="F126" s="56">
        <v>158475.87</v>
      </c>
      <c r="G126" s="56">
        <v>404991.3</v>
      </c>
      <c r="H126" s="34">
        <v>914216.13</v>
      </c>
      <c r="I126" s="34">
        <v>1177652.82</v>
      </c>
      <c r="J126" s="34">
        <v>2532458.33</v>
      </c>
      <c r="K126" s="34">
        <v>7363180.96</v>
      </c>
      <c r="L126" s="34">
        <v>29971647.260000002</v>
      </c>
      <c r="M126" s="46"/>
      <c r="O126" s="46"/>
    </row>
    <row r="127" spans="1:15" x14ac:dyDescent="0.2">
      <c r="A127" s="5">
        <v>99</v>
      </c>
      <c r="B127" s="28">
        <f t="shared" ca="1" si="8"/>
        <v>40474.023445120438</v>
      </c>
      <c r="C127" s="29">
        <f t="shared" ca="1" si="6"/>
        <v>-1.1569222277547293</v>
      </c>
      <c r="D127" s="30">
        <f t="shared" ca="1" si="5"/>
        <v>-4.3064485501384558E-2</v>
      </c>
      <c r="E127" s="56">
        <v>66939.91</v>
      </c>
      <c r="F127" s="56">
        <v>247670.24</v>
      </c>
      <c r="G127" s="56">
        <v>261988.46</v>
      </c>
      <c r="H127" s="34">
        <v>366852.24</v>
      </c>
      <c r="I127" s="34">
        <v>617428.86</v>
      </c>
      <c r="J127" s="34">
        <v>859574.92</v>
      </c>
      <c r="K127" s="34">
        <v>2942035.52</v>
      </c>
      <c r="L127" s="34">
        <v>2335401.66</v>
      </c>
      <c r="M127" s="46"/>
      <c r="O127" s="46"/>
    </row>
    <row r="128" spans="1:15" x14ac:dyDescent="0.2">
      <c r="A128" s="5">
        <v>100</v>
      </c>
      <c r="B128" s="28">
        <f t="shared" ca="1" si="8"/>
        <v>41908.594081919684</v>
      </c>
      <c r="C128" s="29">
        <f t="shared" ca="1" si="6"/>
        <v>0.53199251500720124</v>
      </c>
      <c r="D128" s="30">
        <f t="shared" ca="1" si="5"/>
        <v>2.5885170145792755E-2</v>
      </c>
      <c r="E128" s="56">
        <v>38830.81</v>
      </c>
      <c r="F128" s="56">
        <v>85364.46</v>
      </c>
      <c r="G128" s="56">
        <v>290118.31</v>
      </c>
      <c r="H128" s="34">
        <v>436501.27</v>
      </c>
      <c r="I128" s="34">
        <v>1598572.8</v>
      </c>
      <c r="J128" s="34">
        <v>956884.81</v>
      </c>
      <c r="K128" s="34">
        <v>1146109.32</v>
      </c>
      <c r="L128" s="34">
        <v>2771516.15</v>
      </c>
      <c r="M128" s="46"/>
      <c r="O128" s="46"/>
    </row>
    <row r="129" spans="1:15" x14ac:dyDescent="0.2">
      <c r="A129" s="5">
        <v>101</v>
      </c>
      <c r="B129" s="28">
        <f t="shared" ca="1" si="8"/>
        <v>40973.292160533987</v>
      </c>
      <c r="C129" s="29">
        <f t="shared" ca="1" si="6"/>
        <v>-0.87486406453007282</v>
      </c>
      <c r="D129" s="30">
        <f t="shared" ca="1" si="5"/>
        <v>-3.1549509206600233E-2</v>
      </c>
      <c r="E129" s="56">
        <v>81112.179999999993</v>
      </c>
      <c r="F129" s="56">
        <v>291535.68</v>
      </c>
      <c r="G129" s="56">
        <v>694611.42</v>
      </c>
      <c r="H129" s="34">
        <v>1345443.5</v>
      </c>
      <c r="I129" s="34">
        <v>921143.13</v>
      </c>
      <c r="J129" s="34">
        <v>1461364.07</v>
      </c>
      <c r="K129" s="34">
        <v>2215161.94</v>
      </c>
      <c r="L129" s="34">
        <v>3399210.65</v>
      </c>
      <c r="M129" s="46"/>
      <c r="O129" s="46"/>
    </row>
    <row r="130" spans="1:15" x14ac:dyDescent="0.2">
      <c r="A130" s="5">
        <v>102</v>
      </c>
      <c r="B130" s="28">
        <f t="shared" ca="1" si="8"/>
        <v>41981.186176681411</v>
      </c>
      <c r="C130" s="29">
        <f t="shared" ca="1" si="6"/>
        <v>0.26918806094976522</v>
      </c>
      <c r="D130" s="30">
        <f t="shared" ca="1" si="5"/>
        <v>1.5156223236269049E-2</v>
      </c>
      <c r="E130" s="56">
        <v>38001.14</v>
      </c>
      <c r="F130" s="56">
        <v>94828.12</v>
      </c>
      <c r="G130" s="56">
        <v>241602.56</v>
      </c>
      <c r="H130" s="34">
        <v>162859.07</v>
      </c>
      <c r="I130" s="34">
        <v>246480.99</v>
      </c>
      <c r="J130" s="34">
        <v>250284.3</v>
      </c>
      <c r="K130" s="34">
        <v>493381.95</v>
      </c>
      <c r="L130" s="34">
        <v>851204.82</v>
      </c>
      <c r="M130" s="46"/>
      <c r="O130" s="46"/>
    </row>
    <row r="131" spans="1:15" x14ac:dyDescent="0.2">
      <c r="A131" s="5">
        <v>103</v>
      </c>
      <c r="B131" s="28">
        <f t="shared" ca="1" si="8"/>
        <v>38813.13715031201</v>
      </c>
      <c r="C131" s="29">
        <f t="shared" ca="1" si="6"/>
        <v>-2.1762758868044565</v>
      </c>
      <c r="D131" s="30">
        <f t="shared" ca="1" si="5"/>
        <v>-8.4679424369898018E-2</v>
      </c>
      <c r="E131" s="56">
        <v>76172.67</v>
      </c>
      <c r="F131" s="56">
        <v>136487.32</v>
      </c>
      <c r="G131" s="56">
        <v>468843.77</v>
      </c>
      <c r="H131" s="34">
        <v>737873.46</v>
      </c>
      <c r="I131" s="34">
        <v>1051376.42</v>
      </c>
      <c r="J131" s="34">
        <v>1369708.65</v>
      </c>
      <c r="K131" s="34">
        <v>3318029.27</v>
      </c>
      <c r="L131" s="34">
        <v>7117111.1799999997</v>
      </c>
      <c r="M131" s="46"/>
      <c r="O131" s="46"/>
    </row>
    <row r="132" spans="1:15" x14ac:dyDescent="0.2">
      <c r="A132" s="5">
        <v>104</v>
      </c>
      <c r="B132" s="28">
        <f t="shared" ca="1" si="8"/>
        <v>38818.986348200793</v>
      </c>
      <c r="C132" s="29">
        <f t="shared" ca="1" si="6"/>
        <v>-0.34253850764267757</v>
      </c>
      <c r="D132" s="30">
        <f t="shared" ca="1" si="5"/>
        <v>-9.8174093496499332E-3</v>
      </c>
      <c r="E132" s="56">
        <v>81887.13</v>
      </c>
      <c r="F132" s="56">
        <v>152029.98000000001</v>
      </c>
      <c r="G132" s="56">
        <v>386864.45</v>
      </c>
      <c r="H132" s="34">
        <v>1122968.17</v>
      </c>
      <c r="I132" s="34">
        <v>3773023.76</v>
      </c>
      <c r="J132" s="34">
        <v>11598383.33</v>
      </c>
      <c r="K132" s="34">
        <v>13188464.210000001</v>
      </c>
      <c r="L132" s="34">
        <v>16182317.720000001</v>
      </c>
      <c r="M132" s="46"/>
      <c r="O132" s="46"/>
    </row>
    <row r="133" spans="1:15" x14ac:dyDescent="0.2">
      <c r="A133" s="5">
        <v>105</v>
      </c>
      <c r="B133" s="28">
        <f t="shared" ca="1" si="8"/>
        <v>40968.287233780968</v>
      </c>
      <c r="C133" s="29">
        <f t="shared" ca="1" si="6"/>
        <v>1.0100222046543113</v>
      </c>
      <c r="D133" s="30">
        <f t="shared" ca="1" si="5"/>
        <v>4.5400650504733124E-2</v>
      </c>
      <c r="E133" s="56">
        <v>79628.429999999993</v>
      </c>
      <c r="F133" s="56">
        <v>126068.45</v>
      </c>
      <c r="G133" s="56">
        <v>211068.35</v>
      </c>
      <c r="H133" s="34">
        <v>450124</v>
      </c>
      <c r="I133" s="34">
        <v>765286.79</v>
      </c>
      <c r="J133" s="34">
        <v>929571.97</v>
      </c>
      <c r="K133" s="34">
        <v>1228404.1499999999</v>
      </c>
      <c r="L133" s="34">
        <v>2089382.64</v>
      </c>
      <c r="M133" s="46"/>
      <c r="O133" s="46"/>
    </row>
    <row r="134" spans="1:15" x14ac:dyDescent="0.2">
      <c r="A134" s="5">
        <v>106</v>
      </c>
      <c r="B134" s="28">
        <f t="shared" ca="1" si="8"/>
        <v>44183.730604177937</v>
      </c>
      <c r="C134" s="29">
        <f t="shared" ca="1" si="6"/>
        <v>1.5891249372552911</v>
      </c>
      <c r="D134" s="30">
        <f t="shared" ca="1" si="5"/>
        <v>6.9042420563463283E-2</v>
      </c>
      <c r="E134" s="56">
        <v>47113.15</v>
      </c>
      <c r="F134" s="56">
        <v>111333.28</v>
      </c>
      <c r="G134" s="56">
        <v>175380.83</v>
      </c>
      <c r="H134" s="34">
        <v>547359.31000000006</v>
      </c>
      <c r="I134" s="34">
        <v>770629.63</v>
      </c>
      <c r="J134" s="34">
        <v>1282373.01</v>
      </c>
      <c r="K134" s="34">
        <v>4848661.57</v>
      </c>
      <c r="L134" s="34">
        <v>19885527.93</v>
      </c>
      <c r="M134" s="46"/>
      <c r="O134" s="46"/>
    </row>
    <row r="135" spans="1:15" x14ac:dyDescent="0.2">
      <c r="A135" s="5">
        <v>107</v>
      </c>
      <c r="B135" s="28">
        <f t="shared" ca="1" si="8"/>
        <v>45527.264489396206</v>
      </c>
      <c r="C135" s="29">
        <f t="shared" ca="1" si="6"/>
        <v>0.42828708605356558</v>
      </c>
      <c r="D135" s="30">
        <f t="shared" ca="1" si="5"/>
        <v>2.165141373757842E-2</v>
      </c>
      <c r="E135" s="56">
        <v>48479.15</v>
      </c>
      <c r="F135" s="56">
        <v>131773.19</v>
      </c>
      <c r="G135" s="56">
        <v>251842.51</v>
      </c>
      <c r="H135" s="34">
        <v>319013.46000000002</v>
      </c>
      <c r="I135" s="34">
        <v>469363.38</v>
      </c>
      <c r="J135" s="34">
        <v>679182.64</v>
      </c>
      <c r="K135" s="34">
        <v>1060746.71</v>
      </c>
      <c r="L135" s="34">
        <v>896347.4</v>
      </c>
      <c r="M135" s="46"/>
      <c r="O135" s="46"/>
    </row>
    <row r="136" spans="1:15" x14ac:dyDescent="0.2">
      <c r="A136" s="5">
        <v>108</v>
      </c>
      <c r="B136" s="28">
        <f t="shared" ca="1" si="8"/>
        <v>47654.521881669345</v>
      </c>
      <c r="C136" s="29">
        <f t="shared" ca="1" si="6"/>
        <v>0.83430060473807977</v>
      </c>
      <c r="D136" s="30">
        <f t="shared" ca="1" si="5"/>
        <v>3.8226846228395485E-2</v>
      </c>
      <c r="E136" s="56">
        <v>37718.400000000001</v>
      </c>
      <c r="F136" s="56">
        <v>142035.44</v>
      </c>
      <c r="G136" s="56">
        <v>253926.37</v>
      </c>
      <c r="H136" s="34">
        <v>550972.06999999995</v>
      </c>
      <c r="I136" s="34">
        <v>701003.17</v>
      </c>
      <c r="J136" s="34">
        <v>913817.39</v>
      </c>
      <c r="K136" s="34">
        <v>2310176.94</v>
      </c>
      <c r="L136" s="34">
        <v>5308411.58</v>
      </c>
      <c r="M136" s="46"/>
      <c r="O136" s="46"/>
    </row>
    <row r="137" spans="1:15" x14ac:dyDescent="0.2">
      <c r="A137" s="5">
        <v>109</v>
      </c>
      <c r="B137" s="28">
        <f t="shared" ca="1" si="8"/>
        <v>48261.88255767872</v>
      </c>
      <c r="C137" s="29">
        <f t="shared" ca="1" si="6"/>
        <v>1.1260166090509343E-2</v>
      </c>
      <c r="D137" s="30">
        <f t="shared" ca="1" si="5"/>
        <v>4.6263610223456269E-3</v>
      </c>
      <c r="E137" s="56">
        <v>47973.67</v>
      </c>
      <c r="F137" s="56">
        <v>136951.76999999999</v>
      </c>
      <c r="G137" s="56">
        <v>372194.91</v>
      </c>
      <c r="H137" s="34">
        <v>397253.2</v>
      </c>
      <c r="I137" s="34">
        <v>373878.62</v>
      </c>
      <c r="J137" s="34">
        <v>871830.26</v>
      </c>
      <c r="K137" s="34">
        <v>1021678.74</v>
      </c>
      <c r="L137" s="34">
        <v>1168052.1399999999</v>
      </c>
      <c r="M137" s="46"/>
      <c r="O137" s="46"/>
    </row>
    <row r="138" spans="1:15" x14ac:dyDescent="0.2">
      <c r="A138" s="5">
        <v>110</v>
      </c>
      <c r="B138" s="28">
        <f t="shared" ca="1" si="8"/>
        <v>48502.362927574693</v>
      </c>
      <c r="C138" s="29">
        <f t="shared" ca="1" si="6"/>
        <v>-0.17637285728408392</v>
      </c>
      <c r="D138" s="30">
        <f t="shared" ca="1" si="5"/>
        <v>-3.0337250803787489E-3</v>
      </c>
      <c r="E138" s="56">
        <v>61233.69</v>
      </c>
      <c r="F138" s="56">
        <v>88687.78</v>
      </c>
      <c r="G138" s="56">
        <v>242318.21</v>
      </c>
      <c r="H138" s="34">
        <v>244483.24</v>
      </c>
      <c r="I138" s="34">
        <v>419198.91</v>
      </c>
      <c r="J138" s="34">
        <v>383835.3</v>
      </c>
      <c r="K138" s="34">
        <v>701131.23</v>
      </c>
      <c r="L138" s="34">
        <v>1505950.35</v>
      </c>
      <c r="M138" s="46"/>
      <c r="O138" s="46"/>
    </row>
    <row r="139" spans="1:15" x14ac:dyDescent="0.2">
      <c r="A139" s="5">
        <v>111</v>
      </c>
      <c r="B139" s="28">
        <f t="shared" ca="1" si="8"/>
        <v>50502.453789023719</v>
      </c>
      <c r="C139" s="29">
        <f t="shared" ca="1" si="6"/>
        <v>0.71264256765304546</v>
      </c>
      <c r="D139" s="30">
        <f t="shared" ca="1" si="5"/>
        <v>3.3260177662280031E-2</v>
      </c>
      <c r="E139" s="56">
        <v>104083.5</v>
      </c>
      <c r="F139" s="56">
        <v>217779.57</v>
      </c>
      <c r="G139" s="56">
        <v>290928.02</v>
      </c>
      <c r="H139" s="34">
        <v>427612.82</v>
      </c>
      <c r="I139" s="34">
        <v>549779.44999999995</v>
      </c>
      <c r="J139" s="34">
        <v>580880.82999999996</v>
      </c>
      <c r="K139" s="34">
        <v>886461.01</v>
      </c>
      <c r="L139" s="34">
        <v>1980391.21</v>
      </c>
      <c r="M139" s="46"/>
      <c r="O139" s="46"/>
    </row>
    <row r="140" spans="1:15" x14ac:dyDescent="0.2">
      <c r="A140" s="5">
        <v>112</v>
      </c>
      <c r="B140" s="28">
        <f t="shared" ca="1" si="8"/>
        <v>53841.136771271806</v>
      </c>
      <c r="C140" s="29">
        <f t="shared" ca="1" si="6"/>
        <v>1.3296263189983508</v>
      </c>
      <c r="D140" s="30">
        <f t="shared" ca="1" si="5"/>
        <v>5.8448433835350241E-2</v>
      </c>
      <c r="E140" s="56">
        <v>66915.67</v>
      </c>
      <c r="F140" s="56">
        <v>156683.82999999999</v>
      </c>
      <c r="G140" s="56">
        <v>322585.63</v>
      </c>
      <c r="H140" s="34">
        <v>841472.28</v>
      </c>
      <c r="I140" s="34">
        <v>712674.17</v>
      </c>
      <c r="J140" s="34">
        <v>799114.89</v>
      </c>
      <c r="K140" s="34">
        <v>957684.25</v>
      </c>
      <c r="L140" s="34">
        <v>2337457.15</v>
      </c>
      <c r="M140" s="46"/>
      <c r="O140" s="46"/>
    </row>
    <row r="141" spans="1:15" x14ac:dyDescent="0.2">
      <c r="A141" s="5">
        <v>113</v>
      </c>
      <c r="B141" s="28">
        <f t="shared" ca="1" si="8"/>
        <v>56999.087147216174</v>
      </c>
      <c r="C141" s="29">
        <f t="shared" ca="1" si="6"/>
        <v>1.1586236085364154</v>
      </c>
      <c r="D141" s="30">
        <f t="shared" ca="1" si="5"/>
        <v>5.1467277414273031E-2</v>
      </c>
      <c r="E141" s="56">
        <v>66274.41</v>
      </c>
      <c r="F141" s="56">
        <v>225952.86</v>
      </c>
      <c r="G141" s="56">
        <v>322635.48</v>
      </c>
      <c r="H141" s="34">
        <v>637329.87</v>
      </c>
      <c r="I141" s="34">
        <v>1405800.53</v>
      </c>
      <c r="J141" s="34">
        <v>5131055.53</v>
      </c>
      <c r="K141" s="34">
        <v>8083629.3300000001</v>
      </c>
      <c r="L141" s="34">
        <v>13922636.439999999</v>
      </c>
      <c r="M141" s="46"/>
      <c r="O141" s="46"/>
    </row>
    <row r="142" spans="1:15" x14ac:dyDescent="0.2">
      <c r="A142" s="5">
        <v>114</v>
      </c>
      <c r="B142" s="28">
        <f t="shared" ca="1" si="8"/>
        <v>57214.730448453774</v>
      </c>
      <c r="C142" s="29">
        <f t="shared" ca="1" si="6"/>
        <v>-0.1756555286090864</v>
      </c>
      <c r="D142" s="30">
        <f t="shared" ca="1" si="5"/>
        <v>-3.0044402598519045E-3</v>
      </c>
      <c r="E142" s="56">
        <v>42346.85</v>
      </c>
      <c r="F142" s="56">
        <v>147156.99</v>
      </c>
      <c r="G142" s="56">
        <v>264418.40999999997</v>
      </c>
      <c r="H142" s="34">
        <v>306616.42</v>
      </c>
      <c r="I142" s="34">
        <v>402538.45</v>
      </c>
      <c r="J142" s="34">
        <v>391337.88</v>
      </c>
      <c r="K142" s="34">
        <v>492107.31</v>
      </c>
      <c r="L142" s="34">
        <v>1292579.45</v>
      </c>
      <c r="M142" s="46"/>
      <c r="O142" s="46"/>
    </row>
    <row r="143" spans="1:15" x14ac:dyDescent="0.2">
      <c r="A143" s="5">
        <v>115</v>
      </c>
      <c r="B143" s="28">
        <f t="shared" ca="1" si="8"/>
        <v>59230.734726292998</v>
      </c>
      <c r="C143" s="29">
        <f t="shared" ca="1" si="6"/>
        <v>0.59539638485702007</v>
      </c>
      <c r="D143" s="30">
        <f t="shared" ca="1" si="5"/>
        <v>2.8473622293290937E-2</v>
      </c>
      <c r="E143" s="56">
        <v>53067.31</v>
      </c>
      <c r="F143" s="56">
        <v>139530.62</v>
      </c>
      <c r="G143" s="56">
        <v>399188.2</v>
      </c>
      <c r="H143" s="34">
        <v>492326.71</v>
      </c>
      <c r="I143" s="34">
        <v>1023995.54</v>
      </c>
      <c r="J143" s="34">
        <v>1095946.52</v>
      </c>
      <c r="K143" s="34">
        <v>3865996.63</v>
      </c>
      <c r="L143" s="34">
        <v>8393291.5399999991</v>
      </c>
      <c r="M143" s="46"/>
      <c r="O143" s="46"/>
    </row>
    <row r="144" spans="1:15" x14ac:dyDescent="0.2">
      <c r="A144" s="5">
        <v>116</v>
      </c>
      <c r="B144" s="28">
        <f t="shared" ca="1" si="8"/>
        <v>57727.325270728645</v>
      </c>
      <c r="C144" s="29">
        <f t="shared" ca="1" si="6"/>
        <v>-0.88379778763754058</v>
      </c>
      <c r="D144" s="30">
        <f t="shared" ca="1" si="5"/>
        <v>-3.1914226925210357E-2</v>
      </c>
      <c r="E144" s="56">
        <v>50419.89</v>
      </c>
      <c r="F144" s="56">
        <v>103908.56</v>
      </c>
      <c r="G144" s="56">
        <v>261645.1</v>
      </c>
      <c r="H144" s="34">
        <v>718377.67</v>
      </c>
      <c r="I144" s="34">
        <v>1938492.4</v>
      </c>
      <c r="J144" s="34">
        <v>2395197.14</v>
      </c>
      <c r="K144" s="34">
        <v>6950791.5899999999</v>
      </c>
      <c r="L144" s="34">
        <v>5294616.1500000004</v>
      </c>
      <c r="M144" s="46"/>
      <c r="O144" s="46"/>
    </row>
    <row r="145" spans="1:15" x14ac:dyDescent="0.2">
      <c r="A145" s="5">
        <v>117</v>
      </c>
      <c r="B145" s="28">
        <f t="shared" ca="1" si="8"/>
        <v>58739.713513161121</v>
      </c>
      <c r="C145" s="29">
        <f t="shared" ca="1" si="6"/>
        <v>0.16334821146079487</v>
      </c>
      <c r="D145" s="30">
        <f t="shared" ca="1" si="5"/>
        <v>1.0835329474586576E-2</v>
      </c>
      <c r="E145" s="56">
        <v>77585.210000000006</v>
      </c>
      <c r="F145" s="56">
        <v>161799.66</v>
      </c>
      <c r="G145" s="56">
        <v>297778.33</v>
      </c>
      <c r="H145" s="34">
        <v>949233.86</v>
      </c>
      <c r="I145" s="34">
        <v>863412.54</v>
      </c>
      <c r="J145" s="34">
        <v>1331686.81</v>
      </c>
      <c r="K145" s="34">
        <v>2086654.67</v>
      </c>
      <c r="L145" s="34">
        <v>4489883.5</v>
      </c>
      <c r="M145" s="46"/>
      <c r="O145" s="46"/>
    </row>
    <row r="146" spans="1:15" x14ac:dyDescent="0.2">
      <c r="A146" s="5">
        <v>118</v>
      </c>
      <c r="B146" s="28">
        <f t="shared" ca="1" si="8"/>
        <v>54183.00242476834</v>
      </c>
      <c r="C146" s="29">
        <f t="shared" ca="1" si="6"/>
        <v>-2.1635820193849202</v>
      </c>
      <c r="D146" s="30">
        <f t="shared" ca="1" si="5"/>
        <v>-8.4161199402557965E-2</v>
      </c>
      <c r="E146" s="56">
        <v>56191.95</v>
      </c>
      <c r="F146" s="56">
        <v>160453.48000000001</v>
      </c>
      <c r="G146" s="56">
        <v>162495.04999999999</v>
      </c>
      <c r="H146" s="34">
        <v>259875.33</v>
      </c>
      <c r="I146" s="34">
        <v>280230</v>
      </c>
      <c r="J146" s="34">
        <v>445246.97</v>
      </c>
      <c r="K146" s="34">
        <v>750515.11</v>
      </c>
      <c r="L146" s="34">
        <v>1913534.5</v>
      </c>
      <c r="M146" s="46"/>
      <c r="O146" s="46"/>
    </row>
    <row r="147" spans="1:15" x14ac:dyDescent="0.2">
      <c r="A147" s="5">
        <v>119</v>
      </c>
      <c r="B147" s="28">
        <f t="shared" ca="1" si="8"/>
        <v>51410.974384236702</v>
      </c>
      <c r="C147" s="29">
        <f t="shared" ca="1" si="6"/>
        <v>-1.5301383956983425</v>
      </c>
      <c r="D147" s="30">
        <f t="shared" ca="1" si="5"/>
        <v>-5.8300971755029969E-2</v>
      </c>
      <c r="E147" s="56">
        <v>48460.2</v>
      </c>
      <c r="F147" s="56">
        <v>163449.96</v>
      </c>
      <c r="G147" s="56">
        <v>195412.56</v>
      </c>
      <c r="H147" s="34">
        <v>385716.31</v>
      </c>
      <c r="I147" s="34">
        <v>816674.11</v>
      </c>
      <c r="J147" s="34">
        <v>2680394.7999999998</v>
      </c>
      <c r="K147" s="34">
        <v>2523553.64</v>
      </c>
      <c r="L147" s="34">
        <v>4435203.28</v>
      </c>
      <c r="M147" s="46"/>
      <c r="O147" s="46"/>
    </row>
    <row r="148" spans="1:15" x14ac:dyDescent="0.2">
      <c r="A148" s="5">
        <v>120</v>
      </c>
      <c r="B148" s="28">
        <f t="shared" ca="1" si="8"/>
        <v>53338.945006315276</v>
      </c>
      <c r="C148" s="29">
        <f t="shared" ca="1" si="6"/>
        <v>0.63218820618892935</v>
      </c>
      <c r="D148" s="30">
        <f t="shared" ca="1" si="5"/>
        <v>2.9975642109471321E-2</v>
      </c>
      <c r="E148" s="56">
        <v>49615.11</v>
      </c>
      <c r="F148" s="56">
        <v>137677.72</v>
      </c>
      <c r="G148" s="56">
        <v>455131.48</v>
      </c>
      <c r="H148" s="34">
        <v>1329177.29</v>
      </c>
      <c r="I148" s="34">
        <v>1628015.26</v>
      </c>
      <c r="J148" s="34">
        <v>2845002.07</v>
      </c>
      <c r="K148" s="34">
        <v>3957899.5</v>
      </c>
      <c r="L148" s="34">
        <v>3371565.89</v>
      </c>
      <c r="M148" s="46"/>
      <c r="O148" s="46"/>
    </row>
    <row r="149" spans="1:15" x14ac:dyDescent="0.2">
      <c r="A149" s="5">
        <v>121</v>
      </c>
      <c r="B149" s="28">
        <f t="shared" ref="B149:B172" ca="1" si="9">(B148*(1+D149))+($C$6*(1+$C$8)^5)</f>
        <v>54824.322330984513</v>
      </c>
      <c r="C149" s="29">
        <f t="shared" ca="1" si="6"/>
        <v>0.39706548304012007</v>
      </c>
      <c r="D149" s="30">
        <f t="shared" ca="1" si="5"/>
        <v>2.0376797132000368E-2</v>
      </c>
      <c r="E149" s="56">
        <v>35402.660000000003</v>
      </c>
      <c r="F149" s="56">
        <v>103639.82</v>
      </c>
      <c r="G149" s="56">
        <v>153967.44</v>
      </c>
      <c r="H149" s="34">
        <v>283092.67</v>
      </c>
      <c r="I149" s="34">
        <v>414230.03</v>
      </c>
      <c r="J149" s="34">
        <v>939938.53</v>
      </c>
      <c r="K149" s="34">
        <v>1555109.61</v>
      </c>
      <c r="L149" s="34">
        <v>2964973.62</v>
      </c>
      <c r="M149" s="46"/>
      <c r="O149" s="46"/>
    </row>
    <row r="150" spans="1:15" x14ac:dyDescent="0.2">
      <c r="A150" s="5">
        <v>122</v>
      </c>
      <c r="B150" s="28">
        <f t="shared" ca="1" si="9"/>
        <v>52950.347607037576</v>
      </c>
      <c r="C150" s="29">
        <f t="shared" ca="1" si="6"/>
        <v>-1.1173787103027772</v>
      </c>
      <c r="D150" s="30">
        <f t="shared" ca="1" si="5"/>
        <v>-4.1450128161515824E-2</v>
      </c>
      <c r="E150" s="56">
        <v>44767.25</v>
      </c>
      <c r="F150" s="56">
        <v>230813.93</v>
      </c>
      <c r="G150" s="56">
        <v>325171.15000000002</v>
      </c>
      <c r="H150" s="34">
        <v>738172.74</v>
      </c>
      <c r="I150" s="34">
        <v>713602.31</v>
      </c>
      <c r="J150" s="34">
        <v>2422826.4300000002</v>
      </c>
      <c r="K150" s="34">
        <v>4304313.82</v>
      </c>
      <c r="L150" s="34">
        <v>2905726.67</v>
      </c>
      <c r="M150" s="46"/>
      <c r="O150" s="46"/>
    </row>
    <row r="151" spans="1:15" x14ac:dyDescent="0.2">
      <c r="A151" s="5">
        <v>123</v>
      </c>
      <c r="B151" s="28">
        <f t="shared" ca="1" si="9"/>
        <v>50353.369724969794</v>
      </c>
      <c r="C151" s="29">
        <f t="shared" ca="1" si="6"/>
        <v>-1.4877741241260816</v>
      </c>
      <c r="D151" s="30">
        <f t="shared" ca="1" si="5"/>
        <v>-5.6571457610417729E-2</v>
      </c>
      <c r="E151" s="56">
        <v>34589.050000000003</v>
      </c>
      <c r="F151" s="56">
        <v>101004.85</v>
      </c>
      <c r="G151" s="56">
        <v>278930.84999999998</v>
      </c>
      <c r="H151" s="34">
        <v>424634.86</v>
      </c>
      <c r="I151" s="34">
        <v>384233.49</v>
      </c>
      <c r="J151" s="34">
        <v>530480.52</v>
      </c>
      <c r="K151" s="34">
        <v>1056927.78</v>
      </c>
      <c r="L151" s="34">
        <v>1280153.23</v>
      </c>
      <c r="M151" s="46"/>
      <c r="O151" s="46"/>
    </row>
    <row r="152" spans="1:15" x14ac:dyDescent="0.2">
      <c r="A152" s="5">
        <v>124</v>
      </c>
      <c r="B152" s="28">
        <f t="shared" ca="1" si="9"/>
        <v>51423.414631449334</v>
      </c>
      <c r="C152" s="29">
        <f t="shared" ca="1" si="6"/>
        <v>0.22461739988236468</v>
      </c>
      <c r="D152" s="30">
        <f t="shared" ca="1" si="5"/>
        <v>1.3336633617707996E-2</v>
      </c>
      <c r="E152" s="56">
        <v>80137.509999999995</v>
      </c>
      <c r="F152" s="56">
        <v>218274.5</v>
      </c>
      <c r="G152" s="56">
        <v>291159.46000000002</v>
      </c>
      <c r="H152" s="34">
        <v>702905.44</v>
      </c>
      <c r="I152" s="34">
        <v>1015939.18</v>
      </c>
      <c r="J152" s="34">
        <v>1332511.3</v>
      </c>
      <c r="K152" s="34">
        <v>3822850.77</v>
      </c>
      <c r="L152" s="34">
        <v>8159536.6500000004</v>
      </c>
      <c r="M152" s="46"/>
      <c r="O152" s="46"/>
    </row>
    <row r="153" spans="1:15" x14ac:dyDescent="0.2">
      <c r="A153" s="5">
        <v>125</v>
      </c>
      <c r="B153" s="28">
        <f t="shared" ca="1" si="9"/>
        <v>49732.347909692799</v>
      </c>
      <c r="C153" s="29">
        <f t="shared" ca="1" si="6"/>
        <v>-1.0974011458183708</v>
      </c>
      <c r="D153" s="30">
        <f t="shared" ca="1" si="5"/>
        <v>-4.063454750667677E-2</v>
      </c>
      <c r="E153" s="56">
        <v>40148.800000000003</v>
      </c>
      <c r="F153" s="56">
        <v>185978.45</v>
      </c>
      <c r="G153" s="56">
        <v>530874.55000000005</v>
      </c>
      <c r="H153" s="34">
        <v>1263969.94</v>
      </c>
      <c r="I153" s="34">
        <v>1117453.8500000001</v>
      </c>
      <c r="J153" s="34">
        <v>2508520.17</v>
      </c>
      <c r="K153" s="34">
        <v>5370716.1100000003</v>
      </c>
      <c r="L153" s="34">
        <v>12501290.67</v>
      </c>
      <c r="M153" s="46"/>
      <c r="O153" s="46"/>
    </row>
    <row r="154" spans="1:15" x14ac:dyDescent="0.2">
      <c r="A154" s="5">
        <v>126</v>
      </c>
      <c r="B154" s="28">
        <f t="shared" ca="1" si="9"/>
        <v>47164.146920175139</v>
      </c>
      <c r="C154" s="29">
        <f t="shared" ca="1" si="6"/>
        <v>-1.5632649080696985</v>
      </c>
      <c r="D154" s="30">
        <f t="shared" ca="1" si="5"/>
        <v>-5.9653355959493573E-2</v>
      </c>
      <c r="E154" s="56">
        <v>49667.41</v>
      </c>
      <c r="F154" s="56">
        <v>124625.96</v>
      </c>
      <c r="G154" s="56">
        <v>161164.6</v>
      </c>
      <c r="H154" s="34">
        <v>203559.55</v>
      </c>
      <c r="I154" s="34">
        <v>248649.77</v>
      </c>
      <c r="J154" s="34">
        <v>473331.05</v>
      </c>
      <c r="K154" s="34">
        <v>1171837.04</v>
      </c>
      <c r="L154" s="34">
        <v>1244255.68</v>
      </c>
      <c r="M154" s="46"/>
      <c r="O154" s="46"/>
    </row>
    <row r="155" spans="1:15" x14ac:dyDescent="0.2">
      <c r="A155" s="5">
        <v>127</v>
      </c>
      <c r="B155" s="28">
        <f t="shared" ca="1" si="9"/>
        <v>47167.231957831733</v>
      </c>
      <c r="C155" s="29">
        <f t="shared" ca="1" si="6"/>
        <v>-0.30742273147739341</v>
      </c>
      <c r="D155" s="30">
        <f t="shared" ca="1" si="5"/>
        <v>-8.3838137908710426E-3</v>
      </c>
      <c r="E155" s="56">
        <v>77724.31</v>
      </c>
      <c r="F155" s="56">
        <v>428871.09</v>
      </c>
      <c r="G155" s="56">
        <v>830133.28</v>
      </c>
      <c r="H155" s="34">
        <v>1897844.4</v>
      </c>
      <c r="I155" s="34">
        <v>2700037.95</v>
      </c>
      <c r="J155" s="34">
        <v>4295147.29</v>
      </c>
      <c r="K155" s="34">
        <v>3397305.28</v>
      </c>
      <c r="L155" s="34">
        <v>3654078.94</v>
      </c>
      <c r="M155" s="46"/>
      <c r="O155" s="46"/>
    </row>
    <row r="156" spans="1:15" x14ac:dyDescent="0.2">
      <c r="A156" s="5">
        <v>128</v>
      </c>
      <c r="B156" s="28">
        <f t="shared" ca="1" si="9"/>
        <v>50550.741497428142</v>
      </c>
      <c r="C156" s="29">
        <f t="shared" ca="1" si="6"/>
        <v>1.4481135072601039</v>
      </c>
      <c r="D156" s="30">
        <f t="shared" ca="1" si="5"/>
        <v>6.3285653040323298E-2</v>
      </c>
      <c r="E156" s="56">
        <v>62994.74</v>
      </c>
      <c r="F156" s="56">
        <v>108061.23</v>
      </c>
      <c r="G156" s="56">
        <v>191814.21</v>
      </c>
      <c r="H156" s="34">
        <v>433802.71</v>
      </c>
      <c r="I156" s="34">
        <v>998899.54</v>
      </c>
      <c r="J156" s="34">
        <v>1578292.94</v>
      </c>
      <c r="K156" s="34">
        <v>1635940.65</v>
      </c>
      <c r="L156" s="34">
        <v>2572464.9500000002</v>
      </c>
      <c r="M156" s="46"/>
      <c r="O156" s="46"/>
    </row>
    <row r="157" spans="1:15" x14ac:dyDescent="0.2">
      <c r="A157" s="5">
        <v>129</v>
      </c>
      <c r="B157" s="28">
        <f t="shared" ca="1" si="9"/>
        <v>49743.367304430474</v>
      </c>
      <c r="C157" s="29">
        <f t="shared" ca="1" si="6"/>
        <v>-0.68638141463754254</v>
      </c>
      <c r="D157" s="30">
        <f t="shared" ca="1" si="5"/>
        <v>-2.3854737246527803E-2</v>
      </c>
      <c r="E157" s="56">
        <v>43633.35</v>
      </c>
      <c r="F157" s="56">
        <v>109207.79</v>
      </c>
      <c r="G157" s="56">
        <v>159911.41</v>
      </c>
      <c r="H157" s="34">
        <v>564179.25</v>
      </c>
      <c r="I157" s="34">
        <v>1177164.31</v>
      </c>
      <c r="J157" s="34">
        <v>3245858.59</v>
      </c>
      <c r="K157" s="34">
        <v>3912222.7</v>
      </c>
      <c r="L157" s="34">
        <v>4371963.43</v>
      </c>
      <c r="M157" s="46"/>
      <c r="O157" s="46"/>
    </row>
    <row r="158" spans="1:15" x14ac:dyDescent="0.2">
      <c r="A158" s="5">
        <v>130</v>
      </c>
      <c r="B158" s="28">
        <f t="shared" ca="1" si="9"/>
        <v>51412.952683058356</v>
      </c>
      <c r="C158" s="29">
        <f t="shared" ca="1" si="6"/>
        <v>0.5238524224528246</v>
      </c>
      <c r="D158" s="30">
        <f t="shared" ref="D158:D221" ca="1" si="10">$D$20+(C158*$D$21)</f>
        <v>2.555285225883857E-2</v>
      </c>
      <c r="E158" s="56">
        <v>60448.63</v>
      </c>
      <c r="F158" s="56">
        <v>107171.61</v>
      </c>
      <c r="G158" s="56">
        <v>202016.91</v>
      </c>
      <c r="H158" s="34">
        <v>379900.06</v>
      </c>
      <c r="I158" s="34">
        <v>1259185.77</v>
      </c>
      <c r="J158" s="34">
        <v>4830416.4000000004</v>
      </c>
      <c r="K158" s="34">
        <v>5226206.5999999996</v>
      </c>
      <c r="L158" s="34">
        <v>4336437.6500000004</v>
      </c>
      <c r="M158" s="46"/>
      <c r="O158" s="46"/>
    </row>
    <row r="159" spans="1:15" x14ac:dyDescent="0.2">
      <c r="A159" s="5">
        <v>131</v>
      </c>
      <c r="B159" s="28">
        <f t="shared" ca="1" si="9"/>
        <v>52096.027122314663</v>
      </c>
      <c r="C159" s="29">
        <f t="shared" ref="C159:C222" ca="1" si="11">NORMSINV(RAND())</f>
        <v>3.3518748835871456E-2</v>
      </c>
      <c r="D159" s="30">
        <f t="shared" ca="1" si="10"/>
        <v>5.5350638577398789E-3</v>
      </c>
      <c r="E159" s="56">
        <v>42189.62</v>
      </c>
      <c r="F159" s="56">
        <v>58899.71</v>
      </c>
      <c r="G159" s="56">
        <v>165754.82999999999</v>
      </c>
      <c r="H159" s="34">
        <v>412302.88</v>
      </c>
      <c r="I159" s="34">
        <v>725791.62</v>
      </c>
      <c r="J159" s="34">
        <v>1230577.03</v>
      </c>
      <c r="K159" s="34">
        <v>892301.08</v>
      </c>
      <c r="L159" s="34">
        <v>2270673.2599999998</v>
      </c>
      <c r="M159" s="46"/>
      <c r="O159" s="46"/>
    </row>
    <row r="160" spans="1:15" x14ac:dyDescent="0.2">
      <c r="A160" s="5">
        <v>132</v>
      </c>
      <c r="B160" s="28">
        <f t="shared" ca="1" si="9"/>
        <v>54851.000728920684</v>
      </c>
      <c r="C160" s="29">
        <f t="shared" ca="1" si="11"/>
        <v>1.005921993185289</v>
      </c>
      <c r="D160" s="30">
        <f t="shared" ca="1" si="10"/>
        <v>4.5233260072456254E-2</v>
      </c>
      <c r="E160" s="56">
        <v>46883.05</v>
      </c>
      <c r="F160" s="56">
        <v>192590.9</v>
      </c>
      <c r="G160" s="56">
        <v>304914.28000000003</v>
      </c>
      <c r="H160" s="34">
        <v>649897.57999999996</v>
      </c>
      <c r="I160" s="34">
        <v>578214.81000000006</v>
      </c>
      <c r="J160" s="34">
        <v>952786.63</v>
      </c>
      <c r="K160" s="34">
        <v>617943.69999999995</v>
      </c>
      <c r="L160" s="34">
        <v>1380189.55</v>
      </c>
      <c r="M160" s="46"/>
      <c r="O160" s="46"/>
    </row>
    <row r="161" spans="1:15" x14ac:dyDescent="0.2">
      <c r="A161" s="5">
        <v>133</v>
      </c>
      <c r="B161" s="28">
        <f t="shared" ca="1" si="9"/>
        <v>58376.498899967664</v>
      </c>
      <c r="C161" s="29">
        <f t="shared" ca="1" si="11"/>
        <v>1.294366198460138</v>
      </c>
      <c r="D161" s="30">
        <f t="shared" ca="1" si="10"/>
        <v>5.7008945442222729E-2</v>
      </c>
      <c r="E161" s="56">
        <v>83555.39</v>
      </c>
      <c r="F161" s="56">
        <v>153355.41</v>
      </c>
      <c r="G161" s="56">
        <v>272019.69</v>
      </c>
      <c r="H161" s="34">
        <v>193874.05</v>
      </c>
      <c r="I161" s="34">
        <v>516298.91</v>
      </c>
      <c r="J161" s="34">
        <v>707520.43</v>
      </c>
      <c r="K161" s="34">
        <v>1904223.47</v>
      </c>
      <c r="L161" s="34">
        <v>2377586</v>
      </c>
      <c r="M161" s="46"/>
      <c r="O161" s="46"/>
    </row>
    <row r="162" spans="1:15" x14ac:dyDescent="0.2">
      <c r="A162" s="5">
        <v>134</v>
      </c>
      <c r="B162" s="28">
        <f t="shared" ca="1" si="9"/>
        <v>59426.610620956715</v>
      </c>
      <c r="C162" s="29">
        <f t="shared" ca="1" si="11"/>
        <v>0.17135533382387139</v>
      </c>
      <c r="D162" s="30">
        <f t="shared" ca="1" si="10"/>
        <v>1.1162218876212673E-2</v>
      </c>
      <c r="E162" s="56">
        <v>51912</v>
      </c>
      <c r="F162" s="56">
        <v>100063.09</v>
      </c>
      <c r="G162" s="56">
        <v>114492.74</v>
      </c>
      <c r="H162" s="34">
        <v>174279.79</v>
      </c>
      <c r="I162" s="34">
        <v>231982.56</v>
      </c>
      <c r="J162" s="34">
        <v>613897.94999999995</v>
      </c>
      <c r="K162" s="34">
        <v>637598.56999999995</v>
      </c>
      <c r="L162" s="34">
        <v>1345441.15</v>
      </c>
      <c r="M162" s="46"/>
      <c r="O162" s="46"/>
    </row>
    <row r="163" spans="1:15" x14ac:dyDescent="0.2">
      <c r="A163" s="5">
        <v>135</v>
      </c>
      <c r="B163" s="28">
        <f t="shared" ca="1" si="9"/>
        <v>58710.147709130615</v>
      </c>
      <c r="C163" s="29">
        <f t="shared" ca="1" si="11"/>
        <v>-0.56163587663699499</v>
      </c>
      <c r="D163" s="30">
        <f t="shared" ca="1" si="10"/>
        <v>-1.8762021983355963E-2</v>
      </c>
      <c r="E163" s="56">
        <v>34093.08</v>
      </c>
      <c r="F163" s="56">
        <v>182753.04</v>
      </c>
      <c r="G163" s="56">
        <v>440170.28</v>
      </c>
      <c r="H163" s="34">
        <v>1038609.75</v>
      </c>
      <c r="I163" s="34">
        <v>1763406.93</v>
      </c>
      <c r="J163" s="34">
        <v>2724143.41</v>
      </c>
      <c r="K163" s="34">
        <v>3289085.04</v>
      </c>
      <c r="L163" s="34">
        <v>4683857.12</v>
      </c>
      <c r="M163" s="46"/>
      <c r="O163" s="46"/>
    </row>
    <row r="164" spans="1:15" x14ac:dyDescent="0.2">
      <c r="A164" s="5">
        <v>136</v>
      </c>
      <c r="B164" s="28">
        <f t="shared" ca="1" si="9"/>
        <v>62413.778442728653</v>
      </c>
      <c r="C164" s="29">
        <f t="shared" ca="1" si="11"/>
        <v>1.2768959120244794</v>
      </c>
      <c r="D164" s="30">
        <f t="shared" ca="1" si="10"/>
        <v>5.629572398509556E-2</v>
      </c>
      <c r="E164" s="56">
        <v>48972.07</v>
      </c>
      <c r="F164" s="56">
        <v>95755.42</v>
      </c>
      <c r="G164" s="56">
        <v>351138.65</v>
      </c>
      <c r="H164" s="34">
        <v>633422.28</v>
      </c>
      <c r="I164" s="34">
        <v>1662260.58</v>
      </c>
      <c r="J164" s="34">
        <v>3756511.43</v>
      </c>
      <c r="K164" s="34">
        <v>9437869.9600000009</v>
      </c>
      <c r="L164" s="34">
        <v>17565898.02</v>
      </c>
      <c r="M164" s="46"/>
      <c r="O164" s="46"/>
    </row>
    <row r="165" spans="1:15" x14ac:dyDescent="0.2">
      <c r="A165" s="5">
        <v>137</v>
      </c>
      <c r="B165" s="28">
        <f t="shared" ca="1" si="9"/>
        <v>62837.397213908116</v>
      </c>
      <c r="C165" s="29">
        <f t="shared" ca="1" si="11"/>
        <v>-9.2204147062140196E-2</v>
      </c>
      <c r="D165" s="30">
        <f t="shared" ca="1" si="10"/>
        <v>4.024481254869313E-4</v>
      </c>
      <c r="E165" s="56">
        <v>39273.550000000003</v>
      </c>
      <c r="F165" s="56">
        <v>123246.76</v>
      </c>
      <c r="G165" s="56">
        <v>204920.6</v>
      </c>
      <c r="H165" s="34">
        <v>572276.81000000006</v>
      </c>
      <c r="I165" s="34">
        <v>1390671.01</v>
      </c>
      <c r="J165" s="34">
        <v>4555987.9000000004</v>
      </c>
      <c r="K165" s="34">
        <v>8529409.0399999991</v>
      </c>
      <c r="L165" s="34">
        <v>16273910.76</v>
      </c>
      <c r="M165" s="46"/>
      <c r="O165" s="46"/>
    </row>
    <row r="166" spans="1:15" x14ac:dyDescent="0.2">
      <c r="A166" s="5">
        <v>138</v>
      </c>
      <c r="B166" s="28">
        <f t="shared" ca="1" si="9"/>
        <v>63022.925719023675</v>
      </c>
      <c r="C166" s="29">
        <f t="shared" ca="1" si="11"/>
        <v>-0.185081524338648</v>
      </c>
      <c r="D166" s="30">
        <f t="shared" ca="1" si="10"/>
        <v>-3.389254924103224E-3</v>
      </c>
      <c r="E166" s="56">
        <v>64767.3</v>
      </c>
      <c r="F166" s="56">
        <v>304360.09999999998</v>
      </c>
      <c r="G166" s="56">
        <v>735072.76</v>
      </c>
      <c r="H166" s="34">
        <v>964198</v>
      </c>
      <c r="I166" s="34">
        <v>1779191.07</v>
      </c>
      <c r="J166" s="34">
        <v>2249578.85</v>
      </c>
      <c r="K166" s="34">
        <v>4487113.96</v>
      </c>
      <c r="L166" s="34">
        <v>13252459.66</v>
      </c>
      <c r="M166" s="46"/>
      <c r="O166" s="46"/>
    </row>
    <row r="167" spans="1:15" x14ac:dyDescent="0.2">
      <c r="A167" s="5">
        <v>139</v>
      </c>
      <c r="B167" s="28">
        <f t="shared" ca="1" si="9"/>
        <v>60843.36360206367</v>
      </c>
      <c r="C167" s="29">
        <f t="shared" ca="1" si="11"/>
        <v>-1.1040685288250425</v>
      </c>
      <c r="D167" s="30">
        <f t="shared" ca="1" si="10"/>
        <v>-4.0906742278110926E-2</v>
      </c>
      <c r="E167" s="56">
        <v>61772.78</v>
      </c>
      <c r="F167" s="56">
        <v>310037.03999999998</v>
      </c>
      <c r="G167" s="56">
        <v>612670.16</v>
      </c>
      <c r="H167" s="34">
        <v>863827.84</v>
      </c>
      <c r="I167" s="34">
        <v>1241342.1599999999</v>
      </c>
      <c r="J167" s="34">
        <v>1351366.84</v>
      </c>
      <c r="K167" s="34">
        <v>2071817.72</v>
      </c>
      <c r="L167" s="34">
        <v>1823321.15</v>
      </c>
      <c r="M167" s="46"/>
      <c r="O167" s="46"/>
    </row>
    <row r="168" spans="1:15" x14ac:dyDescent="0.2">
      <c r="A168" s="5">
        <v>140</v>
      </c>
      <c r="B168" s="28">
        <f t="shared" ca="1" si="9"/>
        <v>61470.412071363397</v>
      </c>
      <c r="C168" s="29">
        <f t="shared" ca="1" si="11"/>
        <v>-1.0051052198574304E-2</v>
      </c>
      <c r="D168" s="30">
        <f t="shared" ca="1" si="10"/>
        <v>3.7563341789235653E-3</v>
      </c>
      <c r="E168" s="56">
        <v>52057.93</v>
      </c>
      <c r="F168" s="56">
        <v>117857.82</v>
      </c>
      <c r="G168" s="56">
        <v>544026.29</v>
      </c>
      <c r="H168" s="34">
        <v>485382.92</v>
      </c>
      <c r="I168" s="34">
        <v>1508325.97</v>
      </c>
      <c r="J168" s="34">
        <v>1574324.75</v>
      </c>
      <c r="K168" s="34">
        <v>1805304.38</v>
      </c>
      <c r="L168" s="34">
        <v>3622507.06</v>
      </c>
      <c r="M168" s="46"/>
      <c r="O168" s="46"/>
    </row>
    <row r="169" spans="1:15" x14ac:dyDescent="0.2">
      <c r="A169" s="5">
        <v>141</v>
      </c>
      <c r="B169" s="28">
        <f t="shared" ca="1" si="9"/>
        <v>61604.719146592593</v>
      </c>
      <c r="C169" s="29">
        <f t="shared" ca="1" si="11"/>
        <v>-0.2073385742284711</v>
      </c>
      <c r="D169" s="30">
        <f t="shared" ca="1" si="10"/>
        <v>-4.2978951809321429E-3</v>
      </c>
      <c r="E169" s="56">
        <v>34342.1</v>
      </c>
      <c r="F169" s="56">
        <v>96341.19</v>
      </c>
      <c r="G169" s="56">
        <v>321395.09000000003</v>
      </c>
      <c r="H169" s="34">
        <v>281931.78999999998</v>
      </c>
      <c r="I169" s="34">
        <v>356933.2</v>
      </c>
      <c r="J169" s="34">
        <v>1024565.69</v>
      </c>
      <c r="K169" s="34">
        <v>2056851.47</v>
      </c>
      <c r="L169" s="34">
        <v>2037014.58</v>
      </c>
      <c r="M169" s="46"/>
      <c r="O169" s="46"/>
    </row>
    <row r="170" spans="1:15" x14ac:dyDescent="0.2">
      <c r="A170" s="5">
        <v>142</v>
      </c>
      <c r="B170" s="28">
        <f t="shared" ca="1" si="9"/>
        <v>63158.49393262899</v>
      </c>
      <c r="C170" s="29">
        <f t="shared" ca="1" si="11"/>
        <v>0.35729114633875902</v>
      </c>
      <c r="D170" s="30">
        <f t="shared" ca="1" si="10"/>
        <v>1.8753016635733897E-2</v>
      </c>
      <c r="E170" s="56">
        <v>59703.66</v>
      </c>
      <c r="F170" s="56">
        <v>190898.61</v>
      </c>
      <c r="G170" s="56">
        <v>273685.84000000003</v>
      </c>
      <c r="H170" s="34">
        <v>392070.24</v>
      </c>
      <c r="I170" s="34">
        <v>1706785.94</v>
      </c>
      <c r="J170" s="34">
        <v>3076260.04</v>
      </c>
      <c r="K170" s="34">
        <v>4774443.1399999997</v>
      </c>
      <c r="L170" s="34">
        <v>4229953.24</v>
      </c>
      <c r="M170" s="46"/>
      <c r="O170" s="46"/>
    </row>
    <row r="171" spans="1:15" x14ac:dyDescent="0.2">
      <c r="A171" s="5">
        <v>143</v>
      </c>
      <c r="B171" s="28">
        <f t="shared" ca="1" si="9"/>
        <v>59762.174472383398</v>
      </c>
      <c r="C171" s="29">
        <f t="shared" ca="1" si="11"/>
        <v>-1.5738154186843814</v>
      </c>
      <c r="D171" s="30">
        <f t="shared" ca="1" si="10"/>
        <v>-6.0084078751690084E-2</v>
      </c>
      <c r="E171" s="56">
        <v>39418.410000000003</v>
      </c>
      <c r="F171" s="56">
        <v>147578.91</v>
      </c>
      <c r="G171" s="56">
        <v>198197.42</v>
      </c>
      <c r="H171" s="34">
        <v>532076.96</v>
      </c>
      <c r="I171" s="34">
        <v>1528422</v>
      </c>
      <c r="J171" s="34">
        <v>2760144.9</v>
      </c>
      <c r="K171" s="34">
        <v>4870150.7699999996</v>
      </c>
      <c r="L171" s="34">
        <v>17435009.739999998</v>
      </c>
      <c r="M171" s="46"/>
      <c r="O171" s="46"/>
    </row>
    <row r="172" spans="1:15" x14ac:dyDescent="0.2">
      <c r="A172" s="5">
        <v>144</v>
      </c>
      <c r="B172" s="28">
        <f t="shared" ca="1" si="9"/>
        <v>56103.9476397127</v>
      </c>
      <c r="C172" s="29">
        <f t="shared" ca="1" si="11"/>
        <v>-1.764804766944357</v>
      </c>
      <c r="D172" s="30">
        <f t="shared" ca="1" si="10"/>
        <v>-6.7881186244084332E-2</v>
      </c>
      <c r="E172" s="56">
        <v>51891.28</v>
      </c>
      <c r="F172" s="56">
        <v>131177.47</v>
      </c>
      <c r="G172" s="56">
        <v>227346.15</v>
      </c>
      <c r="H172" s="34">
        <v>593885.18999999994</v>
      </c>
      <c r="I172" s="34">
        <v>883726.71</v>
      </c>
      <c r="J172" s="34">
        <v>1202614.05</v>
      </c>
      <c r="K172" s="34">
        <v>2588120.61</v>
      </c>
      <c r="L172" s="34">
        <v>2654447.1</v>
      </c>
      <c r="M172" s="46"/>
      <c r="O172" s="46"/>
    </row>
    <row r="173" spans="1:15" x14ac:dyDescent="0.2">
      <c r="A173" s="5">
        <v>145</v>
      </c>
      <c r="B173" s="28">
        <f t="shared" ref="B173:B196" ca="1" si="12">(B172*(1+D173))+($C$6*(1+$C$8)^6)</f>
        <v>58530.401455105064</v>
      </c>
      <c r="C173" s="29">
        <f t="shared" ca="1" si="11"/>
        <v>0.77811970768206029</v>
      </c>
      <c r="D173" s="30">
        <f t="shared" ca="1" si="10"/>
        <v>3.5933270710410858E-2</v>
      </c>
      <c r="E173" s="56">
        <v>77682.59</v>
      </c>
      <c r="F173" s="56">
        <v>106104.42</v>
      </c>
      <c r="G173" s="56">
        <v>257012.63</v>
      </c>
      <c r="H173" s="34">
        <v>729326.69</v>
      </c>
      <c r="I173" s="34">
        <v>1038440.77</v>
      </c>
      <c r="J173" s="34">
        <v>611838.73</v>
      </c>
      <c r="K173" s="34">
        <v>1696344.84</v>
      </c>
      <c r="L173" s="34">
        <v>3008312.09</v>
      </c>
      <c r="M173" s="46"/>
      <c r="O173" s="46"/>
    </row>
    <row r="174" spans="1:15" x14ac:dyDescent="0.2">
      <c r="A174" s="5">
        <v>146</v>
      </c>
      <c r="B174" s="28">
        <f t="shared" ca="1" si="12"/>
        <v>54217.459334698811</v>
      </c>
      <c r="C174" s="29">
        <f t="shared" ca="1" si="11"/>
        <v>-2.0787978677122827</v>
      </c>
      <c r="D174" s="30">
        <f t="shared" ca="1" si="10"/>
        <v>-8.0699900904679642E-2</v>
      </c>
      <c r="E174" s="56">
        <v>95133.98</v>
      </c>
      <c r="F174" s="56">
        <v>239732.05</v>
      </c>
      <c r="G174" s="56">
        <v>512259.14</v>
      </c>
      <c r="H174" s="34">
        <v>1490885</v>
      </c>
      <c r="I174" s="34">
        <v>2656231.85</v>
      </c>
      <c r="J174" s="34">
        <v>3617206.96</v>
      </c>
      <c r="K174" s="34">
        <v>5427469.6200000001</v>
      </c>
      <c r="L174" s="34">
        <v>8584292.3599999994</v>
      </c>
      <c r="M174" s="46"/>
      <c r="O174" s="46"/>
    </row>
    <row r="175" spans="1:15" x14ac:dyDescent="0.2">
      <c r="A175" s="5">
        <v>147</v>
      </c>
      <c r="B175" s="28">
        <f t="shared" ca="1" si="12"/>
        <v>52690.154147669382</v>
      </c>
      <c r="C175" s="29">
        <f t="shared" ca="1" si="11"/>
        <v>-0.97752265829931551</v>
      </c>
      <c r="D175" s="30">
        <f t="shared" ca="1" si="10"/>
        <v>-3.5740528747371984E-2</v>
      </c>
      <c r="E175" s="56">
        <v>62892.1</v>
      </c>
      <c r="F175" s="56">
        <v>188255.52</v>
      </c>
      <c r="G175" s="56">
        <v>278916.67</v>
      </c>
      <c r="H175" s="34">
        <v>392534.08</v>
      </c>
      <c r="I175" s="34">
        <v>828083.7</v>
      </c>
      <c r="J175" s="34">
        <v>960565.01</v>
      </c>
      <c r="K175" s="34">
        <v>1675384.53</v>
      </c>
      <c r="L175" s="34">
        <v>2818959.06</v>
      </c>
      <c r="M175" s="46"/>
      <c r="O175" s="46"/>
    </row>
    <row r="176" spans="1:15" x14ac:dyDescent="0.2">
      <c r="A176" s="5">
        <v>148</v>
      </c>
      <c r="B176" s="28">
        <f t="shared" ca="1" si="12"/>
        <v>52190.610534370251</v>
      </c>
      <c r="C176" s="29">
        <f t="shared" ca="1" si="11"/>
        <v>-0.52510760617346941</v>
      </c>
      <c r="D176" s="30">
        <f t="shared" ca="1" si="10"/>
        <v>-1.7270761586322368E-2</v>
      </c>
      <c r="E176" s="56">
        <v>63731.16</v>
      </c>
      <c r="F176" s="56">
        <v>122350.35</v>
      </c>
      <c r="G176" s="56">
        <v>145319.85999999999</v>
      </c>
      <c r="H176" s="34">
        <v>326031.89</v>
      </c>
      <c r="I176" s="34">
        <v>1560919.03</v>
      </c>
      <c r="J176" s="34">
        <v>4864840.05</v>
      </c>
      <c r="K176" s="34">
        <v>5955483.79</v>
      </c>
      <c r="L176" s="34">
        <v>5159762.97</v>
      </c>
      <c r="M176" s="46"/>
      <c r="O176" s="46"/>
    </row>
    <row r="177" spans="1:15" x14ac:dyDescent="0.2">
      <c r="A177" s="5">
        <v>149</v>
      </c>
      <c r="B177" s="28">
        <f t="shared" ca="1" si="12"/>
        <v>56285.424351481444</v>
      </c>
      <c r="C177" s="29">
        <f t="shared" ca="1" si="11"/>
        <v>1.6271374655008861</v>
      </c>
      <c r="D177" s="30">
        <f t="shared" ca="1" si="10"/>
        <v>7.059427553071064E-2</v>
      </c>
      <c r="E177" s="56">
        <v>56867.76</v>
      </c>
      <c r="F177" s="56">
        <v>169645.05</v>
      </c>
      <c r="G177" s="56">
        <v>407455.54</v>
      </c>
      <c r="H177" s="34">
        <v>379449.05</v>
      </c>
      <c r="I177" s="34">
        <v>661030.89</v>
      </c>
      <c r="J177" s="34">
        <v>2701945.51</v>
      </c>
      <c r="K177" s="34">
        <v>3209160.01</v>
      </c>
      <c r="L177" s="34">
        <v>3726100.39</v>
      </c>
      <c r="M177" s="46"/>
      <c r="O177" s="46"/>
    </row>
    <row r="178" spans="1:15" x14ac:dyDescent="0.2">
      <c r="A178" s="5">
        <v>150</v>
      </c>
      <c r="B178" s="28">
        <f t="shared" ca="1" si="12"/>
        <v>57946.928071790797</v>
      </c>
      <c r="C178" s="29">
        <f t="shared" ca="1" si="11"/>
        <v>0.44238258160639821</v>
      </c>
      <c r="D178" s="30">
        <f t="shared" ca="1" si="10"/>
        <v>2.2226859933846911E-2</v>
      </c>
      <c r="E178" s="56">
        <v>48877.7</v>
      </c>
      <c r="F178" s="56">
        <v>158214.85</v>
      </c>
      <c r="G178" s="56">
        <v>463411.32</v>
      </c>
      <c r="H178" s="34">
        <v>1011789.59</v>
      </c>
      <c r="I178" s="34">
        <v>3891580.86</v>
      </c>
      <c r="J178" s="34">
        <v>6286423.5</v>
      </c>
      <c r="K178" s="34">
        <v>7202767.3300000001</v>
      </c>
      <c r="L178" s="34">
        <v>25208945.460000001</v>
      </c>
      <c r="M178" s="46"/>
      <c r="O178" s="46"/>
    </row>
    <row r="179" spans="1:15" x14ac:dyDescent="0.2">
      <c r="A179" s="5">
        <v>151</v>
      </c>
      <c r="B179" s="28">
        <f t="shared" ca="1" si="12"/>
        <v>60424.898348912917</v>
      </c>
      <c r="C179" s="29">
        <f t="shared" ca="1" si="11"/>
        <v>0.77190251267563792</v>
      </c>
      <c r="D179" s="30">
        <f t="shared" ca="1" si="10"/>
        <v>3.5679454787125621E-2</v>
      </c>
      <c r="E179" s="56">
        <v>100227.12</v>
      </c>
      <c r="F179" s="56">
        <v>318930.62</v>
      </c>
      <c r="G179" s="56">
        <v>283902.2</v>
      </c>
      <c r="H179" s="34">
        <v>594412.06000000006</v>
      </c>
      <c r="I179" s="34">
        <v>1302858.1200000001</v>
      </c>
      <c r="J179" s="34">
        <v>4218412.82</v>
      </c>
      <c r="K179" s="34">
        <v>11206122.85</v>
      </c>
      <c r="L179" s="34">
        <v>35201686.390000001</v>
      </c>
      <c r="M179" s="46"/>
      <c r="O179" s="46"/>
    </row>
    <row r="180" spans="1:15" x14ac:dyDescent="0.2">
      <c r="A180" s="5">
        <v>152</v>
      </c>
      <c r="B180" s="28">
        <f t="shared" ca="1" si="12"/>
        <v>56408.350438998998</v>
      </c>
      <c r="C180" s="29">
        <f t="shared" ca="1" si="11"/>
        <v>-1.8966698723227864</v>
      </c>
      <c r="D180" s="30">
        <f t="shared" ca="1" si="10"/>
        <v>-7.3264556628342428E-2</v>
      </c>
      <c r="E180" s="56">
        <v>44925.97</v>
      </c>
      <c r="F180" s="56">
        <v>175943.74</v>
      </c>
      <c r="G180" s="56">
        <v>235406.82</v>
      </c>
      <c r="H180" s="34">
        <v>302280.40999999997</v>
      </c>
      <c r="I180" s="34">
        <v>1020062.76</v>
      </c>
      <c r="J180" s="34">
        <v>1615840.27</v>
      </c>
      <c r="K180" s="34">
        <v>3013109.42</v>
      </c>
      <c r="L180" s="34">
        <v>4944550.3499999996</v>
      </c>
      <c r="M180" s="46"/>
      <c r="O180" s="46"/>
    </row>
    <row r="181" spans="1:15" x14ac:dyDescent="0.2">
      <c r="A181" s="5">
        <v>153</v>
      </c>
      <c r="B181" s="28">
        <f t="shared" ca="1" si="12"/>
        <v>54256.351311695136</v>
      </c>
      <c r="C181" s="29">
        <f t="shared" ca="1" si="11"/>
        <v>-1.2147885077225256</v>
      </c>
      <c r="D181" s="30">
        <f t="shared" ca="1" si="10"/>
        <v>-4.5426866488620168E-2</v>
      </c>
      <c r="E181" s="56">
        <v>79950.45</v>
      </c>
      <c r="F181" s="56">
        <v>183523.52</v>
      </c>
      <c r="G181" s="56">
        <v>582489.79</v>
      </c>
      <c r="H181" s="34">
        <v>910139.29</v>
      </c>
      <c r="I181" s="34">
        <v>2605593.92</v>
      </c>
      <c r="J181" s="34">
        <v>4340536.07</v>
      </c>
      <c r="K181" s="34">
        <v>4593203.28</v>
      </c>
      <c r="L181" s="34">
        <v>6238964.1500000004</v>
      </c>
      <c r="M181" s="46"/>
      <c r="O181" s="46"/>
    </row>
    <row r="182" spans="1:15" x14ac:dyDescent="0.2">
      <c r="A182" s="5">
        <v>154</v>
      </c>
      <c r="B182" s="28">
        <f t="shared" ca="1" si="12"/>
        <v>53722.905975953647</v>
      </c>
      <c r="C182" s="29">
        <f t="shared" ca="1" si="11"/>
        <v>-0.52820118867363974</v>
      </c>
      <c r="D182" s="30">
        <f t="shared" ca="1" si="10"/>
        <v>-1.7397056563032715E-2</v>
      </c>
      <c r="E182" s="56">
        <v>37225.15</v>
      </c>
      <c r="F182" s="56">
        <v>178118.48</v>
      </c>
      <c r="G182" s="56">
        <v>142742.25</v>
      </c>
      <c r="H182" s="34">
        <v>115662.94</v>
      </c>
      <c r="I182" s="34">
        <v>265438.95</v>
      </c>
      <c r="J182" s="34">
        <v>403481.49</v>
      </c>
      <c r="K182" s="34">
        <v>1373519.62</v>
      </c>
      <c r="L182" s="34">
        <v>1449771.76</v>
      </c>
      <c r="M182" s="46"/>
      <c r="O182" s="46"/>
    </row>
    <row r="183" spans="1:15" x14ac:dyDescent="0.2">
      <c r="A183" s="5">
        <v>155</v>
      </c>
      <c r="B183" s="28">
        <f t="shared" ca="1" si="12"/>
        <v>51391.9058939733</v>
      </c>
      <c r="C183" s="29">
        <f t="shared" ca="1" si="11"/>
        <v>-1.3520255937361827</v>
      </c>
      <c r="D183" s="30">
        <f t="shared" ca="1" si="10"/>
        <v>-5.1029547063951936E-2</v>
      </c>
      <c r="E183" s="56">
        <v>51830.23</v>
      </c>
      <c r="F183" s="56">
        <v>172188.44</v>
      </c>
      <c r="G183" s="56">
        <v>280685.05</v>
      </c>
      <c r="H183" s="34">
        <v>444746.1</v>
      </c>
      <c r="I183" s="34">
        <v>503294.01</v>
      </c>
      <c r="J183" s="34">
        <v>412550.05</v>
      </c>
      <c r="K183" s="34">
        <v>810357.99</v>
      </c>
      <c r="L183" s="34">
        <v>2063072.71</v>
      </c>
      <c r="M183" s="46"/>
      <c r="O183" s="46"/>
    </row>
    <row r="184" spans="1:15" x14ac:dyDescent="0.2">
      <c r="A184" s="5">
        <v>156</v>
      </c>
      <c r="B184" s="28">
        <f t="shared" ca="1" si="12"/>
        <v>52907.932099851008</v>
      </c>
      <c r="C184" s="29">
        <f t="shared" ca="1" si="11"/>
        <v>0.42488553000092416</v>
      </c>
      <c r="D184" s="30">
        <f t="shared" ca="1" si="10"/>
        <v>2.1512545793237633E-2</v>
      </c>
      <c r="E184" s="56">
        <v>40842.81</v>
      </c>
      <c r="F184" s="56">
        <v>134051.76999999999</v>
      </c>
      <c r="G184" s="56">
        <v>288792.17</v>
      </c>
      <c r="H184" s="34">
        <v>224671.94</v>
      </c>
      <c r="I184" s="34">
        <v>713294.29</v>
      </c>
      <c r="J184" s="34">
        <v>687651.62</v>
      </c>
      <c r="K184" s="34">
        <v>1137024</v>
      </c>
      <c r="L184" s="34">
        <v>1400542.06</v>
      </c>
      <c r="M184" s="46"/>
      <c r="O184" s="46"/>
    </row>
    <row r="185" spans="1:15" x14ac:dyDescent="0.2">
      <c r="A185" s="5">
        <v>157</v>
      </c>
      <c r="B185" s="28">
        <f t="shared" ca="1" si="12"/>
        <v>52871.835401185315</v>
      </c>
      <c r="C185" s="29">
        <f t="shared" ca="1" si="11"/>
        <v>-0.30880327952599024</v>
      </c>
      <c r="D185" s="30">
        <f t="shared" ca="1" si="10"/>
        <v>-8.4401744289453288E-3</v>
      </c>
      <c r="E185" s="56">
        <v>48252.41</v>
      </c>
      <c r="F185" s="56">
        <v>207729.6</v>
      </c>
      <c r="G185" s="56">
        <v>637147.18000000005</v>
      </c>
      <c r="H185" s="34">
        <v>425150.07</v>
      </c>
      <c r="I185" s="34">
        <v>699866.29</v>
      </c>
      <c r="J185" s="34">
        <v>1582172.33</v>
      </c>
      <c r="K185" s="34">
        <v>2385944.7000000002</v>
      </c>
      <c r="L185" s="34">
        <v>4262234.09</v>
      </c>
      <c r="M185" s="46"/>
      <c r="O185" s="46"/>
    </row>
    <row r="186" spans="1:15" x14ac:dyDescent="0.2">
      <c r="A186" s="5">
        <v>158</v>
      </c>
      <c r="B186" s="28">
        <f t="shared" ca="1" si="12"/>
        <v>55282.21948370531</v>
      </c>
      <c r="C186" s="29">
        <f t="shared" ca="1" si="11"/>
        <v>0.82448125021655716</v>
      </c>
      <c r="D186" s="30">
        <f t="shared" ca="1" si="10"/>
        <v>3.7825972758708463E-2</v>
      </c>
      <c r="E186" s="56">
        <v>60247.43</v>
      </c>
      <c r="F186" s="56">
        <v>90737.04</v>
      </c>
      <c r="G186" s="56">
        <v>244994.56</v>
      </c>
      <c r="H186" s="34">
        <v>701687.3</v>
      </c>
      <c r="I186" s="34">
        <v>760217.84</v>
      </c>
      <c r="J186" s="34">
        <v>1464706.97</v>
      </c>
      <c r="K186" s="34">
        <v>4687417.62</v>
      </c>
      <c r="L186" s="34">
        <v>16831658.09</v>
      </c>
      <c r="M186" s="46"/>
      <c r="O186" s="46"/>
    </row>
    <row r="187" spans="1:15" x14ac:dyDescent="0.2">
      <c r="A187" s="5">
        <v>159</v>
      </c>
      <c r="B187" s="28">
        <f t="shared" ca="1" si="12"/>
        <v>55988.589720002012</v>
      </c>
      <c r="C187" s="29">
        <f t="shared" ca="1" si="11"/>
        <v>2.9054256390331802E-2</v>
      </c>
      <c r="D187" s="30">
        <f t="shared" ca="1" si="10"/>
        <v>5.3528017168718396E-3</v>
      </c>
      <c r="E187" s="56">
        <v>70650.81</v>
      </c>
      <c r="F187" s="56">
        <v>162983.79</v>
      </c>
      <c r="G187" s="56">
        <v>366148.09</v>
      </c>
      <c r="H187" s="34">
        <v>563983.74</v>
      </c>
      <c r="I187" s="34">
        <v>573554.01</v>
      </c>
      <c r="J187" s="34">
        <v>733903.79</v>
      </c>
      <c r="K187" s="34">
        <v>892610.7</v>
      </c>
      <c r="L187" s="34">
        <v>1447922.6</v>
      </c>
      <c r="M187" s="46"/>
      <c r="O187" s="46"/>
    </row>
    <row r="188" spans="1:15" x14ac:dyDescent="0.2">
      <c r="A188" s="5">
        <v>160</v>
      </c>
      <c r="B188" s="28">
        <f t="shared" ca="1" si="12"/>
        <v>57249.991767684085</v>
      </c>
      <c r="C188" s="29">
        <f t="shared" ca="1" si="11"/>
        <v>0.27022537151026976</v>
      </c>
      <c r="D188" s="30">
        <f t="shared" ca="1" si="10"/>
        <v>1.5198571262569658E-2</v>
      </c>
      <c r="E188" s="56">
        <v>56134.68</v>
      </c>
      <c r="F188" s="56">
        <v>258373.93</v>
      </c>
      <c r="G188" s="56">
        <v>414289.82</v>
      </c>
      <c r="H188" s="34">
        <v>1224357.3400000001</v>
      </c>
      <c r="I188" s="34">
        <v>1629825.78</v>
      </c>
      <c r="J188" s="34">
        <v>2906415.46</v>
      </c>
      <c r="K188" s="34">
        <v>2083446.58</v>
      </c>
      <c r="L188" s="34">
        <v>1492373.35</v>
      </c>
      <c r="M188" s="46"/>
      <c r="O188" s="46"/>
    </row>
    <row r="189" spans="1:15" x14ac:dyDescent="0.2">
      <c r="A189" s="5">
        <v>161</v>
      </c>
      <c r="B189" s="28">
        <f t="shared" ca="1" si="12"/>
        <v>55464.445440263335</v>
      </c>
      <c r="C189" s="29">
        <f t="shared" ca="1" si="11"/>
        <v>-1.0416401806308833</v>
      </c>
      <c r="D189" s="30">
        <f t="shared" ca="1" si="10"/>
        <v>-3.8358115635436091E-2</v>
      </c>
      <c r="E189" s="56">
        <v>63472.32</v>
      </c>
      <c r="F189" s="56">
        <v>112294.89</v>
      </c>
      <c r="G189" s="56">
        <v>210070.08</v>
      </c>
      <c r="H189" s="34">
        <v>552997.82999999996</v>
      </c>
      <c r="I189" s="34">
        <v>2144053.41</v>
      </c>
      <c r="J189" s="34">
        <v>4181257.92</v>
      </c>
      <c r="K189" s="34">
        <v>6148356.2400000002</v>
      </c>
      <c r="L189" s="34">
        <v>14610551.82</v>
      </c>
      <c r="M189" s="46"/>
      <c r="O189" s="46"/>
    </row>
    <row r="190" spans="1:15" x14ac:dyDescent="0.2">
      <c r="A190" s="5">
        <v>162</v>
      </c>
      <c r="B190" s="28">
        <f t="shared" ca="1" si="12"/>
        <v>54800.848348510452</v>
      </c>
      <c r="C190" s="29">
        <f t="shared" ca="1" si="11"/>
        <v>-0.57639851090897698</v>
      </c>
      <c r="D190" s="30">
        <f t="shared" ca="1" si="10"/>
        <v>-1.9364704003783952E-2</v>
      </c>
      <c r="E190" s="56">
        <v>59183.54</v>
      </c>
      <c r="F190" s="56">
        <v>236570.99</v>
      </c>
      <c r="G190" s="56">
        <v>714479.59</v>
      </c>
      <c r="H190" s="34">
        <v>2450553.0499999998</v>
      </c>
      <c r="I190" s="34">
        <v>3730672.53</v>
      </c>
      <c r="J190" s="34">
        <v>8069250.9400000004</v>
      </c>
      <c r="K190" s="34">
        <v>8546128.4299999997</v>
      </c>
      <c r="L190" s="34">
        <v>6201414.4000000004</v>
      </c>
      <c r="M190" s="46"/>
      <c r="O190" s="46"/>
    </row>
    <row r="191" spans="1:15" x14ac:dyDescent="0.2">
      <c r="A191" s="5">
        <v>163</v>
      </c>
      <c r="B191" s="28">
        <f t="shared" ca="1" si="12"/>
        <v>51750.084027950987</v>
      </c>
      <c r="C191" s="29">
        <f t="shared" ca="1" si="11"/>
        <v>-1.6491589966553695</v>
      </c>
      <c r="D191" s="30">
        <f t="shared" ca="1" si="10"/>
        <v>-6.3159967442098758E-2</v>
      </c>
      <c r="E191" s="56">
        <v>66103.5</v>
      </c>
      <c r="F191" s="56">
        <v>229768.35</v>
      </c>
      <c r="G191" s="56">
        <v>683945.35</v>
      </c>
      <c r="H191" s="34">
        <v>400163.78</v>
      </c>
      <c r="I191" s="34">
        <v>504005.03</v>
      </c>
      <c r="J191" s="34">
        <v>884386.88</v>
      </c>
      <c r="K191" s="34">
        <v>1848448.12</v>
      </c>
      <c r="L191" s="34">
        <v>3383141.33</v>
      </c>
      <c r="M191" s="46"/>
      <c r="O191" s="46"/>
    </row>
    <row r="192" spans="1:15" x14ac:dyDescent="0.2">
      <c r="A192" s="5">
        <v>164</v>
      </c>
      <c r="B192" s="28">
        <f t="shared" ca="1" si="12"/>
        <v>50970.014515832758</v>
      </c>
      <c r="C192" s="29">
        <f t="shared" ca="1" si="11"/>
        <v>-0.66557395940442576</v>
      </c>
      <c r="D192" s="30">
        <f t="shared" ca="1" si="10"/>
        <v>-2.3005276443745473E-2</v>
      </c>
      <c r="E192" s="56">
        <v>57838.09</v>
      </c>
      <c r="F192" s="56">
        <v>186918.22</v>
      </c>
      <c r="G192" s="56">
        <v>341771.39</v>
      </c>
      <c r="H192" s="34">
        <v>596235.67000000004</v>
      </c>
      <c r="I192" s="34">
        <v>1216873.6200000001</v>
      </c>
      <c r="J192" s="34">
        <v>2755384.31</v>
      </c>
      <c r="K192" s="34">
        <v>7087451.8200000003</v>
      </c>
      <c r="L192" s="34">
        <v>6169814.3200000003</v>
      </c>
      <c r="M192" s="46"/>
      <c r="O192" s="46"/>
    </row>
    <row r="193" spans="1:15" x14ac:dyDescent="0.2">
      <c r="A193" s="5">
        <v>165</v>
      </c>
      <c r="B193" s="28">
        <f t="shared" ca="1" si="12"/>
        <v>50915.495398118175</v>
      </c>
      <c r="C193" s="29">
        <f t="shared" ca="1" si="11"/>
        <v>-0.32551708063590512</v>
      </c>
      <c r="D193" s="30">
        <f t="shared" ca="1" si="10"/>
        <v>-9.122512501972907E-3</v>
      </c>
      <c r="E193" s="56">
        <v>71298.960000000006</v>
      </c>
      <c r="F193" s="56">
        <v>82524.490000000005</v>
      </c>
      <c r="G193" s="56">
        <v>140096.73000000001</v>
      </c>
      <c r="H193" s="34">
        <v>304007.77</v>
      </c>
      <c r="I193" s="34">
        <v>854453.02</v>
      </c>
      <c r="J193" s="34">
        <v>1371414.94</v>
      </c>
      <c r="K193" s="34">
        <v>3285075.63</v>
      </c>
      <c r="L193" s="34">
        <v>5518814.79</v>
      </c>
      <c r="M193" s="46"/>
      <c r="O193" s="46"/>
    </row>
    <row r="194" spans="1:15" x14ac:dyDescent="0.2">
      <c r="A194" s="5">
        <v>166</v>
      </c>
      <c r="B194" s="28">
        <f t="shared" ca="1" si="12"/>
        <v>51463.17924372686</v>
      </c>
      <c r="C194" s="29">
        <f t="shared" ca="1" si="11"/>
        <v>-3.6042979830074491E-2</v>
      </c>
      <c r="D194" s="30">
        <f t="shared" ca="1" si="10"/>
        <v>2.6952181767815257E-3</v>
      </c>
      <c r="E194" s="56">
        <v>51407.94</v>
      </c>
      <c r="F194" s="56">
        <v>91208.639999999999</v>
      </c>
      <c r="G194" s="56">
        <v>341879.2</v>
      </c>
      <c r="H194" s="34">
        <v>659349.84</v>
      </c>
      <c r="I194" s="34">
        <v>601634.5</v>
      </c>
      <c r="J194" s="34">
        <v>436978.09</v>
      </c>
      <c r="K194" s="34">
        <v>944240.65</v>
      </c>
      <c r="L194" s="34">
        <v>2072486.88</v>
      </c>
      <c r="M194" s="46"/>
      <c r="O194" s="46"/>
    </row>
    <row r="195" spans="1:15" x14ac:dyDescent="0.2">
      <c r="A195" s="5">
        <v>167</v>
      </c>
      <c r="B195" s="28">
        <f t="shared" ca="1" si="12"/>
        <v>47703.267201588111</v>
      </c>
      <c r="C195" s="29">
        <f t="shared" ca="1" si="11"/>
        <v>-2.0870293077765747</v>
      </c>
      <c r="D195" s="30">
        <f t="shared" ca="1" si="10"/>
        <v>-8.1035948038109942E-2</v>
      </c>
      <c r="E195" s="56">
        <v>38417.54</v>
      </c>
      <c r="F195" s="56">
        <v>151887.28</v>
      </c>
      <c r="G195" s="56">
        <v>177010.34</v>
      </c>
      <c r="H195" s="34">
        <v>211532.06</v>
      </c>
      <c r="I195" s="34">
        <v>532727.37</v>
      </c>
      <c r="J195" s="34">
        <v>880220.1</v>
      </c>
      <c r="K195" s="34">
        <v>1277913.54</v>
      </c>
      <c r="L195" s="34">
        <v>1049396</v>
      </c>
      <c r="M195" s="46"/>
      <c r="O195" s="46"/>
    </row>
    <row r="196" spans="1:15" x14ac:dyDescent="0.2">
      <c r="A196" s="5">
        <v>168</v>
      </c>
      <c r="B196" s="28">
        <f t="shared" ca="1" si="12"/>
        <v>49766.480909622529</v>
      </c>
      <c r="C196" s="29">
        <f t="shared" ca="1" si="11"/>
        <v>0.74660397729590211</v>
      </c>
      <c r="D196" s="30">
        <f t="shared" ca="1" si="10"/>
        <v>3.4646646405123951E-2</v>
      </c>
      <c r="E196" s="56">
        <v>57514.8</v>
      </c>
      <c r="F196" s="56">
        <v>249845.84</v>
      </c>
      <c r="G196" s="56">
        <v>223086.95</v>
      </c>
      <c r="H196" s="34">
        <v>642059</v>
      </c>
      <c r="I196" s="34">
        <v>1481435.81</v>
      </c>
      <c r="J196" s="34">
        <v>3429457.44</v>
      </c>
      <c r="K196" s="34">
        <v>4458608.38</v>
      </c>
      <c r="L196" s="34">
        <v>4699340.22</v>
      </c>
      <c r="M196" s="46"/>
      <c r="O196" s="46"/>
    </row>
    <row r="197" spans="1:15" x14ac:dyDescent="0.2">
      <c r="A197" s="5">
        <v>169</v>
      </c>
      <c r="B197" s="28">
        <f t="shared" ref="B197:B220" ca="1" si="13">(B196*(1+D197))+($C$6*(1+$C$8)^7)</f>
        <v>50404.104950238027</v>
      </c>
      <c r="C197" s="29">
        <f t="shared" ca="1" si="11"/>
        <v>3.6887987713915553E-3</v>
      </c>
      <c r="D197" s="30">
        <f t="shared" ca="1" si="10"/>
        <v>4.3172612458952471E-3</v>
      </c>
      <c r="E197" s="56">
        <v>47784.93</v>
      </c>
      <c r="F197" s="56">
        <v>161550.9</v>
      </c>
      <c r="G197" s="56">
        <v>440306.44</v>
      </c>
      <c r="H197" s="34">
        <v>552553.81000000006</v>
      </c>
      <c r="I197" s="34">
        <v>687332.48</v>
      </c>
      <c r="J197" s="34">
        <v>644085.54</v>
      </c>
      <c r="K197" s="34">
        <v>904891.48</v>
      </c>
      <c r="L197" s="34">
        <v>1428562.17</v>
      </c>
      <c r="M197" s="46"/>
      <c r="O197" s="46"/>
    </row>
    <row r="198" spans="1:15" x14ac:dyDescent="0.2">
      <c r="A198" s="5">
        <v>170</v>
      </c>
      <c r="B198" s="28">
        <f t="shared" ca="1" si="13"/>
        <v>52611.400557389534</v>
      </c>
      <c r="C198" s="29">
        <f t="shared" ca="1" si="11"/>
        <v>0.76516476898579266</v>
      </c>
      <c r="D198" s="30">
        <f t="shared" ca="1" si="10"/>
        <v>3.5404387552829319E-2</v>
      </c>
      <c r="E198" s="56">
        <v>72205.25</v>
      </c>
      <c r="F198" s="56">
        <v>184428.11</v>
      </c>
      <c r="G198" s="56">
        <v>454891.39</v>
      </c>
      <c r="H198" s="34">
        <v>1073516.1200000001</v>
      </c>
      <c r="I198" s="34">
        <v>1954801.66</v>
      </c>
      <c r="J198" s="34">
        <v>1913322.19</v>
      </c>
      <c r="K198" s="34">
        <v>2028517.9</v>
      </c>
      <c r="L198" s="34">
        <v>2534985.48</v>
      </c>
      <c r="M198" s="46"/>
      <c r="O198" s="46"/>
    </row>
    <row r="199" spans="1:15" x14ac:dyDescent="0.2">
      <c r="A199" s="5">
        <v>171</v>
      </c>
      <c r="B199" s="28">
        <f t="shared" ca="1" si="13"/>
        <v>51834.546888327117</v>
      </c>
      <c r="C199" s="29">
        <f t="shared" ca="1" si="11"/>
        <v>-0.66058432024909375</v>
      </c>
      <c r="D199" s="30">
        <f t="shared" ca="1" si="10"/>
        <v>-2.2801575278225888E-2</v>
      </c>
      <c r="E199" s="56">
        <v>50425.78</v>
      </c>
      <c r="F199" s="56">
        <v>242124.72</v>
      </c>
      <c r="G199" s="56">
        <v>399622.83</v>
      </c>
      <c r="H199" s="34">
        <v>292418.51</v>
      </c>
      <c r="I199" s="34">
        <v>951469.98</v>
      </c>
      <c r="J199" s="34">
        <v>2671716.33</v>
      </c>
      <c r="K199" s="34">
        <v>2890847.07</v>
      </c>
      <c r="L199" s="34">
        <v>7617030.3099999996</v>
      </c>
      <c r="M199" s="46"/>
      <c r="O199" s="46"/>
    </row>
    <row r="200" spans="1:15" x14ac:dyDescent="0.2">
      <c r="A200" s="5">
        <v>172</v>
      </c>
      <c r="B200" s="28">
        <f t="shared" ca="1" si="13"/>
        <v>51206.051356336633</v>
      </c>
      <c r="C200" s="29">
        <f t="shared" ca="1" si="11"/>
        <v>-0.59884697546765175</v>
      </c>
      <c r="D200" s="30">
        <f t="shared" ca="1" si="10"/>
        <v>-2.028115873174571E-2</v>
      </c>
      <c r="E200" s="56">
        <v>65330.67</v>
      </c>
      <c r="F200" s="56">
        <v>196215.45</v>
      </c>
      <c r="G200" s="56">
        <v>229839.18</v>
      </c>
      <c r="H200" s="34">
        <v>184841.51</v>
      </c>
      <c r="I200" s="34">
        <v>509027.94</v>
      </c>
      <c r="J200" s="34">
        <v>1031658.32</v>
      </c>
      <c r="K200" s="34">
        <v>2026686.57</v>
      </c>
      <c r="L200" s="34">
        <v>6507868.8899999997</v>
      </c>
      <c r="M200" s="46"/>
      <c r="O200" s="46"/>
    </row>
    <row r="201" spans="1:15" x14ac:dyDescent="0.2">
      <c r="A201" s="5">
        <v>173</v>
      </c>
      <c r="B201" s="28">
        <f t="shared" ca="1" si="13"/>
        <v>53560.643581934128</v>
      </c>
      <c r="C201" s="29">
        <f t="shared" ca="1" si="11"/>
        <v>0.82204371267036003</v>
      </c>
      <c r="D201" s="30">
        <f t="shared" ca="1" si="10"/>
        <v>3.7726460705090815E-2</v>
      </c>
      <c r="E201" s="56">
        <v>68761.06</v>
      </c>
      <c r="F201" s="56">
        <v>121168.08</v>
      </c>
      <c r="G201" s="56">
        <v>310513.32</v>
      </c>
      <c r="H201" s="34">
        <v>681920.49</v>
      </c>
      <c r="I201" s="34">
        <v>1625044.54</v>
      </c>
      <c r="J201" s="34">
        <v>3787237.04</v>
      </c>
      <c r="K201" s="34">
        <v>8409147.3900000006</v>
      </c>
      <c r="L201" s="34">
        <v>20339028.91</v>
      </c>
      <c r="M201" s="46"/>
      <c r="O201" s="46"/>
    </row>
    <row r="202" spans="1:15" x14ac:dyDescent="0.2">
      <c r="A202" s="5">
        <v>174</v>
      </c>
      <c r="B202" s="28">
        <f t="shared" ca="1" si="13"/>
        <v>53914.592475021287</v>
      </c>
      <c r="C202" s="29">
        <f t="shared" ca="1" si="11"/>
        <v>-0.13353564736638979</v>
      </c>
      <c r="D202" s="30">
        <f t="shared" ca="1" si="10"/>
        <v>-1.2849033086647218E-3</v>
      </c>
      <c r="E202" s="56">
        <v>63842.14</v>
      </c>
      <c r="F202" s="56">
        <v>152953.19</v>
      </c>
      <c r="G202" s="56">
        <v>437839.66</v>
      </c>
      <c r="H202" s="34">
        <v>437503.92</v>
      </c>
      <c r="I202" s="34">
        <v>1089286.3899999999</v>
      </c>
      <c r="J202" s="34">
        <v>1537655.6</v>
      </c>
      <c r="K202" s="34">
        <v>2672186.16</v>
      </c>
      <c r="L202" s="34">
        <v>4508515.3</v>
      </c>
      <c r="M202" s="46"/>
      <c r="O202" s="46"/>
    </row>
    <row r="203" spans="1:15" x14ac:dyDescent="0.2">
      <c r="A203" s="5">
        <v>175</v>
      </c>
      <c r="B203" s="28">
        <f t="shared" ca="1" si="13"/>
        <v>53487.730029508675</v>
      </c>
      <c r="C203" s="29">
        <f t="shared" ca="1" si="11"/>
        <v>-0.48807331027093542</v>
      </c>
      <c r="D203" s="30">
        <f t="shared" ca="1" si="10"/>
        <v>-1.5758842787248133E-2</v>
      </c>
      <c r="E203" s="56">
        <v>49071.77</v>
      </c>
      <c r="F203" s="56">
        <v>124880.31</v>
      </c>
      <c r="G203" s="56">
        <v>219705.89</v>
      </c>
      <c r="H203" s="34">
        <v>305322.67</v>
      </c>
      <c r="I203" s="34">
        <v>457659.72</v>
      </c>
      <c r="J203" s="34">
        <v>1305363.49</v>
      </c>
      <c r="K203" s="34">
        <v>995354.06</v>
      </c>
      <c r="L203" s="34">
        <v>1954221.94</v>
      </c>
      <c r="M203" s="46"/>
      <c r="O203" s="46"/>
    </row>
    <row r="204" spans="1:15" x14ac:dyDescent="0.2">
      <c r="A204" s="5">
        <v>176</v>
      </c>
      <c r="B204" s="28">
        <f t="shared" ca="1" si="13"/>
        <v>56478.060347778162</v>
      </c>
      <c r="C204" s="29">
        <f t="shared" ca="1" si="11"/>
        <v>1.0737617590614743</v>
      </c>
      <c r="D204" s="30">
        <f t="shared" ca="1" si="10"/>
        <v>4.8002806916898393E-2</v>
      </c>
      <c r="E204" s="56">
        <v>88335.55</v>
      </c>
      <c r="F204" s="56">
        <v>238829.69</v>
      </c>
      <c r="G204" s="56">
        <v>370610.5</v>
      </c>
      <c r="H204" s="34">
        <v>1328705.1299999999</v>
      </c>
      <c r="I204" s="34">
        <v>2852325.48</v>
      </c>
      <c r="J204" s="34">
        <v>2268302.61</v>
      </c>
      <c r="K204" s="34">
        <v>2757486.08</v>
      </c>
      <c r="L204" s="34">
        <v>10230937.35</v>
      </c>
      <c r="M204" s="46"/>
      <c r="O204" s="46"/>
    </row>
    <row r="205" spans="1:15" x14ac:dyDescent="0.2">
      <c r="A205" s="5">
        <v>177</v>
      </c>
      <c r="B205" s="28">
        <f t="shared" ca="1" si="13"/>
        <v>56330.507551905386</v>
      </c>
      <c r="C205" s="29">
        <f t="shared" ca="1" si="11"/>
        <v>-0.34941435887351724</v>
      </c>
      <c r="D205" s="30">
        <f t="shared" ca="1" si="10"/>
        <v>-1.0098114800697347E-2</v>
      </c>
      <c r="E205" s="56">
        <v>82451.48</v>
      </c>
      <c r="F205" s="56">
        <v>241552.91</v>
      </c>
      <c r="G205" s="56">
        <v>539086.9</v>
      </c>
      <c r="H205" s="34">
        <v>551803.14</v>
      </c>
      <c r="I205" s="34">
        <v>1516832.31</v>
      </c>
      <c r="J205" s="34">
        <v>2154001.56</v>
      </c>
      <c r="K205" s="34">
        <v>4497383.84</v>
      </c>
      <c r="L205" s="34">
        <v>9761454.1899999995</v>
      </c>
      <c r="M205" s="46"/>
      <c r="O205" s="46"/>
    </row>
    <row r="206" spans="1:15" x14ac:dyDescent="0.2">
      <c r="A206" s="5">
        <v>178</v>
      </c>
      <c r="B206" s="28">
        <f t="shared" ca="1" si="13"/>
        <v>58166.70853928454</v>
      </c>
      <c r="C206" s="29">
        <f t="shared" ca="1" si="11"/>
        <v>0.51255813226169089</v>
      </c>
      <c r="D206" s="30">
        <f t="shared" ca="1" si="10"/>
        <v>2.5091764792585257E-2</v>
      </c>
      <c r="E206" s="56">
        <v>47535.95</v>
      </c>
      <c r="F206" s="56">
        <v>117927</v>
      </c>
      <c r="G206" s="56">
        <v>314701.05</v>
      </c>
      <c r="H206" s="34">
        <v>334210.53000000003</v>
      </c>
      <c r="I206" s="34">
        <v>878203.78</v>
      </c>
      <c r="J206" s="34">
        <v>3190442.5</v>
      </c>
      <c r="K206" s="34">
        <v>6936375.3700000001</v>
      </c>
      <c r="L206" s="34">
        <v>15059224.939999999</v>
      </c>
      <c r="M206" s="46"/>
      <c r="O206" s="46"/>
    </row>
    <row r="207" spans="1:15" x14ac:dyDescent="0.2">
      <c r="A207" s="5">
        <v>179</v>
      </c>
      <c r="B207" s="28">
        <f t="shared" ca="1" si="13"/>
        <v>61686.637516511961</v>
      </c>
      <c r="C207" s="29">
        <f t="shared" ca="1" si="11"/>
        <v>1.202199667566217</v>
      </c>
      <c r="D207" s="30">
        <f t="shared" ca="1" si="10"/>
        <v>5.3246262574679917E-2</v>
      </c>
      <c r="E207" s="56">
        <v>69476.62</v>
      </c>
      <c r="F207" s="56">
        <v>144066.60999999999</v>
      </c>
      <c r="G207" s="56">
        <v>231287.91</v>
      </c>
      <c r="H207" s="34">
        <v>567914.23</v>
      </c>
      <c r="I207" s="34">
        <v>2471697.7599999998</v>
      </c>
      <c r="J207" s="34">
        <v>3450667.85</v>
      </c>
      <c r="K207" s="34">
        <v>10815395.369999999</v>
      </c>
      <c r="L207" s="34">
        <v>16411295.5</v>
      </c>
      <c r="M207" s="46"/>
      <c r="O207" s="46"/>
    </row>
    <row r="208" spans="1:15" x14ac:dyDescent="0.2">
      <c r="A208" s="5">
        <v>180</v>
      </c>
      <c r="B208" s="28">
        <f t="shared" ca="1" si="13"/>
        <v>59598.98556967995</v>
      </c>
      <c r="C208" s="29">
        <f t="shared" ca="1" si="11"/>
        <v>-1.0989150302200308</v>
      </c>
      <c r="D208" s="30">
        <f t="shared" ca="1" si="10"/>
        <v>-4.069635157857053E-2</v>
      </c>
      <c r="E208" s="56">
        <v>42383.82</v>
      </c>
      <c r="F208" s="56">
        <v>156088.60999999999</v>
      </c>
      <c r="G208" s="56">
        <v>148107.42000000001</v>
      </c>
      <c r="H208" s="34">
        <v>241770.23999999999</v>
      </c>
      <c r="I208" s="34">
        <v>511755.8</v>
      </c>
      <c r="J208" s="34">
        <v>730637.79</v>
      </c>
      <c r="K208" s="34">
        <v>966922.02</v>
      </c>
      <c r="L208" s="34">
        <v>940386.02</v>
      </c>
      <c r="M208" s="46"/>
      <c r="O208" s="46"/>
    </row>
    <row r="209" spans="1:15" x14ac:dyDescent="0.2">
      <c r="A209" s="5">
        <v>181</v>
      </c>
      <c r="B209" s="28">
        <f t="shared" ca="1" si="13"/>
        <v>64696.150691500792</v>
      </c>
      <c r="C209" s="29">
        <f t="shared" ca="1" si="11"/>
        <v>1.8190922723273031</v>
      </c>
      <c r="D209" s="30">
        <f t="shared" ca="1" si="10"/>
        <v>7.8430797704031219E-2</v>
      </c>
      <c r="E209" s="56">
        <v>53996.37</v>
      </c>
      <c r="F209" s="56">
        <v>209218.98</v>
      </c>
      <c r="G209" s="56">
        <v>361788.22</v>
      </c>
      <c r="H209" s="34">
        <v>903255.61</v>
      </c>
      <c r="I209" s="34">
        <v>1393986.43</v>
      </c>
      <c r="J209" s="34">
        <v>3484929.64</v>
      </c>
      <c r="K209" s="34">
        <v>6764589.4800000004</v>
      </c>
      <c r="L209" s="34">
        <v>14644072.9</v>
      </c>
      <c r="M209" s="46"/>
      <c r="O209" s="46"/>
    </row>
    <row r="210" spans="1:15" x14ac:dyDescent="0.2">
      <c r="A210" s="5">
        <v>182</v>
      </c>
      <c r="B210" s="28">
        <f t="shared" ca="1" si="13"/>
        <v>65963.269584411973</v>
      </c>
      <c r="C210" s="29">
        <f t="shared" ca="1" si="11"/>
        <v>0.21762094313295602</v>
      </c>
      <c r="D210" s="30">
        <f t="shared" ca="1" si="10"/>
        <v>1.305100446698295E-2</v>
      </c>
      <c r="E210" s="56">
        <v>53893.93</v>
      </c>
      <c r="F210" s="56">
        <v>73764.240000000005</v>
      </c>
      <c r="G210" s="56">
        <v>214879.96</v>
      </c>
      <c r="H210" s="34">
        <v>255983.51</v>
      </c>
      <c r="I210" s="34">
        <v>271172.05</v>
      </c>
      <c r="J210" s="34">
        <v>338740.62</v>
      </c>
      <c r="K210" s="34">
        <v>596322.32999999996</v>
      </c>
      <c r="L210" s="34">
        <v>1501906.36</v>
      </c>
      <c r="M210" s="46"/>
      <c r="O210" s="46"/>
    </row>
    <row r="211" spans="1:15" x14ac:dyDescent="0.2">
      <c r="A211" s="5">
        <v>183</v>
      </c>
      <c r="B211" s="28">
        <f t="shared" ca="1" si="13"/>
        <v>68195.316367512511</v>
      </c>
      <c r="C211" s="29">
        <f t="shared" ca="1" si="11"/>
        <v>0.56979774475004574</v>
      </c>
      <c r="D211" s="30">
        <f t="shared" ca="1" si="10"/>
        <v>2.7428562187103742E-2</v>
      </c>
      <c r="E211" s="56">
        <v>37692.620000000003</v>
      </c>
      <c r="F211" s="56">
        <v>132613.45000000001</v>
      </c>
      <c r="G211" s="56">
        <v>418197.38</v>
      </c>
      <c r="H211" s="34">
        <v>661546.01</v>
      </c>
      <c r="I211" s="34">
        <v>1558787.2</v>
      </c>
      <c r="J211" s="34">
        <v>2834533.01</v>
      </c>
      <c r="K211" s="34">
        <v>7657803.3099999996</v>
      </c>
      <c r="L211" s="34">
        <v>9704752.3900000006</v>
      </c>
      <c r="M211" s="46"/>
      <c r="O211" s="46"/>
    </row>
    <row r="212" spans="1:15" x14ac:dyDescent="0.2">
      <c r="A212" s="5">
        <v>184</v>
      </c>
      <c r="B212" s="28">
        <f t="shared" ca="1" si="13"/>
        <v>68187.066981820302</v>
      </c>
      <c r="C212" s="29">
        <f t="shared" ca="1" si="11"/>
        <v>-0.2568784906496836</v>
      </c>
      <c r="D212" s="30">
        <f t="shared" ca="1" si="10"/>
        <v>-6.3203537998004098E-3</v>
      </c>
      <c r="E212" s="56">
        <v>37664.44</v>
      </c>
      <c r="F212" s="56">
        <v>134492.42000000001</v>
      </c>
      <c r="G212" s="56">
        <v>247554.93</v>
      </c>
      <c r="H212" s="34">
        <v>356062.33</v>
      </c>
      <c r="I212" s="34">
        <v>747459.88</v>
      </c>
      <c r="J212" s="34">
        <v>1542997.2</v>
      </c>
      <c r="K212" s="34">
        <v>2399277.5699999998</v>
      </c>
      <c r="L212" s="34">
        <v>2308454.19</v>
      </c>
      <c r="M212" s="46"/>
      <c r="O212" s="46"/>
    </row>
    <row r="213" spans="1:15" x14ac:dyDescent="0.2">
      <c r="A213" s="5">
        <v>185</v>
      </c>
      <c r="B213" s="28">
        <f t="shared" ca="1" si="13"/>
        <v>70821.202576388343</v>
      </c>
      <c r="C213" s="29">
        <f t="shared" ca="1" si="11"/>
        <v>0.69232895851704257</v>
      </c>
      <c r="D213" s="30">
        <f t="shared" ca="1" si="10"/>
        <v>3.2430878041987604E-2</v>
      </c>
      <c r="E213" s="56">
        <v>56194.14</v>
      </c>
      <c r="F213" s="56">
        <v>142525.22</v>
      </c>
      <c r="G213" s="56">
        <v>214477.89</v>
      </c>
      <c r="H213" s="34">
        <v>358127.92</v>
      </c>
      <c r="I213" s="34">
        <v>996056.78</v>
      </c>
      <c r="J213" s="34">
        <v>936604.65</v>
      </c>
      <c r="K213" s="34">
        <v>1127837.9099999999</v>
      </c>
      <c r="L213" s="34">
        <v>2831788.89</v>
      </c>
      <c r="M213" s="46"/>
      <c r="O213" s="46"/>
    </row>
    <row r="214" spans="1:15" x14ac:dyDescent="0.2">
      <c r="A214" s="5">
        <v>186</v>
      </c>
      <c r="B214" s="28">
        <f t="shared" ca="1" si="13"/>
        <v>67428.673711894895</v>
      </c>
      <c r="C214" s="29">
        <f t="shared" ca="1" si="11"/>
        <v>-1.421657474942627</v>
      </c>
      <c r="D214" s="30">
        <f t="shared" ca="1" si="10"/>
        <v>-5.3872256710383301E-2</v>
      </c>
      <c r="E214" s="56">
        <v>43152.37</v>
      </c>
      <c r="F214" s="56">
        <v>188006.39</v>
      </c>
      <c r="G214" s="56">
        <v>285038.24</v>
      </c>
      <c r="H214" s="34">
        <v>277804.05</v>
      </c>
      <c r="I214" s="34">
        <v>425018.28</v>
      </c>
      <c r="J214" s="34">
        <v>296004.13</v>
      </c>
      <c r="K214" s="34">
        <v>782876.76</v>
      </c>
      <c r="L214" s="34">
        <v>801448.31</v>
      </c>
      <c r="M214" s="46"/>
      <c r="O214" s="46"/>
    </row>
    <row r="215" spans="1:15" x14ac:dyDescent="0.2">
      <c r="A215" s="5">
        <v>187</v>
      </c>
      <c r="B215" s="28">
        <f t="shared" ca="1" si="13"/>
        <v>65854.335826808849</v>
      </c>
      <c r="C215" s="29">
        <f t="shared" ca="1" si="11"/>
        <v>-0.82755360417524892</v>
      </c>
      <c r="D215" s="30">
        <f t="shared" ca="1" si="10"/>
        <v>-2.9618067750508709E-2</v>
      </c>
      <c r="E215" s="56">
        <v>41513.230000000003</v>
      </c>
      <c r="F215" s="56">
        <v>90945.76</v>
      </c>
      <c r="G215" s="56">
        <v>172256.28</v>
      </c>
      <c r="H215" s="34">
        <v>389021.26</v>
      </c>
      <c r="I215" s="34">
        <v>1138297.1599999999</v>
      </c>
      <c r="J215" s="34">
        <v>2182039.2200000002</v>
      </c>
      <c r="K215" s="34">
        <v>4182813.64</v>
      </c>
      <c r="L215" s="34">
        <v>7563834.3700000001</v>
      </c>
      <c r="M215" s="46"/>
      <c r="O215" s="46"/>
    </row>
    <row r="216" spans="1:15" x14ac:dyDescent="0.2">
      <c r="A216" s="5">
        <v>188</v>
      </c>
      <c r="B216" s="28">
        <f t="shared" ca="1" si="13"/>
        <v>66747.010291556289</v>
      </c>
      <c r="C216" s="29">
        <f t="shared" ca="1" si="11"/>
        <v>7.2721904104759122E-2</v>
      </c>
      <c r="D216" s="30">
        <f t="shared" ca="1" si="10"/>
        <v>7.1355259696711561E-3</v>
      </c>
      <c r="E216" s="56">
        <v>47822.59</v>
      </c>
      <c r="F216" s="56">
        <v>121451.4</v>
      </c>
      <c r="G216" s="56">
        <v>351701.99</v>
      </c>
      <c r="H216" s="34">
        <v>583389.68000000005</v>
      </c>
      <c r="I216" s="34">
        <v>482696.46</v>
      </c>
      <c r="J216" s="34">
        <v>751890.58</v>
      </c>
      <c r="K216" s="34">
        <v>1416645.7</v>
      </c>
      <c r="L216" s="34">
        <v>5197080.6500000004</v>
      </c>
      <c r="M216" s="46"/>
      <c r="O216" s="46"/>
    </row>
    <row r="217" spans="1:15" x14ac:dyDescent="0.2">
      <c r="A217" s="5">
        <v>189</v>
      </c>
      <c r="B217" s="28">
        <f t="shared" ca="1" si="13"/>
        <v>68655.799402743112</v>
      </c>
      <c r="C217" s="29">
        <f t="shared" ca="1" si="11"/>
        <v>0.44327930792773251</v>
      </c>
      <c r="D217" s="30">
        <f t="shared" ca="1" si="10"/>
        <v>2.226346863261678E-2</v>
      </c>
      <c r="E217" s="56">
        <v>62843.61</v>
      </c>
      <c r="F217" s="56">
        <v>154335.26999999999</v>
      </c>
      <c r="G217" s="56">
        <v>354353.13</v>
      </c>
      <c r="H217" s="34">
        <v>491082.1</v>
      </c>
      <c r="I217" s="34">
        <v>1263347.8400000001</v>
      </c>
      <c r="J217" s="34">
        <v>1056691.8400000001</v>
      </c>
      <c r="K217" s="34">
        <v>1191133.71</v>
      </c>
      <c r="L217" s="34">
        <v>1159875.52</v>
      </c>
      <c r="M217" s="46"/>
      <c r="O217" s="46"/>
    </row>
    <row r="218" spans="1:15" x14ac:dyDescent="0.2">
      <c r="A218" s="5">
        <v>190</v>
      </c>
      <c r="B218" s="28">
        <f t="shared" ca="1" si="13"/>
        <v>72579.983241482885</v>
      </c>
      <c r="C218" s="29">
        <f t="shared" ca="1" si="11"/>
        <v>1.147166610374762</v>
      </c>
      <c r="D218" s="30">
        <f t="shared" ca="1" si="10"/>
        <v>5.0999547422938767E-2</v>
      </c>
      <c r="E218" s="56">
        <v>56989.5</v>
      </c>
      <c r="F218" s="56">
        <v>257520.42</v>
      </c>
      <c r="G218" s="56">
        <v>405502.08</v>
      </c>
      <c r="H218" s="34">
        <v>1147596.98</v>
      </c>
      <c r="I218" s="34">
        <v>3715325.87</v>
      </c>
      <c r="J218" s="34">
        <v>5114171.1399999997</v>
      </c>
      <c r="K218" s="34">
        <v>13874846.210000001</v>
      </c>
      <c r="L218" s="34">
        <v>33254393.969999999</v>
      </c>
      <c r="M218" s="46"/>
      <c r="O218" s="46"/>
    </row>
    <row r="219" spans="1:15" x14ac:dyDescent="0.2">
      <c r="A219" s="5">
        <v>191</v>
      </c>
      <c r="B219" s="28">
        <f t="shared" ca="1" si="13"/>
        <v>70589.707147823035</v>
      </c>
      <c r="C219" s="29">
        <f t="shared" ca="1" si="11"/>
        <v>-0.91643668222324048</v>
      </c>
      <c r="D219" s="30">
        <f t="shared" ca="1" si="10"/>
        <v>-3.3246704216934576E-2</v>
      </c>
      <c r="E219" s="56">
        <v>74284.63</v>
      </c>
      <c r="F219" s="56">
        <v>102055.01</v>
      </c>
      <c r="G219" s="56">
        <v>285993.84999999998</v>
      </c>
      <c r="H219" s="34">
        <v>800525.99</v>
      </c>
      <c r="I219" s="34">
        <v>797538.98</v>
      </c>
      <c r="J219" s="34">
        <v>1201127.33</v>
      </c>
      <c r="K219" s="34">
        <v>1921452.89</v>
      </c>
      <c r="L219" s="34">
        <v>3763821.61</v>
      </c>
      <c r="M219" s="46"/>
      <c r="O219" s="46"/>
    </row>
    <row r="220" spans="1:15" x14ac:dyDescent="0.2">
      <c r="A220" s="5">
        <v>192</v>
      </c>
      <c r="B220" s="28">
        <f t="shared" ca="1" si="13"/>
        <v>71441.11271613845</v>
      </c>
      <c r="C220" s="29">
        <f t="shared" ca="1" si="11"/>
        <v>4.6676401295853438E-2</v>
      </c>
      <c r="D220" s="30">
        <f t="shared" ca="1" si="10"/>
        <v>6.0722227700704071E-3</v>
      </c>
      <c r="E220" s="56">
        <v>41514.67</v>
      </c>
      <c r="F220" s="56">
        <v>118710.77</v>
      </c>
      <c r="G220" s="56">
        <v>281554.98</v>
      </c>
      <c r="H220" s="34">
        <v>658483.53</v>
      </c>
      <c r="I220" s="34">
        <v>1497208.54</v>
      </c>
      <c r="J220" s="34">
        <v>1474975.39</v>
      </c>
      <c r="K220" s="34">
        <v>3855013.44</v>
      </c>
      <c r="L220" s="34">
        <v>7508301.2000000002</v>
      </c>
      <c r="M220" s="46"/>
      <c r="O220" s="46"/>
    </row>
    <row r="221" spans="1:15" x14ac:dyDescent="0.2">
      <c r="A221" s="5">
        <v>193</v>
      </c>
      <c r="B221" s="28">
        <f t="shared" ref="B221:B244" ca="1" si="14">(B220*(1+D221))+($C$6*(1+$C$8)^8)</f>
        <v>69808.063173050628</v>
      </c>
      <c r="C221" s="29">
        <f t="shared" ca="1" si="11"/>
        <v>-0.81128588617352126</v>
      </c>
      <c r="D221" s="30">
        <f t="shared" ca="1" si="10"/>
        <v>-2.8953940944113361E-2</v>
      </c>
      <c r="E221" s="56">
        <v>86248.65</v>
      </c>
      <c r="F221" s="56">
        <v>236889.8</v>
      </c>
      <c r="G221" s="56">
        <v>507555.78</v>
      </c>
      <c r="H221" s="34">
        <v>551304.93000000005</v>
      </c>
      <c r="I221" s="34">
        <v>967161.5</v>
      </c>
      <c r="J221" s="34">
        <v>5569560</v>
      </c>
      <c r="K221" s="34">
        <v>6116245.25</v>
      </c>
      <c r="L221" s="34">
        <v>6010329.3200000003</v>
      </c>
      <c r="M221" s="46"/>
      <c r="O221" s="46"/>
    </row>
    <row r="222" spans="1:15" x14ac:dyDescent="0.2">
      <c r="A222" s="5">
        <v>194</v>
      </c>
      <c r="B222" s="28">
        <f t="shared" ca="1" si="14"/>
        <v>70101.614298318134</v>
      </c>
      <c r="C222" s="29">
        <f t="shared" ca="1" si="11"/>
        <v>-0.15185363667873841</v>
      </c>
      <c r="D222" s="30">
        <f t="shared" ref="D222:D285" ca="1" si="15">$D$20+(C222*$D$21)</f>
        <v>-2.0327320908148858E-3</v>
      </c>
      <c r="E222" s="56">
        <v>29579.57</v>
      </c>
      <c r="F222" s="56">
        <v>99200.43</v>
      </c>
      <c r="G222" s="56">
        <v>164133.93</v>
      </c>
      <c r="H222" s="34">
        <v>658447.51</v>
      </c>
      <c r="I222" s="34">
        <v>1203710.04</v>
      </c>
      <c r="J222" s="34">
        <v>4981789.67</v>
      </c>
      <c r="K222" s="34">
        <v>4911992.74</v>
      </c>
      <c r="L222" s="34">
        <v>4786676.3099999996</v>
      </c>
      <c r="M222" s="46"/>
      <c r="O222" s="46"/>
    </row>
    <row r="223" spans="1:15" x14ac:dyDescent="0.2">
      <c r="A223" s="5">
        <v>195</v>
      </c>
      <c r="B223" s="28">
        <f t="shared" ca="1" si="14"/>
        <v>71286.508272530671</v>
      </c>
      <c r="C223" s="29">
        <f t="shared" ref="C223:C286" ca="1" si="16">NORMSINV(RAND())</f>
        <v>0.15980777434990096</v>
      </c>
      <c r="D223" s="30">
        <f t="shared" ca="1" si="15"/>
        <v>1.0690791734784853E-2</v>
      </c>
      <c r="E223" s="56">
        <v>37395.17</v>
      </c>
      <c r="F223" s="56">
        <v>164826.21</v>
      </c>
      <c r="G223" s="56">
        <v>321397.40000000002</v>
      </c>
      <c r="H223" s="34">
        <v>601709.34</v>
      </c>
      <c r="I223" s="34">
        <v>1334962.68</v>
      </c>
      <c r="J223" s="34">
        <v>2264357.34</v>
      </c>
      <c r="K223" s="34">
        <v>4978285.8600000003</v>
      </c>
      <c r="L223" s="34">
        <v>11878279.539999999</v>
      </c>
      <c r="M223" s="46"/>
      <c r="O223" s="46"/>
    </row>
    <row r="224" spans="1:15" x14ac:dyDescent="0.2">
      <c r="A224" s="5">
        <v>196</v>
      </c>
      <c r="B224" s="28">
        <f t="shared" ca="1" si="14"/>
        <v>68713.746154653534</v>
      </c>
      <c r="C224" s="29">
        <f t="shared" ca="1" si="16"/>
        <v>-1.1357205210665349</v>
      </c>
      <c r="D224" s="30">
        <f t="shared" ca="1" si="15"/>
        <v>-4.2198929450347394E-2</v>
      </c>
      <c r="E224" s="56">
        <v>71869.399999999994</v>
      </c>
      <c r="F224" s="56">
        <v>193859.1</v>
      </c>
      <c r="G224" s="56">
        <v>351275.89</v>
      </c>
      <c r="H224" s="34">
        <v>564710.98</v>
      </c>
      <c r="I224" s="34">
        <v>834285.43</v>
      </c>
      <c r="J224" s="34">
        <v>608372.25</v>
      </c>
      <c r="K224" s="34">
        <v>1336634.1299999999</v>
      </c>
      <c r="L224" s="34">
        <v>1416211.27</v>
      </c>
      <c r="M224" s="46"/>
      <c r="O224" s="46"/>
    </row>
    <row r="225" spans="1:15" x14ac:dyDescent="0.2">
      <c r="A225" s="5">
        <v>197</v>
      </c>
      <c r="B225" s="28">
        <f t="shared" ca="1" si="14"/>
        <v>66878.09539366205</v>
      </c>
      <c r="C225" s="29">
        <f t="shared" ca="1" si="16"/>
        <v>-0.9116589519860947</v>
      </c>
      <c r="D225" s="30">
        <f t="shared" ca="1" si="15"/>
        <v>-3.3051654196773347E-2</v>
      </c>
      <c r="E225" s="56">
        <v>47392.02</v>
      </c>
      <c r="F225" s="56">
        <v>145334.26999999999</v>
      </c>
      <c r="G225" s="56">
        <v>392456.89</v>
      </c>
      <c r="H225" s="34">
        <v>305134.49</v>
      </c>
      <c r="I225" s="34">
        <v>572077.93000000005</v>
      </c>
      <c r="J225" s="34">
        <v>732993.71</v>
      </c>
      <c r="K225" s="34">
        <v>1732250.17</v>
      </c>
      <c r="L225" s="34">
        <v>2105304.2999999998</v>
      </c>
      <c r="M225" s="46"/>
      <c r="O225" s="46"/>
    </row>
    <row r="226" spans="1:15" x14ac:dyDescent="0.2">
      <c r="A226" s="5">
        <v>198</v>
      </c>
      <c r="B226" s="28">
        <f t="shared" ca="1" si="14"/>
        <v>67813.271658850514</v>
      </c>
      <c r="C226" s="29">
        <f t="shared" ca="1" si="16"/>
        <v>8.0967800885231006E-2</v>
      </c>
      <c r="D226" s="30">
        <f t="shared" ca="1" si="15"/>
        <v>7.472163296068068E-3</v>
      </c>
      <c r="E226" s="56">
        <v>65511.82</v>
      </c>
      <c r="F226" s="56">
        <v>199544.45</v>
      </c>
      <c r="G226" s="56">
        <v>392469.63</v>
      </c>
      <c r="H226" s="34">
        <v>700975.67</v>
      </c>
      <c r="I226" s="34">
        <v>2365377.37</v>
      </c>
      <c r="J226" s="34">
        <v>3282255.33</v>
      </c>
      <c r="K226" s="34">
        <v>2474165.8199999998</v>
      </c>
      <c r="L226" s="34">
        <v>4033963.48</v>
      </c>
      <c r="M226" s="46"/>
      <c r="O226" s="46"/>
    </row>
    <row r="227" spans="1:15" x14ac:dyDescent="0.2">
      <c r="A227" s="5">
        <v>199</v>
      </c>
      <c r="B227" s="28">
        <f t="shared" ca="1" si="14"/>
        <v>68032.593597775543</v>
      </c>
      <c r="C227" s="29">
        <f t="shared" ca="1" si="16"/>
        <v>-0.18013069879613697</v>
      </c>
      <c r="D227" s="30">
        <f t="shared" ca="1" si="15"/>
        <v>-3.1871383176917288E-3</v>
      </c>
      <c r="E227" s="56">
        <v>47542.07</v>
      </c>
      <c r="F227" s="56">
        <v>187237.95</v>
      </c>
      <c r="G227" s="56">
        <v>141771.03</v>
      </c>
      <c r="H227" s="34">
        <v>233546.62</v>
      </c>
      <c r="I227" s="34">
        <v>613155.59</v>
      </c>
      <c r="J227" s="34">
        <v>746327.08</v>
      </c>
      <c r="K227" s="34">
        <v>1104926.83</v>
      </c>
      <c r="L227" s="34">
        <v>1140945.1499999999</v>
      </c>
      <c r="M227" s="46"/>
      <c r="O227" s="46"/>
    </row>
    <row r="228" spans="1:15" x14ac:dyDescent="0.2">
      <c r="A228" s="5">
        <v>200</v>
      </c>
      <c r="B228" s="28">
        <f t="shared" ca="1" si="14"/>
        <v>70577.815880732422</v>
      </c>
      <c r="C228" s="29">
        <f t="shared" ca="1" si="16"/>
        <v>0.65755326271529535</v>
      </c>
      <c r="D228" s="30">
        <f t="shared" ca="1" si="15"/>
        <v>3.1011166205912141E-2</v>
      </c>
      <c r="E228" s="56">
        <v>62455.27</v>
      </c>
      <c r="F228" s="56">
        <v>132533.76000000001</v>
      </c>
      <c r="G228" s="56">
        <v>507770.29</v>
      </c>
      <c r="H228" s="34">
        <v>1657683.34</v>
      </c>
      <c r="I228" s="34">
        <v>2186360.35</v>
      </c>
      <c r="J228" s="34">
        <v>4444966.28</v>
      </c>
      <c r="K228" s="34">
        <v>2994675.42</v>
      </c>
      <c r="L228" s="34">
        <v>1514410.16</v>
      </c>
      <c r="M228" s="46"/>
      <c r="O228" s="46"/>
    </row>
    <row r="229" spans="1:15" x14ac:dyDescent="0.2">
      <c r="A229" s="5">
        <v>201</v>
      </c>
      <c r="B229" s="28">
        <f t="shared" ca="1" si="14"/>
        <v>73085.770858721764</v>
      </c>
      <c r="C229" s="29">
        <f t="shared" ca="1" si="16"/>
        <v>0.61722545354417857</v>
      </c>
      <c r="D229" s="30">
        <f t="shared" ca="1" si="15"/>
        <v>2.9364790290686008E-2</v>
      </c>
      <c r="E229" s="56">
        <v>118989.46</v>
      </c>
      <c r="F229" s="56">
        <v>246119.48</v>
      </c>
      <c r="G229" s="56">
        <v>1054652.5900000001</v>
      </c>
      <c r="H229" s="34">
        <v>1416242.16</v>
      </c>
      <c r="I229" s="34">
        <v>1682470.88</v>
      </c>
      <c r="J229" s="34">
        <v>1964882.39</v>
      </c>
      <c r="K229" s="34">
        <v>2026984.68</v>
      </c>
      <c r="L229" s="34">
        <v>5523136.5700000003</v>
      </c>
      <c r="M229" s="46"/>
      <c r="O229" s="46"/>
    </row>
    <row r="230" spans="1:15" x14ac:dyDescent="0.2">
      <c r="A230" s="5">
        <v>202</v>
      </c>
      <c r="B230" s="28">
        <f t="shared" ca="1" si="14"/>
        <v>75627.414174331105</v>
      </c>
      <c r="C230" s="29">
        <f t="shared" ca="1" si="16"/>
        <v>0.60383367637848206</v>
      </c>
      <c r="D230" s="30">
        <f t="shared" ca="1" si="15"/>
        <v>2.8818073277269148E-2</v>
      </c>
      <c r="E230" s="56">
        <v>50699.07</v>
      </c>
      <c r="F230" s="56">
        <v>128038.42</v>
      </c>
      <c r="G230" s="56">
        <v>238082.7</v>
      </c>
      <c r="H230" s="34">
        <v>574730.43000000005</v>
      </c>
      <c r="I230" s="34">
        <v>602253.26</v>
      </c>
      <c r="J230" s="34">
        <v>556584</v>
      </c>
      <c r="K230" s="34">
        <v>501477.2</v>
      </c>
      <c r="L230" s="34">
        <v>856595.97</v>
      </c>
      <c r="M230" s="46"/>
      <c r="O230" s="46"/>
    </row>
    <row r="231" spans="1:15" x14ac:dyDescent="0.2">
      <c r="A231" s="5">
        <v>203</v>
      </c>
      <c r="B231" s="28">
        <f t="shared" ca="1" si="14"/>
        <v>72529.271691615446</v>
      </c>
      <c r="C231" s="29">
        <f t="shared" ca="1" si="16"/>
        <v>-1.246554987370903</v>
      </c>
      <c r="D231" s="30">
        <f t="shared" ca="1" si="15"/>
        <v>-4.6723727589670687E-2</v>
      </c>
      <c r="E231" s="56">
        <v>40594.54</v>
      </c>
      <c r="F231" s="56">
        <v>185012.25</v>
      </c>
      <c r="G231" s="56">
        <v>186872.87</v>
      </c>
      <c r="H231" s="34">
        <v>276538.34000000003</v>
      </c>
      <c r="I231" s="34">
        <v>518631.19</v>
      </c>
      <c r="J231" s="34">
        <v>565628.41</v>
      </c>
      <c r="K231" s="34">
        <v>1419723.62</v>
      </c>
      <c r="L231" s="34">
        <v>2177416.35</v>
      </c>
      <c r="M231" s="46"/>
      <c r="O231" s="46"/>
    </row>
    <row r="232" spans="1:15" x14ac:dyDescent="0.2">
      <c r="A232" s="5">
        <v>204</v>
      </c>
      <c r="B232" s="28">
        <f t="shared" ca="1" si="14"/>
        <v>72059.336776220371</v>
      </c>
      <c r="C232" s="29">
        <f t="shared" ca="1" si="16"/>
        <v>-0.40783330657354949</v>
      </c>
      <c r="D232" s="30">
        <f t="shared" ca="1" si="15"/>
        <v>-1.2483058353620947E-2</v>
      </c>
      <c r="E232" s="56">
        <v>32853.69</v>
      </c>
      <c r="F232" s="56">
        <v>268173.15000000002</v>
      </c>
      <c r="G232" s="56">
        <v>756433.29</v>
      </c>
      <c r="H232" s="34">
        <v>879795.36</v>
      </c>
      <c r="I232" s="34">
        <v>1964420.97</v>
      </c>
      <c r="J232" s="34">
        <v>3502750.17</v>
      </c>
      <c r="K232" s="34">
        <v>2353640.17</v>
      </c>
      <c r="L232" s="34">
        <v>4110776.35</v>
      </c>
      <c r="M232" s="46"/>
      <c r="O232" s="46"/>
    </row>
    <row r="233" spans="1:15" x14ac:dyDescent="0.2">
      <c r="A233" s="5">
        <v>205</v>
      </c>
      <c r="B233" s="28">
        <f t="shared" ca="1" si="14"/>
        <v>68612.90049027573</v>
      </c>
      <c r="C233" s="29">
        <f t="shared" ca="1" si="16"/>
        <v>-1.4216198832004967</v>
      </c>
      <c r="D233" s="30">
        <f t="shared" ca="1" si="15"/>
        <v>-5.3870722033937279E-2</v>
      </c>
      <c r="E233" s="56">
        <v>56899.59</v>
      </c>
      <c r="F233" s="56">
        <v>205752.31</v>
      </c>
      <c r="G233" s="56">
        <v>484155.77</v>
      </c>
      <c r="H233" s="34">
        <v>505552.3</v>
      </c>
      <c r="I233" s="34">
        <v>2121138.11</v>
      </c>
      <c r="J233" s="34">
        <v>2260908.65</v>
      </c>
      <c r="K233" s="34">
        <v>4235198.21</v>
      </c>
      <c r="L233" s="34">
        <v>5509137.4400000004</v>
      </c>
      <c r="M233" s="46"/>
      <c r="O233" s="46"/>
    </row>
    <row r="234" spans="1:15" x14ac:dyDescent="0.2">
      <c r="A234" s="5">
        <v>206</v>
      </c>
      <c r="B234" s="28">
        <f t="shared" ca="1" si="14"/>
        <v>70918.948856484567</v>
      </c>
      <c r="C234" s="29">
        <f t="shared" ca="1" si="16"/>
        <v>0.56574326010812537</v>
      </c>
      <c r="D234" s="30">
        <f t="shared" ca="1" si="15"/>
        <v>2.7263038544726146E-2</v>
      </c>
      <c r="E234" s="56">
        <v>53831.41</v>
      </c>
      <c r="F234" s="56">
        <v>125277.66</v>
      </c>
      <c r="G234" s="56">
        <v>342016.53</v>
      </c>
      <c r="H234" s="34">
        <v>1100208.24</v>
      </c>
      <c r="I234" s="34">
        <v>1529014.93</v>
      </c>
      <c r="J234" s="34">
        <v>1675802.22</v>
      </c>
      <c r="K234" s="34">
        <v>1317735.1399999999</v>
      </c>
      <c r="L234" s="34">
        <v>4015211.94</v>
      </c>
      <c r="M234" s="46"/>
      <c r="O234" s="46"/>
    </row>
    <row r="235" spans="1:15" x14ac:dyDescent="0.2">
      <c r="A235" s="5">
        <v>207</v>
      </c>
      <c r="B235" s="28">
        <f t="shared" ca="1" si="14"/>
        <v>72762.833239980304</v>
      </c>
      <c r="C235" s="29">
        <f t="shared" ca="1" si="16"/>
        <v>0.38440031925468371</v>
      </c>
      <c r="D235" s="30">
        <f t="shared" ca="1" si="15"/>
        <v>1.9859743985615446E-2</v>
      </c>
      <c r="E235" s="56">
        <v>51738.06</v>
      </c>
      <c r="F235" s="56">
        <v>159348.98000000001</v>
      </c>
      <c r="G235" s="56">
        <v>963144.99</v>
      </c>
      <c r="H235" s="34">
        <v>1187507.81</v>
      </c>
      <c r="I235" s="34">
        <v>1758726.21</v>
      </c>
      <c r="J235" s="34">
        <v>1964498.9</v>
      </c>
      <c r="K235" s="34">
        <v>3363962.15</v>
      </c>
      <c r="L235" s="34">
        <v>4583237.96</v>
      </c>
      <c r="M235" s="46"/>
      <c r="O235" s="46"/>
    </row>
    <row r="236" spans="1:15" x14ac:dyDescent="0.2">
      <c r="A236" s="5">
        <v>208</v>
      </c>
      <c r="B236" s="28">
        <f t="shared" ca="1" si="14"/>
        <v>69329.791351762862</v>
      </c>
      <c r="C236" s="29">
        <f t="shared" ca="1" si="16"/>
        <v>-1.4043528445770161</v>
      </c>
      <c r="D236" s="30">
        <f t="shared" ca="1" si="15"/>
        <v>-5.3165798133996335E-2</v>
      </c>
      <c r="E236" s="56">
        <v>38431.800000000003</v>
      </c>
      <c r="F236" s="56">
        <v>58340.31</v>
      </c>
      <c r="G236" s="56">
        <v>163993.71</v>
      </c>
      <c r="H236" s="34">
        <v>172019.63</v>
      </c>
      <c r="I236" s="34">
        <v>193307.7</v>
      </c>
      <c r="J236" s="34">
        <v>410498.57</v>
      </c>
      <c r="K236" s="34">
        <v>952156.76</v>
      </c>
      <c r="L236" s="34">
        <v>1840687.7</v>
      </c>
      <c r="M236" s="46"/>
      <c r="O236" s="46"/>
    </row>
    <row r="237" spans="1:15" x14ac:dyDescent="0.2">
      <c r="A237" s="5">
        <v>209</v>
      </c>
      <c r="B237" s="28">
        <f t="shared" ca="1" si="14"/>
        <v>74218.115108571103</v>
      </c>
      <c r="C237" s="29">
        <f t="shared" ca="1" si="16"/>
        <v>1.4711812552171057</v>
      </c>
      <c r="D237" s="30">
        <f t="shared" ca="1" si="15"/>
        <v>6.4227389907153029E-2</v>
      </c>
      <c r="E237" s="56">
        <v>61653.3</v>
      </c>
      <c r="F237" s="56">
        <v>239457.92000000001</v>
      </c>
      <c r="G237" s="56">
        <v>305965.37</v>
      </c>
      <c r="H237" s="34">
        <v>318080.01</v>
      </c>
      <c r="I237" s="34">
        <v>277836.58</v>
      </c>
      <c r="J237" s="34">
        <v>238958.09</v>
      </c>
      <c r="K237" s="34">
        <v>503897.29</v>
      </c>
      <c r="L237" s="34">
        <v>355385.31</v>
      </c>
      <c r="M237" s="46"/>
      <c r="O237" s="46"/>
    </row>
    <row r="238" spans="1:15" x14ac:dyDescent="0.2">
      <c r="A238" s="5">
        <v>210</v>
      </c>
      <c r="B238" s="28">
        <f t="shared" ca="1" si="14"/>
        <v>81108.090886530263</v>
      </c>
      <c r="C238" s="29">
        <f t="shared" ca="1" si="16"/>
        <v>2.0281845979878499</v>
      </c>
      <c r="D238" s="30">
        <f t="shared" ca="1" si="15"/>
        <v>8.6966956154034367E-2</v>
      </c>
      <c r="E238" s="56">
        <v>66402.740000000005</v>
      </c>
      <c r="F238" s="56">
        <v>110667.54</v>
      </c>
      <c r="G238" s="56">
        <v>340330.1</v>
      </c>
      <c r="H238" s="34">
        <v>709864.58</v>
      </c>
      <c r="I238" s="34">
        <v>1710837.13</v>
      </c>
      <c r="J238" s="34">
        <v>3043242.02</v>
      </c>
      <c r="K238" s="34">
        <v>1955290.95</v>
      </c>
      <c r="L238" s="34">
        <v>3031134.84</v>
      </c>
      <c r="M238" s="46"/>
      <c r="O238" s="46"/>
    </row>
    <row r="239" spans="1:15" x14ac:dyDescent="0.2">
      <c r="A239" s="5">
        <v>211</v>
      </c>
      <c r="B239" s="28">
        <f t="shared" ca="1" si="14"/>
        <v>82689.802685032424</v>
      </c>
      <c r="C239" s="29">
        <f t="shared" ca="1" si="16"/>
        <v>0.244111910829793</v>
      </c>
      <c r="D239" s="30">
        <f t="shared" ca="1" si="15"/>
        <v>1.4132493694479664E-2</v>
      </c>
      <c r="E239" s="56">
        <v>60572.78</v>
      </c>
      <c r="F239" s="56">
        <v>188677.09</v>
      </c>
      <c r="G239" s="56">
        <v>853258.17</v>
      </c>
      <c r="H239" s="34">
        <v>798489.96</v>
      </c>
      <c r="I239" s="34">
        <v>1362117.51</v>
      </c>
      <c r="J239" s="34">
        <v>1774321.89</v>
      </c>
      <c r="K239" s="34">
        <v>2482929.8199999998</v>
      </c>
      <c r="L239" s="34">
        <v>5052359.17</v>
      </c>
      <c r="M239" s="46"/>
      <c r="O239" s="46"/>
    </row>
    <row r="240" spans="1:15" x14ac:dyDescent="0.2">
      <c r="A240" s="5">
        <v>212</v>
      </c>
      <c r="B240" s="28">
        <f t="shared" ca="1" si="14"/>
        <v>79719.897436827101</v>
      </c>
      <c r="C240" s="29">
        <f t="shared" ca="1" si="16"/>
        <v>-1.1108186431900349</v>
      </c>
      <c r="D240" s="30">
        <f t="shared" ca="1" si="15"/>
        <v>-4.1182314543105294E-2</v>
      </c>
      <c r="E240" s="56">
        <v>38835.35</v>
      </c>
      <c r="F240" s="56">
        <v>157264.10999999999</v>
      </c>
      <c r="G240" s="56">
        <v>445415.63</v>
      </c>
      <c r="H240" s="34">
        <v>506613.73</v>
      </c>
      <c r="I240" s="34">
        <v>543515.06999999995</v>
      </c>
      <c r="J240" s="34">
        <v>1187211.8999999999</v>
      </c>
      <c r="K240" s="34">
        <v>1862116.99</v>
      </c>
      <c r="L240" s="34">
        <v>3303704.17</v>
      </c>
      <c r="M240" s="46"/>
      <c r="O240" s="46"/>
    </row>
    <row r="241" spans="1:15" x14ac:dyDescent="0.2">
      <c r="A241" s="5">
        <v>213</v>
      </c>
      <c r="B241" s="28">
        <f t="shared" ca="1" si="14"/>
        <v>81453.20913854074</v>
      </c>
      <c r="C241" s="29">
        <f t="shared" ca="1" si="16"/>
        <v>0.29672086631465006</v>
      </c>
      <c r="D241" s="30">
        <f t="shared" ca="1" si="15"/>
        <v>1.62802453084579E-2</v>
      </c>
      <c r="E241" s="56">
        <v>49445.97</v>
      </c>
      <c r="F241" s="56">
        <v>119156.49</v>
      </c>
      <c r="G241" s="56">
        <v>271489.65999999997</v>
      </c>
      <c r="H241" s="34">
        <v>601192.34</v>
      </c>
      <c r="I241" s="34">
        <v>529926.52</v>
      </c>
      <c r="J241" s="34">
        <v>1077830.27</v>
      </c>
      <c r="K241" s="34">
        <v>2497385.39</v>
      </c>
      <c r="L241" s="34">
        <v>1190937.22</v>
      </c>
      <c r="M241" s="46"/>
      <c r="O241" s="46"/>
    </row>
    <row r="242" spans="1:15" x14ac:dyDescent="0.2">
      <c r="A242" s="5">
        <v>214</v>
      </c>
      <c r="B242" s="28">
        <f t="shared" ca="1" si="14"/>
        <v>83897.372465410925</v>
      </c>
      <c r="C242" s="29">
        <f t="shared" ca="1" si="16"/>
        <v>0.50200464441214132</v>
      </c>
      <c r="D242" s="30">
        <f t="shared" ca="1" si="15"/>
        <v>2.4660920455284282E-2</v>
      </c>
      <c r="E242" s="56">
        <v>42535.839999999997</v>
      </c>
      <c r="F242" s="56">
        <v>176907.73</v>
      </c>
      <c r="G242" s="56">
        <v>275723.08</v>
      </c>
      <c r="H242" s="34">
        <v>556395.94999999995</v>
      </c>
      <c r="I242" s="34">
        <v>909965.89</v>
      </c>
      <c r="J242" s="34">
        <v>3104073.04</v>
      </c>
      <c r="K242" s="34">
        <v>4675854.4400000004</v>
      </c>
      <c r="L242" s="34">
        <v>3101064.41</v>
      </c>
      <c r="M242" s="46"/>
      <c r="O242" s="46"/>
    </row>
    <row r="243" spans="1:15" x14ac:dyDescent="0.2">
      <c r="A243" s="5">
        <v>215</v>
      </c>
      <c r="B243" s="28">
        <f t="shared" ca="1" si="14"/>
        <v>84407.818820962362</v>
      </c>
      <c r="C243" s="29">
        <f t="shared" ca="1" si="16"/>
        <v>-8.016658632324479E-2</v>
      </c>
      <c r="D243" s="30">
        <f t="shared" ca="1" si="15"/>
        <v>8.938794847878277E-4</v>
      </c>
      <c r="E243" s="56">
        <v>55126.78</v>
      </c>
      <c r="F243" s="56">
        <v>118423.22</v>
      </c>
      <c r="G243" s="56">
        <v>547854.93999999994</v>
      </c>
      <c r="H243" s="34">
        <v>2485721.88</v>
      </c>
      <c r="I243" s="34">
        <v>3919135.45</v>
      </c>
      <c r="J243" s="34">
        <v>9112561.4499999993</v>
      </c>
      <c r="K243" s="34">
        <v>25289649.149999999</v>
      </c>
      <c r="L243" s="34">
        <v>53173387.170000002</v>
      </c>
      <c r="M243" s="46"/>
      <c r="O243" s="46"/>
    </row>
    <row r="244" spans="1:15" x14ac:dyDescent="0.2">
      <c r="A244" s="5">
        <v>216</v>
      </c>
      <c r="B244" s="28">
        <f t="shared" ca="1" si="14"/>
        <v>81825.037768714901</v>
      </c>
      <c r="C244" s="29">
        <f t="shared" ca="1" si="16"/>
        <v>-0.97794437047507976</v>
      </c>
      <c r="D244" s="30">
        <f t="shared" ca="1" si="15"/>
        <v>-3.5757745074854339E-2</v>
      </c>
      <c r="E244" s="56">
        <v>38104.15</v>
      </c>
      <c r="F244" s="56">
        <v>111638.07</v>
      </c>
      <c r="G244" s="56">
        <v>338076.43</v>
      </c>
      <c r="H244" s="34">
        <v>411501.33</v>
      </c>
      <c r="I244" s="34">
        <v>810347.72</v>
      </c>
      <c r="J244" s="34">
        <v>600251.05000000005</v>
      </c>
      <c r="K244" s="34">
        <v>791614.2</v>
      </c>
      <c r="L244" s="34">
        <v>1011506.78</v>
      </c>
      <c r="M244" s="46"/>
      <c r="O244" s="46"/>
    </row>
    <row r="245" spans="1:15" x14ac:dyDescent="0.2">
      <c r="A245" s="5">
        <v>217</v>
      </c>
      <c r="B245" s="28">
        <f t="shared" ref="B245:B268" ca="1" si="17">(B244*(1+D245))+($C$6*(1+$C$8)^9)</f>
        <v>85215.740539198101</v>
      </c>
      <c r="C245" s="29">
        <f t="shared" ca="1" si="16"/>
        <v>0.77870218320439211</v>
      </c>
      <c r="D245" s="30">
        <f t="shared" ca="1" si="15"/>
        <v>3.5957050174033764E-2</v>
      </c>
      <c r="E245" s="56">
        <v>60561.89</v>
      </c>
      <c r="F245" s="56">
        <v>284486.02</v>
      </c>
      <c r="G245" s="56">
        <v>381801.69</v>
      </c>
      <c r="H245" s="34">
        <v>911020.55</v>
      </c>
      <c r="I245" s="34">
        <v>2292136.61</v>
      </c>
      <c r="J245" s="34">
        <v>2422323.86</v>
      </c>
      <c r="K245" s="34">
        <v>2206826.37</v>
      </c>
      <c r="L245" s="34">
        <v>5687467.6500000004</v>
      </c>
      <c r="M245" s="46"/>
      <c r="O245" s="46"/>
    </row>
    <row r="246" spans="1:15" x14ac:dyDescent="0.2">
      <c r="A246" s="5">
        <v>218</v>
      </c>
      <c r="B246" s="28">
        <f t="shared" ca="1" si="17"/>
        <v>88785.26935854365</v>
      </c>
      <c r="C246" s="29">
        <f t="shared" ca="1" si="16"/>
        <v>0.79505967670424826</v>
      </c>
      <c r="D246" s="30">
        <f t="shared" ca="1" si="15"/>
        <v>3.6624842049792765E-2</v>
      </c>
      <c r="E246" s="56">
        <v>62446.33</v>
      </c>
      <c r="F246" s="56">
        <v>157943.20000000001</v>
      </c>
      <c r="G246" s="56">
        <v>560298.78</v>
      </c>
      <c r="H246" s="34">
        <v>713419.41</v>
      </c>
      <c r="I246" s="34">
        <v>1959731.32</v>
      </c>
      <c r="J246" s="34">
        <v>4456708.0599999996</v>
      </c>
      <c r="K246" s="34">
        <v>6691532.6500000004</v>
      </c>
      <c r="L246" s="34">
        <v>17823681.77</v>
      </c>
      <c r="M246" s="46"/>
      <c r="O246" s="46"/>
    </row>
    <row r="247" spans="1:15" x14ac:dyDescent="0.2">
      <c r="A247" s="5">
        <v>219</v>
      </c>
      <c r="B247" s="28">
        <f t="shared" ca="1" si="17"/>
        <v>92818.952377823123</v>
      </c>
      <c r="C247" s="29">
        <f t="shared" ca="1" si="16"/>
        <v>0.8870468682555539</v>
      </c>
      <c r="D247" s="30">
        <f t="shared" ca="1" si="15"/>
        <v>4.038020341933201E-2</v>
      </c>
      <c r="E247" s="56">
        <v>61940.84</v>
      </c>
      <c r="F247" s="56">
        <v>149450.57999999999</v>
      </c>
      <c r="G247" s="56">
        <v>214600.44</v>
      </c>
      <c r="H247" s="34">
        <v>713619.77</v>
      </c>
      <c r="I247" s="34">
        <v>1114584.26</v>
      </c>
      <c r="J247" s="34">
        <v>1634059.02</v>
      </c>
      <c r="K247" s="34">
        <v>1769035.43</v>
      </c>
      <c r="L247" s="34">
        <v>1405054.03</v>
      </c>
      <c r="M247" s="46"/>
      <c r="O247" s="46"/>
    </row>
    <row r="248" spans="1:15" x14ac:dyDescent="0.2">
      <c r="A248" s="5">
        <v>220</v>
      </c>
      <c r="B248" s="28">
        <f t="shared" ca="1" si="17"/>
        <v>92425.518910296378</v>
      </c>
      <c r="C248" s="29">
        <f t="shared" ca="1" si="16"/>
        <v>-0.32425226090004572</v>
      </c>
      <c r="D248" s="30">
        <f t="shared" ca="1" si="15"/>
        <v>-9.0708764524819498E-3</v>
      </c>
      <c r="E248" s="56">
        <v>60929.49</v>
      </c>
      <c r="F248" s="56">
        <v>195098.93</v>
      </c>
      <c r="G248" s="56">
        <v>276406.88</v>
      </c>
      <c r="H248" s="34">
        <v>459265.91</v>
      </c>
      <c r="I248" s="34">
        <v>695750.05</v>
      </c>
      <c r="J248" s="34">
        <v>1746382.25</v>
      </c>
      <c r="K248" s="34">
        <v>3332551.62</v>
      </c>
      <c r="L248" s="34">
        <v>3767412.88</v>
      </c>
      <c r="M248" s="46"/>
      <c r="O248" s="46"/>
    </row>
    <row r="249" spans="1:15" x14ac:dyDescent="0.2">
      <c r="A249" s="5">
        <v>221</v>
      </c>
      <c r="B249" s="28">
        <f t="shared" ca="1" si="17"/>
        <v>99693.218270144745</v>
      </c>
      <c r="C249" s="29">
        <f t="shared" ca="1" si="16"/>
        <v>1.7051790903414703</v>
      </c>
      <c r="D249" s="30">
        <f t="shared" ca="1" si="15"/>
        <v>7.37803115233297E-2</v>
      </c>
      <c r="E249" s="56">
        <v>49483.839999999997</v>
      </c>
      <c r="F249" s="56">
        <v>118610.85</v>
      </c>
      <c r="G249" s="56">
        <v>136683.81</v>
      </c>
      <c r="H249" s="34">
        <v>264812.08</v>
      </c>
      <c r="I249" s="34">
        <v>223393.96</v>
      </c>
      <c r="J249" s="34">
        <v>729209.06</v>
      </c>
      <c r="K249" s="34">
        <v>759549.47</v>
      </c>
      <c r="L249" s="34">
        <v>805160.02</v>
      </c>
      <c r="M249" s="46"/>
      <c r="O249" s="46"/>
    </row>
    <row r="250" spans="1:15" x14ac:dyDescent="0.2">
      <c r="A250" s="5">
        <v>222</v>
      </c>
      <c r="B250" s="28">
        <f t="shared" ca="1" si="17"/>
        <v>94890.639057532142</v>
      </c>
      <c r="C250" s="29">
        <f t="shared" ca="1" si="16"/>
        <v>-1.392270529191773</v>
      </c>
      <c r="D250" s="30">
        <f t="shared" ca="1" si="15"/>
        <v>-5.2672539673909259E-2</v>
      </c>
      <c r="E250" s="56">
        <v>75724.53</v>
      </c>
      <c r="F250" s="56">
        <v>189201.36</v>
      </c>
      <c r="G250" s="56">
        <v>503183.62</v>
      </c>
      <c r="H250" s="34">
        <v>1496496.54</v>
      </c>
      <c r="I250" s="34">
        <v>1286070.49</v>
      </c>
      <c r="J250" s="34">
        <v>1146381.06</v>
      </c>
      <c r="K250" s="34">
        <v>2047487.53</v>
      </c>
      <c r="L250" s="34">
        <v>2315950.9700000002</v>
      </c>
      <c r="M250" s="46"/>
      <c r="O250" s="46"/>
    </row>
    <row r="251" spans="1:15" x14ac:dyDescent="0.2">
      <c r="A251" s="5">
        <v>223</v>
      </c>
      <c r="B251" s="28">
        <f t="shared" ca="1" si="17"/>
        <v>102450.24121447306</v>
      </c>
      <c r="C251" s="29">
        <f t="shared" ca="1" si="16"/>
        <v>1.7335808642016406</v>
      </c>
      <c r="D251" s="30">
        <f t="shared" ca="1" si="15"/>
        <v>7.4939809085785278E-2</v>
      </c>
      <c r="E251" s="56">
        <v>57036.15</v>
      </c>
      <c r="F251" s="56">
        <v>103972.07</v>
      </c>
      <c r="G251" s="56">
        <v>152229.31</v>
      </c>
      <c r="H251" s="34">
        <v>280266.39</v>
      </c>
      <c r="I251" s="34">
        <v>536868.02</v>
      </c>
      <c r="J251" s="34">
        <v>912609.24</v>
      </c>
      <c r="K251" s="34">
        <v>1244877.47</v>
      </c>
      <c r="L251" s="34">
        <v>1644101.25</v>
      </c>
      <c r="M251" s="46"/>
      <c r="O251" s="46"/>
    </row>
    <row r="252" spans="1:15" x14ac:dyDescent="0.2">
      <c r="A252" s="5">
        <v>224</v>
      </c>
      <c r="B252" s="28">
        <f t="shared" ca="1" si="17"/>
        <v>102697.69029289857</v>
      </c>
      <c r="C252" s="29">
        <f t="shared" ca="1" si="16"/>
        <v>-0.15013524667966632</v>
      </c>
      <c r="D252" s="30">
        <f t="shared" ca="1" si="15"/>
        <v>-1.962579112867748E-3</v>
      </c>
      <c r="E252" s="56">
        <v>65594.36</v>
      </c>
      <c r="F252" s="56">
        <v>144608.73000000001</v>
      </c>
      <c r="G252" s="56">
        <v>229450.58</v>
      </c>
      <c r="H252" s="34">
        <v>299218.49</v>
      </c>
      <c r="I252" s="34">
        <v>777823.75</v>
      </c>
      <c r="J252" s="34">
        <v>2255735.75</v>
      </c>
      <c r="K252" s="34">
        <v>5397693.2400000002</v>
      </c>
      <c r="L252" s="34">
        <v>6916926.9199999999</v>
      </c>
      <c r="M252" s="46"/>
      <c r="O252" s="46"/>
    </row>
    <row r="253" spans="1:15" x14ac:dyDescent="0.2">
      <c r="A253" s="5">
        <v>225</v>
      </c>
      <c r="B253" s="28">
        <f t="shared" ca="1" si="17"/>
        <v>109283.22914885772</v>
      </c>
      <c r="C253" s="29">
        <f t="shared" ca="1" si="16"/>
        <v>1.3617074657404269</v>
      </c>
      <c r="D253" s="30">
        <f t="shared" ca="1" si="15"/>
        <v>5.975814116670753E-2</v>
      </c>
      <c r="E253" s="56">
        <v>37434.36</v>
      </c>
      <c r="F253" s="56">
        <v>123850.61</v>
      </c>
      <c r="G253" s="56">
        <v>298289.88</v>
      </c>
      <c r="H253" s="34">
        <v>303118.44</v>
      </c>
      <c r="I253" s="34">
        <v>432498.28</v>
      </c>
      <c r="J253" s="34">
        <v>788221.3</v>
      </c>
      <c r="K253" s="34">
        <v>1344903.29</v>
      </c>
      <c r="L253" s="34">
        <v>1855117.27</v>
      </c>
      <c r="M253" s="46"/>
      <c r="O253" s="46"/>
    </row>
    <row r="254" spans="1:15" x14ac:dyDescent="0.2">
      <c r="A254" s="5">
        <v>226</v>
      </c>
      <c r="B254" s="28">
        <f t="shared" ca="1" si="17"/>
        <v>111727.66216632766</v>
      </c>
      <c r="C254" s="29">
        <f t="shared" ca="1" si="16"/>
        <v>0.34530563731985298</v>
      </c>
      <c r="D254" s="30">
        <f t="shared" ca="1" si="15"/>
        <v>1.8263710279003136E-2</v>
      </c>
      <c r="E254" s="56">
        <v>55156.76</v>
      </c>
      <c r="F254" s="56">
        <v>112429.38</v>
      </c>
      <c r="G254" s="56">
        <v>211692.79999999999</v>
      </c>
      <c r="H254" s="34">
        <v>529512.6</v>
      </c>
      <c r="I254" s="34">
        <v>503359.54</v>
      </c>
      <c r="J254" s="34">
        <v>746557.23</v>
      </c>
      <c r="K254" s="34">
        <v>1301993.22</v>
      </c>
      <c r="L254" s="34">
        <v>3344129.98</v>
      </c>
      <c r="M254" s="46"/>
      <c r="O254" s="46"/>
    </row>
    <row r="255" spans="1:15" x14ac:dyDescent="0.2">
      <c r="A255" s="5">
        <v>227</v>
      </c>
      <c r="B255" s="28">
        <f t="shared" ca="1" si="17"/>
        <v>114050.48205832159</v>
      </c>
      <c r="C255" s="29">
        <f t="shared" ca="1" si="16"/>
        <v>0.30885574338519217</v>
      </c>
      <c r="D255" s="30">
        <f t="shared" ca="1" si="15"/>
        <v>1.6775649590361694E-2</v>
      </c>
      <c r="E255" s="56">
        <v>52299.88</v>
      </c>
      <c r="F255" s="56">
        <v>139668.87</v>
      </c>
      <c r="G255" s="56">
        <v>285419.38</v>
      </c>
      <c r="H255" s="34">
        <v>627341.4</v>
      </c>
      <c r="I255" s="34">
        <v>928502.21</v>
      </c>
      <c r="J255" s="34">
        <v>1799127.32</v>
      </c>
      <c r="K255" s="34">
        <v>1521859.32</v>
      </c>
      <c r="L255" s="34">
        <v>2062950.22</v>
      </c>
      <c r="M255" s="46"/>
      <c r="O255" s="46"/>
    </row>
    <row r="256" spans="1:15" x14ac:dyDescent="0.2">
      <c r="A256" s="5">
        <v>228</v>
      </c>
      <c r="B256" s="28">
        <f t="shared" ca="1" si="17"/>
        <v>112872.1875726008</v>
      </c>
      <c r="C256" s="29">
        <f t="shared" ca="1" si="16"/>
        <v>-0.45145604203863854</v>
      </c>
      <c r="D256" s="30">
        <f t="shared" ca="1" si="15"/>
        <v>-1.4263949071518942E-2</v>
      </c>
      <c r="E256" s="56">
        <v>47095.86</v>
      </c>
      <c r="F256" s="56">
        <v>102501.73</v>
      </c>
      <c r="G256" s="56">
        <v>312585.23</v>
      </c>
      <c r="H256" s="34">
        <v>235896.31</v>
      </c>
      <c r="I256" s="34">
        <v>611794.81999999995</v>
      </c>
      <c r="J256" s="34">
        <v>813402.32</v>
      </c>
      <c r="K256" s="34">
        <v>1146651.18</v>
      </c>
      <c r="L256" s="34">
        <v>931634.7</v>
      </c>
      <c r="M256" s="46"/>
      <c r="O256" s="46"/>
    </row>
    <row r="257" spans="1:15" x14ac:dyDescent="0.2">
      <c r="A257" s="5">
        <v>229</v>
      </c>
      <c r="B257" s="28">
        <f t="shared" ca="1" si="17"/>
        <v>118591.9296282647</v>
      </c>
      <c r="C257" s="29">
        <f t="shared" ca="1" si="16"/>
        <v>1.0418702783954539</v>
      </c>
      <c r="D257" s="30">
        <f t="shared" ca="1" si="15"/>
        <v>4.6700842670671976E-2</v>
      </c>
      <c r="E257" s="56">
        <v>57115.839999999997</v>
      </c>
      <c r="F257" s="56">
        <v>184673.22</v>
      </c>
      <c r="G257" s="56">
        <v>562413.69999999995</v>
      </c>
      <c r="H257" s="34">
        <v>1248777.95</v>
      </c>
      <c r="I257" s="34">
        <v>2161766.2000000002</v>
      </c>
      <c r="J257" s="34">
        <v>3806106.93</v>
      </c>
      <c r="K257" s="34">
        <v>12400462.35</v>
      </c>
      <c r="L257" s="34">
        <v>6561060.7800000003</v>
      </c>
      <c r="M257" s="46"/>
      <c r="O257" s="46"/>
    </row>
    <row r="258" spans="1:15" x14ac:dyDescent="0.2">
      <c r="A258" s="5">
        <v>230</v>
      </c>
      <c r="B258" s="28">
        <f t="shared" ca="1" si="17"/>
        <v>118790.73357700289</v>
      </c>
      <c r="C258" s="29">
        <f t="shared" ca="1" si="16"/>
        <v>-0.15363949242858838</v>
      </c>
      <c r="D258" s="30">
        <f t="shared" ca="1" si="15"/>
        <v>-2.1056393465040167E-3</v>
      </c>
      <c r="E258" s="56">
        <v>69466.710000000006</v>
      </c>
      <c r="F258" s="56">
        <v>166129.51999999999</v>
      </c>
      <c r="G258" s="56">
        <v>417144.2</v>
      </c>
      <c r="H258" s="34">
        <v>411350.37</v>
      </c>
      <c r="I258" s="34">
        <v>742625.64</v>
      </c>
      <c r="J258" s="34">
        <v>1727732.67</v>
      </c>
      <c r="K258" s="34">
        <v>4693264.66</v>
      </c>
      <c r="L258" s="34">
        <v>14844529.23</v>
      </c>
      <c r="M258" s="46"/>
      <c r="O258" s="46"/>
    </row>
    <row r="259" spans="1:15" x14ac:dyDescent="0.2">
      <c r="A259" s="5">
        <v>231</v>
      </c>
      <c r="B259" s="28">
        <f t="shared" ca="1" si="17"/>
        <v>122497.83470317697</v>
      </c>
      <c r="C259" s="29">
        <f t="shared" ca="1" si="16"/>
        <v>0.56986503283521517</v>
      </c>
      <c r="D259" s="30">
        <f t="shared" ca="1" si="15"/>
        <v>2.7431309211677642E-2</v>
      </c>
      <c r="E259" s="56">
        <v>48415.3</v>
      </c>
      <c r="F259" s="56">
        <v>98466.39</v>
      </c>
      <c r="G259" s="56">
        <v>204050.49</v>
      </c>
      <c r="H259" s="34">
        <v>534995.79</v>
      </c>
      <c r="I259" s="34">
        <v>699773.12</v>
      </c>
      <c r="J259" s="34">
        <v>1139472.47</v>
      </c>
      <c r="K259" s="34">
        <v>3046334.4</v>
      </c>
      <c r="L259" s="34">
        <v>3678288.77</v>
      </c>
      <c r="M259" s="46"/>
      <c r="O259" s="46"/>
    </row>
    <row r="260" spans="1:15" x14ac:dyDescent="0.2">
      <c r="A260" s="5">
        <v>232</v>
      </c>
      <c r="B260" s="28">
        <f t="shared" ca="1" si="17"/>
        <v>119451.71179249175</v>
      </c>
      <c r="C260" s="29">
        <f t="shared" ca="1" si="16"/>
        <v>-0.80085659849992641</v>
      </c>
      <c r="D260" s="30">
        <f t="shared" ca="1" si="15"/>
        <v>-2.8528167057763267E-2</v>
      </c>
      <c r="E260" s="56">
        <v>50384.68</v>
      </c>
      <c r="F260" s="56">
        <v>77283.02</v>
      </c>
      <c r="G260" s="56">
        <v>403517.1</v>
      </c>
      <c r="H260" s="34">
        <v>602143.5</v>
      </c>
      <c r="I260" s="34">
        <v>933993.53</v>
      </c>
      <c r="J260" s="34">
        <v>1790963.19</v>
      </c>
      <c r="K260" s="34">
        <v>2666012.4500000002</v>
      </c>
      <c r="L260" s="34">
        <v>2823810.91</v>
      </c>
      <c r="M260" s="46"/>
      <c r="O260" s="46"/>
    </row>
    <row r="261" spans="1:15" x14ac:dyDescent="0.2">
      <c r="A261" s="5">
        <v>233</v>
      </c>
      <c r="B261" s="28">
        <f t="shared" ca="1" si="17"/>
        <v>115822.20009484541</v>
      </c>
      <c r="C261" s="29">
        <f t="shared" ca="1" si="16"/>
        <v>-0.93830680549937895</v>
      </c>
      <c r="D261" s="30">
        <f t="shared" ca="1" si="15"/>
        <v>-3.4139548260906323E-2</v>
      </c>
      <c r="E261" s="56">
        <v>59508.63</v>
      </c>
      <c r="F261" s="56">
        <v>229209.43</v>
      </c>
      <c r="G261" s="56">
        <v>300886.88</v>
      </c>
      <c r="H261" s="34">
        <v>445860.62</v>
      </c>
      <c r="I261" s="34">
        <v>836922.85</v>
      </c>
      <c r="J261" s="34">
        <v>2340879.6800000002</v>
      </c>
      <c r="K261" s="34">
        <v>3856857.53</v>
      </c>
      <c r="L261" s="34">
        <v>6532670.0599999996</v>
      </c>
      <c r="M261" s="46"/>
      <c r="O261" s="46"/>
    </row>
    <row r="262" spans="1:15" x14ac:dyDescent="0.2">
      <c r="A262" s="5">
        <v>234</v>
      </c>
      <c r="B262" s="28">
        <f t="shared" ca="1" si="17"/>
        <v>119845.58728868258</v>
      </c>
      <c r="C262" s="29">
        <f t="shared" ca="1" si="16"/>
        <v>0.65397699830801037</v>
      </c>
      <c r="D262" s="30">
        <f t="shared" ca="1" si="15"/>
        <v>3.0865165822860054E-2</v>
      </c>
      <c r="E262" s="56">
        <v>53006.27</v>
      </c>
      <c r="F262" s="56">
        <v>274812.96999999997</v>
      </c>
      <c r="G262" s="56">
        <v>420405.39</v>
      </c>
      <c r="H262" s="34">
        <v>1033812.46</v>
      </c>
      <c r="I262" s="34">
        <v>1283722.3</v>
      </c>
      <c r="J262" s="34">
        <v>3180035.14</v>
      </c>
      <c r="K262" s="34">
        <v>8623826.6699999999</v>
      </c>
      <c r="L262" s="34">
        <v>21534055.260000002</v>
      </c>
      <c r="M262" s="46"/>
      <c r="O262" s="46"/>
    </row>
    <row r="263" spans="1:15" x14ac:dyDescent="0.2">
      <c r="A263" s="5">
        <v>235</v>
      </c>
      <c r="B263" s="28">
        <f t="shared" ca="1" si="17"/>
        <v>124610.31388054696</v>
      </c>
      <c r="C263" s="29">
        <f t="shared" ca="1" si="16"/>
        <v>0.78011593208015262</v>
      </c>
      <c r="D263" s="30">
        <f t="shared" ca="1" si="15"/>
        <v>3.6014766230201209E-2</v>
      </c>
      <c r="E263" s="56">
        <v>29756.81</v>
      </c>
      <c r="F263" s="56">
        <v>98422.53</v>
      </c>
      <c r="G263" s="56">
        <v>178394.1</v>
      </c>
      <c r="H263" s="34">
        <v>332828.74</v>
      </c>
      <c r="I263" s="34">
        <v>371842.09</v>
      </c>
      <c r="J263" s="34">
        <v>753550.02</v>
      </c>
      <c r="K263" s="34">
        <v>593893.31999999995</v>
      </c>
      <c r="L263" s="34">
        <v>835602.11</v>
      </c>
      <c r="M263" s="46"/>
      <c r="O263" s="46"/>
    </row>
    <row r="264" spans="1:15" x14ac:dyDescent="0.2">
      <c r="A264" s="5">
        <v>236</v>
      </c>
      <c r="B264" s="28">
        <f t="shared" ca="1" si="17"/>
        <v>122121.08340100829</v>
      </c>
      <c r="C264" s="29">
        <f t="shared" ca="1" si="16"/>
        <v>-0.67954070261869226</v>
      </c>
      <c r="D264" s="30">
        <f t="shared" ca="1" si="15"/>
        <v>-2.3575466347802679E-2</v>
      </c>
      <c r="E264" s="56">
        <v>48660.28</v>
      </c>
      <c r="F264" s="56">
        <v>198671.88</v>
      </c>
      <c r="G264" s="56">
        <v>369279.02</v>
      </c>
      <c r="H264" s="34">
        <v>612806.93999999994</v>
      </c>
      <c r="I264" s="34">
        <v>751068.56</v>
      </c>
      <c r="J264" s="34">
        <v>1736667.68</v>
      </c>
      <c r="K264" s="34">
        <v>2415780.61</v>
      </c>
      <c r="L264" s="34">
        <v>3514789.85</v>
      </c>
      <c r="M264" s="46"/>
      <c r="O264" s="46"/>
    </row>
    <row r="265" spans="1:15" x14ac:dyDescent="0.2">
      <c r="A265" s="5">
        <v>237</v>
      </c>
      <c r="B265" s="28">
        <f t="shared" ca="1" si="17"/>
        <v>130523.21574914966</v>
      </c>
      <c r="C265" s="29">
        <f t="shared" ca="1" si="16"/>
        <v>1.4932646027103185</v>
      </c>
      <c r="D265" s="30">
        <f t="shared" ca="1" si="15"/>
        <v>6.5128938793335381E-2</v>
      </c>
      <c r="E265" s="56">
        <v>57296.38</v>
      </c>
      <c r="F265" s="56">
        <v>81563.14</v>
      </c>
      <c r="G265" s="56">
        <v>181728.5</v>
      </c>
      <c r="H265" s="34">
        <v>502119.81</v>
      </c>
      <c r="I265" s="34">
        <v>1011148.55</v>
      </c>
      <c r="J265" s="34">
        <v>1753701.1</v>
      </c>
      <c r="K265" s="34">
        <v>2313117.2200000002</v>
      </c>
      <c r="L265" s="34">
        <v>3448039.29</v>
      </c>
      <c r="M265" s="46"/>
      <c r="O265" s="46"/>
    </row>
    <row r="266" spans="1:15" x14ac:dyDescent="0.2">
      <c r="A266" s="5">
        <v>238</v>
      </c>
      <c r="B266" s="28">
        <f t="shared" ca="1" si="17"/>
        <v>132255.78940376025</v>
      </c>
      <c r="C266" s="29">
        <f t="shared" ca="1" si="16"/>
        <v>0.13891318762343166</v>
      </c>
      <c r="D266" s="30">
        <f t="shared" ca="1" si="15"/>
        <v>9.8377738036818495E-3</v>
      </c>
      <c r="E266" s="56">
        <v>96432.71</v>
      </c>
      <c r="F266" s="56">
        <v>243832.63</v>
      </c>
      <c r="G266" s="56">
        <v>682931.85</v>
      </c>
      <c r="H266" s="34">
        <v>1217456.3600000001</v>
      </c>
      <c r="I266" s="34">
        <v>1040411.55</v>
      </c>
      <c r="J266" s="34">
        <v>1251433.54</v>
      </c>
      <c r="K266" s="34">
        <v>3820416.97</v>
      </c>
      <c r="L266" s="34">
        <v>6634880.4299999997</v>
      </c>
      <c r="M266" s="46"/>
      <c r="O266" s="46"/>
    </row>
    <row r="267" spans="1:15" x14ac:dyDescent="0.2">
      <c r="A267" s="5">
        <v>239</v>
      </c>
      <c r="B267" s="28">
        <f t="shared" ca="1" si="17"/>
        <v>131362.15718050837</v>
      </c>
      <c r="C267" s="29">
        <f t="shared" ca="1" si="16"/>
        <v>-0.35063930215266581</v>
      </c>
      <c r="D267" s="30">
        <f t="shared" ca="1" si="15"/>
        <v>-1.0148122900660108E-2</v>
      </c>
      <c r="E267" s="56">
        <v>56700.57</v>
      </c>
      <c r="F267" s="56">
        <v>210434.09</v>
      </c>
      <c r="G267" s="56">
        <v>536286.51</v>
      </c>
      <c r="H267" s="34">
        <v>1401837.11</v>
      </c>
      <c r="I267" s="34">
        <v>672223.1</v>
      </c>
      <c r="J267" s="34">
        <v>2373252.42</v>
      </c>
      <c r="K267" s="34">
        <v>3056461.61</v>
      </c>
      <c r="L267" s="34">
        <v>5926628.2000000002</v>
      </c>
      <c r="M267" s="46"/>
      <c r="O267" s="46"/>
    </row>
    <row r="268" spans="1:15" x14ac:dyDescent="0.2">
      <c r="A268" s="5">
        <v>240</v>
      </c>
      <c r="B268" s="28">
        <f t="shared" ca="1" si="17"/>
        <v>140162.66615943779</v>
      </c>
      <c r="C268" s="29">
        <f t="shared" ca="1" si="16"/>
        <v>1.4553211271517779</v>
      </c>
      <c r="D268" s="30">
        <f t="shared" ca="1" si="15"/>
        <v>6.3579902890232229E-2</v>
      </c>
      <c r="E268" s="56">
        <v>67084.11</v>
      </c>
      <c r="F268" s="56">
        <v>160136.98000000001</v>
      </c>
      <c r="G268" s="56">
        <v>153740.74</v>
      </c>
      <c r="H268" s="34">
        <v>817372.84</v>
      </c>
      <c r="I268" s="34">
        <v>900986.66</v>
      </c>
      <c r="J268" s="34">
        <v>624003.66</v>
      </c>
      <c r="K268" s="34">
        <v>365550.15</v>
      </c>
      <c r="L268" s="34">
        <v>643956.74</v>
      </c>
      <c r="M268" s="46"/>
      <c r="O268" s="46"/>
    </row>
    <row r="269" spans="1:15" x14ac:dyDescent="0.2">
      <c r="A269" s="5">
        <v>241</v>
      </c>
      <c r="B269" s="28">
        <f t="shared" ref="B269:B292" ca="1" si="18">(B268*(1+D269))+($C$6*(1+$C$8)^10)</f>
        <v>140685.85308126261</v>
      </c>
      <c r="C269" s="29">
        <f t="shared" ca="1" si="16"/>
        <v>-9.1363992227300531E-2</v>
      </c>
      <c r="D269" s="30">
        <f t="shared" ca="1" si="15"/>
        <v>4.367473029917553E-4</v>
      </c>
      <c r="E269" s="56">
        <v>64363.49</v>
      </c>
      <c r="F269" s="56">
        <v>251045.61</v>
      </c>
      <c r="G269" s="56">
        <v>402679.69</v>
      </c>
      <c r="H269" s="34">
        <v>1178193.97</v>
      </c>
      <c r="I269" s="34">
        <v>1555031.35</v>
      </c>
      <c r="J269" s="34">
        <v>2488134.65</v>
      </c>
      <c r="K269" s="34">
        <v>8036901.2000000002</v>
      </c>
      <c r="L269" s="34">
        <v>6194501.6799999997</v>
      </c>
      <c r="M269" s="46"/>
      <c r="O269" s="46"/>
    </row>
    <row r="270" spans="1:15" x14ac:dyDescent="0.2">
      <c r="A270" s="5">
        <v>242</v>
      </c>
      <c r="B270" s="28">
        <f t="shared" ca="1" si="18"/>
        <v>149226.51516362472</v>
      </c>
      <c r="C270" s="29">
        <f t="shared" ca="1" si="16"/>
        <v>1.3045235848865697</v>
      </c>
      <c r="D270" s="30">
        <f t="shared" ca="1" si="15"/>
        <v>5.7423619006639885E-2</v>
      </c>
      <c r="E270" s="56">
        <v>39572.18</v>
      </c>
      <c r="F270" s="56">
        <v>116763.28</v>
      </c>
      <c r="G270" s="56">
        <v>252347.65</v>
      </c>
      <c r="H270" s="34">
        <v>412011.54</v>
      </c>
      <c r="I270" s="34">
        <v>1272672.8700000001</v>
      </c>
      <c r="J270" s="34">
        <v>2524102.4500000002</v>
      </c>
      <c r="K270" s="34">
        <v>3421556.83</v>
      </c>
      <c r="L270" s="34">
        <v>3589057.87</v>
      </c>
      <c r="M270" s="46"/>
      <c r="O270" s="46"/>
    </row>
    <row r="271" spans="1:15" x14ac:dyDescent="0.2">
      <c r="A271" s="5">
        <v>243</v>
      </c>
      <c r="B271" s="28">
        <f t="shared" ca="1" si="18"/>
        <v>161939.54569323032</v>
      </c>
      <c r="C271" s="29">
        <f t="shared" ca="1" si="16"/>
        <v>1.908897172628899</v>
      </c>
      <c r="D271" s="30">
        <f t="shared" ca="1" si="15"/>
        <v>8.209706740637164E-2</v>
      </c>
      <c r="E271" s="56">
        <v>40509.07</v>
      </c>
      <c r="F271" s="56">
        <v>102720.89</v>
      </c>
      <c r="G271" s="56">
        <v>264123.03000000003</v>
      </c>
      <c r="H271" s="34">
        <v>1172551.29</v>
      </c>
      <c r="I271" s="34">
        <v>1242763.8799999999</v>
      </c>
      <c r="J271" s="34">
        <v>3161467.07</v>
      </c>
      <c r="K271" s="34">
        <v>2135929.36</v>
      </c>
      <c r="L271" s="34">
        <v>3851953.38</v>
      </c>
      <c r="M271" s="46"/>
      <c r="O271" s="46"/>
    </row>
    <row r="272" spans="1:15" x14ac:dyDescent="0.2">
      <c r="A272" s="5">
        <v>244</v>
      </c>
      <c r="B272" s="28">
        <f t="shared" ca="1" si="18"/>
        <v>153760.75317501178</v>
      </c>
      <c r="C272" s="29">
        <f t="shared" ca="1" si="16"/>
        <v>-1.4090598255542592</v>
      </c>
      <c r="D272" s="30">
        <f t="shared" ca="1" si="15"/>
        <v>-5.3357959827716878E-2</v>
      </c>
      <c r="E272" s="56">
        <v>43790.44</v>
      </c>
      <c r="F272" s="56">
        <v>154648.13</v>
      </c>
      <c r="G272" s="56">
        <v>181522.07</v>
      </c>
      <c r="H272" s="34">
        <v>373950.89</v>
      </c>
      <c r="I272" s="34">
        <v>562422.31999999995</v>
      </c>
      <c r="J272" s="34">
        <v>879580.73</v>
      </c>
      <c r="K272" s="34">
        <v>1213519.0900000001</v>
      </c>
      <c r="L272" s="34">
        <v>4199354.51</v>
      </c>
      <c r="M272" s="46"/>
      <c r="O272" s="46"/>
    </row>
    <row r="273" spans="1:15" x14ac:dyDescent="0.2">
      <c r="A273" s="5">
        <v>245</v>
      </c>
      <c r="B273" s="28">
        <f t="shared" ca="1" si="18"/>
        <v>161214.02186207703</v>
      </c>
      <c r="C273" s="29">
        <f t="shared" ca="1" si="16"/>
        <v>1.0116884127318482</v>
      </c>
      <c r="D273" s="30">
        <f t="shared" ca="1" si="15"/>
        <v>4.5468673164654277E-2</v>
      </c>
      <c r="E273" s="56">
        <v>51476.97</v>
      </c>
      <c r="F273" s="56">
        <v>145188.82999999999</v>
      </c>
      <c r="G273" s="56">
        <v>459513.15</v>
      </c>
      <c r="H273" s="34">
        <v>448546.21</v>
      </c>
      <c r="I273" s="34">
        <v>1526404.6</v>
      </c>
      <c r="J273" s="34">
        <v>1384764.16</v>
      </c>
      <c r="K273" s="34">
        <v>1714278.75</v>
      </c>
      <c r="L273" s="34">
        <v>3431682.93</v>
      </c>
      <c r="M273" s="46"/>
      <c r="O273" s="46"/>
    </row>
    <row r="274" spans="1:15" x14ac:dyDescent="0.2">
      <c r="A274" s="5">
        <v>246</v>
      </c>
      <c r="B274" s="28">
        <f t="shared" ca="1" si="18"/>
        <v>168410.92205777613</v>
      </c>
      <c r="C274" s="29">
        <f t="shared" ca="1" si="16"/>
        <v>0.92124465759829888</v>
      </c>
      <c r="D274" s="30">
        <f t="shared" ca="1" si="15"/>
        <v>4.1776322323013905E-2</v>
      </c>
      <c r="E274" s="56">
        <v>48747.54</v>
      </c>
      <c r="F274" s="56">
        <v>105187.8</v>
      </c>
      <c r="G274" s="56">
        <v>122996.35</v>
      </c>
      <c r="H274" s="34">
        <v>368866.45</v>
      </c>
      <c r="I274" s="34">
        <v>689869.77</v>
      </c>
      <c r="J274" s="34">
        <v>795067.46</v>
      </c>
      <c r="K274" s="34">
        <v>1231737.97</v>
      </c>
      <c r="L274" s="34">
        <v>3341945.15</v>
      </c>
      <c r="M274" s="46"/>
      <c r="O274" s="46"/>
    </row>
    <row r="275" spans="1:15" x14ac:dyDescent="0.2">
      <c r="A275" s="5">
        <v>247</v>
      </c>
      <c r="B275" s="28">
        <f t="shared" ca="1" si="18"/>
        <v>167014.49254649942</v>
      </c>
      <c r="C275" s="29">
        <f t="shared" ca="1" si="16"/>
        <v>-0.37236126463584079</v>
      </c>
      <c r="D275" s="30">
        <f t="shared" ca="1" si="15"/>
        <v>-1.1034918305587744E-2</v>
      </c>
      <c r="E275" s="56">
        <v>60553.18</v>
      </c>
      <c r="F275" s="56">
        <v>92943.92</v>
      </c>
      <c r="G275" s="56">
        <v>220515.91</v>
      </c>
      <c r="H275" s="34">
        <v>304174.59000000003</v>
      </c>
      <c r="I275" s="34">
        <v>581733.77</v>
      </c>
      <c r="J275" s="34">
        <v>1909906.45</v>
      </c>
      <c r="K275" s="34">
        <v>3932567.75</v>
      </c>
      <c r="L275" s="34">
        <v>5575708.0199999996</v>
      </c>
      <c r="M275" s="46"/>
      <c r="O275" s="46"/>
    </row>
    <row r="276" spans="1:15" x14ac:dyDescent="0.2">
      <c r="A276" s="5">
        <v>248</v>
      </c>
      <c r="B276" s="28">
        <f t="shared" ca="1" si="18"/>
        <v>166322.77721248518</v>
      </c>
      <c r="C276" s="29">
        <f t="shared" ca="1" si="16"/>
        <v>-0.27126556053296796</v>
      </c>
      <c r="D276" s="30">
        <f t="shared" ca="1" si="15"/>
        <v>-6.9077034682639071E-3</v>
      </c>
      <c r="E276" s="56">
        <v>41382.46</v>
      </c>
      <c r="F276" s="56">
        <v>114462.55</v>
      </c>
      <c r="G276" s="56">
        <v>169470.98</v>
      </c>
      <c r="H276" s="34">
        <v>229658.2</v>
      </c>
      <c r="I276" s="34">
        <v>705277.51</v>
      </c>
      <c r="J276" s="34">
        <v>1569264.81</v>
      </c>
      <c r="K276" s="34">
        <v>2140844</v>
      </c>
      <c r="L276" s="34">
        <v>5118523.57</v>
      </c>
      <c r="M276" s="46"/>
      <c r="O276" s="46"/>
    </row>
    <row r="277" spans="1:15" x14ac:dyDescent="0.2">
      <c r="A277" s="5">
        <v>249</v>
      </c>
      <c r="B277" s="28">
        <f t="shared" ca="1" si="18"/>
        <v>161515.58921401453</v>
      </c>
      <c r="C277" s="29">
        <f t="shared" ca="1" si="16"/>
        <v>-0.87806832754742836</v>
      </c>
      <c r="D277" s="30">
        <f t="shared" ca="1" si="15"/>
        <v>-3.1680322696503428E-2</v>
      </c>
      <c r="E277" s="56">
        <v>45042.05</v>
      </c>
      <c r="F277" s="56">
        <v>105383.29</v>
      </c>
      <c r="G277" s="56">
        <v>412143.4</v>
      </c>
      <c r="H277" s="34">
        <v>521767.04</v>
      </c>
      <c r="I277" s="34">
        <v>1380036.21</v>
      </c>
      <c r="J277" s="34">
        <v>2363980.6800000002</v>
      </c>
      <c r="K277" s="34">
        <v>6331784.8300000001</v>
      </c>
      <c r="L277" s="34">
        <v>19132443.18</v>
      </c>
      <c r="M277" s="46"/>
      <c r="O277" s="46"/>
    </row>
    <row r="278" spans="1:15" x14ac:dyDescent="0.2">
      <c r="A278" s="5">
        <v>250</v>
      </c>
      <c r="B278" s="28">
        <f t="shared" ca="1" si="18"/>
        <v>170357.77659723989</v>
      </c>
      <c r="C278" s="29">
        <f t="shared" ca="1" si="16"/>
        <v>1.1688526141525117</v>
      </c>
      <c r="D278" s="30">
        <f t="shared" ca="1" si="15"/>
        <v>5.1884874819864688E-2</v>
      </c>
      <c r="E278" s="56">
        <v>53704.63</v>
      </c>
      <c r="F278" s="56">
        <v>99304.41</v>
      </c>
      <c r="G278" s="56">
        <v>269401.48</v>
      </c>
      <c r="H278" s="34">
        <v>580363.68999999994</v>
      </c>
      <c r="I278" s="34">
        <v>1714865.16</v>
      </c>
      <c r="J278" s="34">
        <v>2572606.46</v>
      </c>
      <c r="K278" s="34">
        <v>7290323.5899999999</v>
      </c>
      <c r="L278" s="34">
        <v>13391566.810000001</v>
      </c>
      <c r="M278" s="46"/>
      <c r="O278" s="46"/>
    </row>
    <row r="279" spans="1:15" x14ac:dyDescent="0.2">
      <c r="A279" s="5">
        <v>251</v>
      </c>
      <c r="B279" s="28">
        <f t="shared" ca="1" si="18"/>
        <v>172731.01372532398</v>
      </c>
      <c r="C279" s="29">
        <f t="shared" ca="1" si="16"/>
        <v>0.17274934159616886</v>
      </c>
      <c r="D279" s="30">
        <f t="shared" ca="1" si="15"/>
        <v>1.1219129005206052E-2</v>
      </c>
      <c r="E279" s="56">
        <v>59527.199999999997</v>
      </c>
      <c r="F279" s="56">
        <v>139693.5</v>
      </c>
      <c r="G279" s="56">
        <v>139834.66</v>
      </c>
      <c r="H279" s="34">
        <v>185806.55</v>
      </c>
      <c r="I279" s="34">
        <v>194623.61</v>
      </c>
      <c r="J279" s="34">
        <v>290236.15999999997</v>
      </c>
      <c r="K279" s="34">
        <v>945102.7</v>
      </c>
      <c r="L279" s="34">
        <v>1089727.27</v>
      </c>
      <c r="M279" s="46"/>
      <c r="O279" s="46"/>
    </row>
    <row r="280" spans="1:15" x14ac:dyDescent="0.2">
      <c r="A280" s="5">
        <v>252</v>
      </c>
      <c r="B280" s="28">
        <f t="shared" ca="1" si="18"/>
        <v>170350.86564984967</v>
      </c>
      <c r="C280" s="29">
        <f t="shared" ca="1" si="16"/>
        <v>-0.5051015730852817</v>
      </c>
      <c r="D280" s="30">
        <f t="shared" ca="1" si="15"/>
        <v>-1.6454018705600756E-2</v>
      </c>
      <c r="E280" s="56">
        <v>63839.42</v>
      </c>
      <c r="F280" s="56">
        <v>236019.5</v>
      </c>
      <c r="G280" s="56">
        <v>530507.29</v>
      </c>
      <c r="H280" s="34">
        <v>1300808.25</v>
      </c>
      <c r="I280" s="34">
        <v>1617414.53</v>
      </c>
      <c r="J280" s="34">
        <v>2298495.5299999998</v>
      </c>
      <c r="K280" s="34">
        <v>5061486.0999999996</v>
      </c>
      <c r="L280" s="34">
        <v>8775197.6500000004</v>
      </c>
      <c r="M280" s="46"/>
      <c r="O280" s="46"/>
    </row>
    <row r="281" spans="1:15" x14ac:dyDescent="0.2">
      <c r="A281" s="5">
        <v>253</v>
      </c>
      <c r="B281" s="28">
        <f t="shared" ca="1" si="18"/>
        <v>177960.02557782666</v>
      </c>
      <c r="C281" s="29">
        <f t="shared" ca="1" si="16"/>
        <v>0.92563833127863671</v>
      </c>
      <c r="D281" s="30">
        <f t="shared" ca="1" si="15"/>
        <v>4.1955693299899302E-2</v>
      </c>
      <c r="E281" s="56">
        <v>47867.38</v>
      </c>
      <c r="F281" s="56">
        <v>66609.33</v>
      </c>
      <c r="G281" s="56">
        <v>255162.89</v>
      </c>
      <c r="H281" s="34">
        <v>611234.59</v>
      </c>
      <c r="I281" s="34">
        <v>714879.55</v>
      </c>
      <c r="J281" s="34">
        <v>974300.27</v>
      </c>
      <c r="K281" s="34">
        <v>2517512.96</v>
      </c>
      <c r="L281" s="34">
        <v>5308366.1399999997</v>
      </c>
      <c r="M281" s="46"/>
      <c r="O281" s="46"/>
    </row>
    <row r="282" spans="1:15" x14ac:dyDescent="0.2">
      <c r="A282" s="5">
        <v>254</v>
      </c>
      <c r="B282" s="28">
        <f t="shared" ca="1" si="18"/>
        <v>171921.22940360205</v>
      </c>
      <c r="C282" s="29">
        <f t="shared" ca="1" si="16"/>
        <v>-0.99684521772849377</v>
      </c>
      <c r="D282" s="30">
        <f t="shared" ca="1" si="15"/>
        <v>-3.6529368932806824E-2</v>
      </c>
      <c r="E282" s="56">
        <v>59171.41</v>
      </c>
      <c r="F282" s="56">
        <v>229369.9</v>
      </c>
      <c r="G282" s="56">
        <v>365264.09</v>
      </c>
      <c r="H282" s="34">
        <v>343753.21</v>
      </c>
      <c r="I282" s="34">
        <v>509535.3</v>
      </c>
      <c r="J282" s="34">
        <v>1179962.25</v>
      </c>
      <c r="K282" s="34">
        <v>2866849.01</v>
      </c>
      <c r="L282" s="34">
        <v>2432490.02</v>
      </c>
      <c r="M282" s="46"/>
      <c r="O282" s="46"/>
    </row>
    <row r="283" spans="1:15" x14ac:dyDescent="0.2">
      <c r="A283" s="5">
        <v>255</v>
      </c>
      <c r="B283" s="28">
        <f t="shared" ca="1" si="18"/>
        <v>182683.05846766123</v>
      </c>
      <c r="C283" s="29">
        <f t="shared" ca="1" si="16"/>
        <v>1.3654353471010932</v>
      </c>
      <c r="D283" s="30">
        <f t="shared" ca="1" si="15"/>
        <v>5.9910331285961939E-2</v>
      </c>
      <c r="E283" s="56">
        <v>50143.66</v>
      </c>
      <c r="F283" s="56">
        <v>117705.54</v>
      </c>
      <c r="G283" s="56">
        <v>230381.77</v>
      </c>
      <c r="H283" s="34">
        <v>280955.78999999998</v>
      </c>
      <c r="I283" s="34">
        <v>240386</v>
      </c>
      <c r="J283" s="34">
        <v>1009205.04</v>
      </c>
      <c r="K283" s="34">
        <v>1102830.95</v>
      </c>
      <c r="L283" s="34">
        <v>991350.8</v>
      </c>
      <c r="M283" s="46"/>
      <c r="O283" s="46"/>
    </row>
    <row r="284" spans="1:15" x14ac:dyDescent="0.2">
      <c r="A284" s="5">
        <v>256</v>
      </c>
      <c r="B284" s="28">
        <f t="shared" ca="1" si="18"/>
        <v>175313.85334330442</v>
      </c>
      <c r="C284" s="29">
        <f t="shared" ca="1" si="16"/>
        <v>-1.1520984786757422</v>
      </c>
      <c r="D284" s="30">
        <f t="shared" ca="1" si="15"/>
        <v>-4.286755676987225E-2</v>
      </c>
      <c r="E284" s="56">
        <v>81528.66</v>
      </c>
      <c r="F284" s="56">
        <v>104093.86</v>
      </c>
      <c r="G284" s="56">
        <v>232434.06</v>
      </c>
      <c r="H284" s="34">
        <v>523074.82</v>
      </c>
      <c r="I284" s="34">
        <v>1428919.19</v>
      </c>
      <c r="J284" s="34">
        <v>2016109.08</v>
      </c>
      <c r="K284" s="34">
        <v>3703075.02</v>
      </c>
      <c r="L284" s="34">
        <v>5236546.8</v>
      </c>
      <c r="M284" s="46"/>
      <c r="O284" s="46"/>
    </row>
    <row r="285" spans="1:15" x14ac:dyDescent="0.2">
      <c r="A285" s="5">
        <v>257</v>
      </c>
      <c r="B285" s="28">
        <f t="shared" ca="1" si="18"/>
        <v>168290.58408292796</v>
      </c>
      <c r="C285" s="29">
        <f t="shared" ca="1" si="16"/>
        <v>-1.1479018346200702</v>
      </c>
      <c r="D285" s="30">
        <f t="shared" ca="1" si="15"/>
        <v>-4.2696229493730906E-2</v>
      </c>
      <c r="E285" s="56">
        <v>55198.27</v>
      </c>
      <c r="F285" s="56">
        <v>102117.83</v>
      </c>
      <c r="G285" s="56">
        <v>169191.88</v>
      </c>
      <c r="H285" s="34">
        <v>459569.13</v>
      </c>
      <c r="I285" s="34">
        <v>623336.65</v>
      </c>
      <c r="J285" s="34">
        <v>1212040.05</v>
      </c>
      <c r="K285" s="34">
        <v>1596152.52</v>
      </c>
      <c r="L285" s="34">
        <v>1185311.32</v>
      </c>
      <c r="M285" s="46"/>
      <c r="O285" s="46"/>
    </row>
    <row r="286" spans="1:15" x14ac:dyDescent="0.2">
      <c r="A286" s="5">
        <v>258</v>
      </c>
      <c r="B286" s="28">
        <f t="shared" ca="1" si="18"/>
        <v>167544.22629396839</v>
      </c>
      <c r="C286" s="29">
        <f t="shared" ca="1" si="16"/>
        <v>-0.27793582195218403</v>
      </c>
      <c r="D286" s="30">
        <f t="shared" ref="D286:D349" ca="1" si="19">$D$20+(C286*$D$21)</f>
        <v>-7.1800157503981088E-3</v>
      </c>
      <c r="E286" s="56">
        <v>37650.21</v>
      </c>
      <c r="F286" s="56">
        <v>138208.39000000001</v>
      </c>
      <c r="G286" s="56">
        <v>629060.39</v>
      </c>
      <c r="H286" s="34">
        <v>1846604.25</v>
      </c>
      <c r="I286" s="34">
        <v>2148368.39</v>
      </c>
      <c r="J286" s="34">
        <v>2821662.78</v>
      </c>
      <c r="K286" s="34">
        <v>3358452.67</v>
      </c>
      <c r="L286" s="34">
        <v>6664330.9299999997</v>
      </c>
      <c r="M286" s="46"/>
      <c r="O286" s="46"/>
    </row>
    <row r="287" spans="1:15" x14ac:dyDescent="0.2">
      <c r="A287" s="5">
        <v>259</v>
      </c>
      <c r="B287" s="28">
        <f t="shared" ca="1" si="18"/>
        <v>172744.03360689216</v>
      </c>
      <c r="C287" s="29">
        <f t="shared" ref="C287:C350" ca="1" si="20">NORMSINV(RAND())</f>
        <v>0.59060762317716509</v>
      </c>
      <c r="D287" s="30">
        <f t="shared" ca="1" si="19"/>
        <v>2.8278121916366972E-2</v>
      </c>
      <c r="E287" s="56">
        <v>48583.95</v>
      </c>
      <c r="F287" s="56">
        <v>118430.24</v>
      </c>
      <c r="G287" s="56">
        <v>208057.58</v>
      </c>
      <c r="H287" s="34">
        <v>377017.17</v>
      </c>
      <c r="I287" s="34">
        <v>956009.61</v>
      </c>
      <c r="J287" s="34">
        <v>1614018.31</v>
      </c>
      <c r="K287" s="34">
        <v>2022095.78</v>
      </c>
      <c r="L287" s="34">
        <v>1966932.1</v>
      </c>
      <c r="M287" s="46"/>
      <c r="O287" s="46"/>
    </row>
    <row r="288" spans="1:15" x14ac:dyDescent="0.2">
      <c r="A288" s="5">
        <v>260</v>
      </c>
      <c r="B288" s="28">
        <f t="shared" ca="1" si="18"/>
        <v>176372.75683112891</v>
      </c>
      <c r="C288" s="29">
        <f t="shared" ca="1" si="20"/>
        <v>0.34697957030742271</v>
      </c>
      <c r="D288" s="30">
        <f t="shared" ca="1" si="19"/>
        <v>1.8332048307055777E-2</v>
      </c>
      <c r="E288" s="56">
        <v>43200.84</v>
      </c>
      <c r="F288" s="56">
        <v>101276.33</v>
      </c>
      <c r="G288" s="56">
        <v>333188.49</v>
      </c>
      <c r="H288" s="34">
        <v>854454.94</v>
      </c>
      <c r="I288" s="34">
        <v>1286611.8</v>
      </c>
      <c r="J288" s="34">
        <v>3178526.99</v>
      </c>
      <c r="K288" s="34">
        <v>5433398.8099999996</v>
      </c>
      <c r="L288" s="34">
        <v>6395802.3399999999</v>
      </c>
      <c r="M288" s="46"/>
      <c r="O288" s="46"/>
    </row>
    <row r="289" spans="1:15" x14ac:dyDescent="0.2">
      <c r="A289" s="5">
        <v>261</v>
      </c>
      <c r="B289" s="28">
        <f t="shared" ca="1" si="18"/>
        <v>174153.4367623048</v>
      </c>
      <c r="C289" s="29">
        <f t="shared" ca="1" si="20"/>
        <v>-0.47444359650334128</v>
      </c>
      <c r="D289" s="30">
        <f t="shared" ca="1" si="19"/>
        <v>-1.5202412052734926E-2</v>
      </c>
      <c r="E289" s="56">
        <v>53358.43</v>
      </c>
      <c r="F289" s="56">
        <v>108772.45</v>
      </c>
      <c r="G289" s="56">
        <v>209148.32</v>
      </c>
      <c r="H289" s="34">
        <v>646274.06999999995</v>
      </c>
      <c r="I289" s="34">
        <v>1400477.62</v>
      </c>
      <c r="J289" s="34">
        <v>2894800.92</v>
      </c>
      <c r="K289" s="34">
        <v>9154317.0099999998</v>
      </c>
      <c r="L289" s="34">
        <v>4077971.44</v>
      </c>
      <c r="M289" s="46"/>
      <c r="O289" s="46"/>
    </row>
    <row r="290" spans="1:15" x14ac:dyDescent="0.2">
      <c r="A290" s="5">
        <v>262</v>
      </c>
      <c r="B290" s="28">
        <f t="shared" ca="1" si="18"/>
        <v>173078.72324722447</v>
      </c>
      <c r="C290" s="29">
        <f t="shared" ca="1" si="20"/>
        <v>-0.31819869634042558</v>
      </c>
      <c r="D290" s="30">
        <f t="shared" ca="1" si="19"/>
        <v>-8.8237407142141948E-3</v>
      </c>
      <c r="E290" s="56">
        <v>52049.99</v>
      </c>
      <c r="F290" s="56">
        <v>105724.13</v>
      </c>
      <c r="G290" s="56">
        <v>185911.65</v>
      </c>
      <c r="H290" s="34">
        <v>773345.01</v>
      </c>
      <c r="I290" s="34">
        <v>1827517.25</v>
      </c>
      <c r="J290" s="34">
        <v>4173622.88</v>
      </c>
      <c r="K290" s="34">
        <v>5708299.7800000003</v>
      </c>
      <c r="L290" s="34">
        <v>13827357.33</v>
      </c>
      <c r="M290" s="46"/>
      <c r="O290" s="46"/>
    </row>
    <row r="291" spans="1:15" x14ac:dyDescent="0.2">
      <c r="A291" s="5">
        <v>263</v>
      </c>
      <c r="B291" s="28">
        <f t="shared" ca="1" si="18"/>
        <v>186964.30531591177</v>
      </c>
      <c r="C291" s="29">
        <f t="shared" ca="1" si="20"/>
        <v>1.7977091055718164</v>
      </c>
      <c r="D291" s="30">
        <f t="shared" ca="1" si="19"/>
        <v>7.7557833576768098E-2</v>
      </c>
      <c r="E291" s="56">
        <v>42483.86</v>
      </c>
      <c r="F291" s="56">
        <v>165790.16</v>
      </c>
      <c r="G291" s="56">
        <v>420963.25</v>
      </c>
      <c r="H291" s="34">
        <v>418571.8</v>
      </c>
      <c r="I291" s="34">
        <v>460370.98</v>
      </c>
      <c r="J291" s="34">
        <v>1190785.48</v>
      </c>
      <c r="K291" s="34">
        <v>1551631.2</v>
      </c>
      <c r="L291" s="34">
        <v>2394514.35</v>
      </c>
      <c r="M291" s="46"/>
      <c r="O291" s="46"/>
    </row>
    <row r="292" spans="1:15" x14ac:dyDescent="0.2">
      <c r="A292" s="5">
        <v>264</v>
      </c>
      <c r="B292" s="28">
        <f t="shared" ca="1" si="18"/>
        <v>182241.43231200709</v>
      </c>
      <c r="C292" s="29">
        <f t="shared" ca="1" si="20"/>
        <v>-0.78134803629948935</v>
      </c>
      <c r="D292" s="30">
        <f t="shared" ca="1" si="19"/>
        <v>-2.7731733340989627E-2</v>
      </c>
      <c r="E292" s="56">
        <v>44619.53</v>
      </c>
      <c r="F292" s="56">
        <v>107216.93</v>
      </c>
      <c r="G292" s="56">
        <v>448571.12</v>
      </c>
      <c r="H292" s="34">
        <v>804286.59</v>
      </c>
      <c r="I292" s="34">
        <v>1218324.76</v>
      </c>
      <c r="J292" s="34">
        <v>2163051.4700000002</v>
      </c>
      <c r="K292" s="34">
        <v>5908132.8399999999</v>
      </c>
      <c r="L292" s="34">
        <v>5027778.82</v>
      </c>
      <c r="M292" s="46"/>
      <c r="O292" s="46"/>
    </row>
    <row r="293" spans="1:15" x14ac:dyDescent="0.2">
      <c r="A293" s="5">
        <v>265</v>
      </c>
      <c r="B293" s="28">
        <f t="shared" ref="B293:B316" ca="1" si="21">(B292*(1+D293))+($C$6*(1+$C$8)^11)</f>
        <v>171587.42943616922</v>
      </c>
      <c r="C293" s="29">
        <f t="shared" ca="1" si="20"/>
        <v>-1.5980123669695212</v>
      </c>
      <c r="D293" s="30">
        <f t="shared" ca="1" si="19"/>
        <v>-6.1071915028875171E-2</v>
      </c>
      <c r="E293" s="56">
        <v>61687.27</v>
      </c>
      <c r="F293" s="56">
        <v>186376.93</v>
      </c>
      <c r="G293" s="56">
        <v>881451.86</v>
      </c>
      <c r="H293" s="34">
        <v>1204367.52</v>
      </c>
      <c r="I293" s="34">
        <v>2309852.61</v>
      </c>
      <c r="J293" s="34">
        <v>4352002.8499999996</v>
      </c>
      <c r="K293" s="34">
        <v>6479914.8200000003</v>
      </c>
      <c r="L293" s="34">
        <v>9298911.7699999996</v>
      </c>
      <c r="M293" s="46"/>
      <c r="O293" s="46"/>
    </row>
    <row r="294" spans="1:15" x14ac:dyDescent="0.2">
      <c r="A294" s="5">
        <v>266</v>
      </c>
      <c r="B294" s="28">
        <f t="shared" ca="1" si="21"/>
        <v>180238.78674553629</v>
      </c>
      <c r="C294" s="29">
        <f t="shared" ca="1" si="20"/>
        <v>1.065032124735354</v>
      </c>
      <c r="D294" s="30">
        <f t="shared" ca="1" si="19"/>
        <v>4.7646421087897066E-2</v>
      </c>
      <c r="E294" s="56">
        <v>80533.289999999994</v>
      </c>
      <c r="F294" s="56">
        <v>137656.79</v>
      </c>
      <c r="G294" s="56">
        <v>781507.83</v>
      </c>
      <c r="H294" s="34">
        <v>608479.31999999995</v>
      </c>
      <c r="I294" s="34">
        <v>1136491.29</v>
      </c>
      <c r="J294" s="34">
        <v>2198552.61</v>
      </c>
      <c r="K294" s="34">
        <v>4129471.84</v>
      </c>
      <c r="L294" s="34">
        <v>4163017.84</v>
      </c>
      <c r="M294" s="46"/>
      <c r="O294" s="46"/>
    </row>
    <row r="295" spans="1:15" x14ac:dyDescent="0.2">
      <c r="A295" s="5">
        <v>267</v>
      </c>
      <c r="B295" s="28">
        <f t="shared" ca="1" si="21"/>
        <v>179989.03357143005</v>
      </c>
      <c r="C295" s="29">
        <f t="shared" ca="1" si="20"/>
        <v>-0.20067067609146283</v>
      </c>
      <c r="D295" s="30">
        <f t="shared" ca="1" si="19"/>
        <v>-4.0256793793900627E-3</v>
      </c>
      <c r="E295" s="56">
        <v>61281.23</v>
      </c>
      <c r="F295" s="56">
        <v>101586.67</v>
      </c>
      <c r="G295" s="56">
        <v>176053.04</v>
      </c>
      <c r="H295" s="34">
        <v>342961.47</v>
      </c>
      <c r="I295" s="34">
        <v>455534.67</v>
      </c>
      <c r="J295" s="34">
        <v>524711.71</v>
      </c>
      <c r="K295" s="34">
        <v>807489.16</v>
      </c>
      <c r="L295" s="34">
        <v>2069282.2</v>
      </c>
      <c r="M295" s="46"/>
      <c r="O295" s="46"/>
    </row>
    <row r="296" spans="1:15" x14ac:dyDescent="0.2">
      <c r="A296" s="5">
        <v>268</v>
      </c>
      <c r="B296" s="28">
        <f t="shared" ca="1" si="21"/>
        <v>187347.80221759144</v>
      </c>
      <c r="C296" s="29">
        <f t="shared" ca="1" si="20"/>
        <v>0.8346442542440623</v>
      </c>
      <c r="D296" s="30">
        <f t="shared" ca="1" si="19"/>
        <v>3.8240875660729097E-2</v>
      </c>
      <c r="E296" s="56">
        <v>55010.83</v>
      </c>
      <c r="F296" s="56">
        <v>116409.9</v>
      </c>
      <c r="G296" s="56">
        <v>363380.51</v>
      </c>
      <c r="H296" s="34">
        <v>779701.52</v>
      </c>
      <c r="I296" s="34">
        <v>1478986</v>
      </c>
      <c r="J296" s="34">
        <v>2580831.41</v>
      </c>
      <c r="K296" s="34">
        <v>12111759.949999999</v>
      </c>
      <c r="L296" s="34">
        <v>18120513.32</v>
      </c>
      <c r="M296" s="46"/>
      <c r="O296" s="46"/>
    </row>
    <row r="297" spans="1:15" x14ac:dyDescent="0.2">
      <c r="A297" s="5">
        <v>269</v>
      </c>
      <c r="B297" s="28">
        <f t="shared" ca="1" si="21"/>
        <v>186773.03770238379</v>
      </c>
      <c r="C297" s="29">
        <f t="shared" ca="1" si="20"/>
        <v>-0.2394227152904243</v>
      </c>
      <c r="D297" s="30">
        <f t="shared" ca="1" si="19"/>
        <v>-5.6077247548865254E-3</v>
      </c>
      <c r="E297" s="56">
        <v>41697.07</v>
      </c>
      <c r="F297" s="56">
        <v>131265.75</v>
      </c>
      <c r="G297" s="56">
        <v>325390.53000000003</v>
      </c>
      <c r="H297" s="34">
        <v>355898.84</v>
      </c>
      <c r="I297" s="34">
        <v>844739.84</v>
      </c>
      <c r="J297" s="34">
        <v>995824.99</v>
      </c>
      <c r="K297" s="34">
        <v>1318120.8999999999</v>
      </c>
      <c r="L297" s="34">
        <v>1426932.68</v>
      </c>
      <c r="M297" s="46"/>
      <c r="O297" s="46"/>
    </row>
    <row r="298" spans="1:15" x14ac:dyDescent="0.2">
      <c r="A298" s="5">
        <v>270</v>
      </c>
      <c r="B298" s="28">
        <f t="shared" ca="1" si="21"/>
        <v>185320.08532058759</v>
      </c>
      <c r="C298" s="29">
        <f t="shared" ca="1" si="20"/>
        <v>-0.35501794254186442</v>
      </c>
      <c r="D298" s="30">
        <f t="shared" ca="1" si="19"/>
        <v>-1.0326880146004743E-2</v>
      </c>
      <c r="E298" s="56">
        <v>74443.100000000006</v>
      </c>
      <c r="F298" s="56">
        <v>162637.04</v>
      </c>
      <c r="G298" s="56">
        <v>275545.99</v>
      </c>
      <c r="H298" s="34">
        <v>527574.79</v>
      </c>
      <c r="I298" s="34">
        <v>953977.48</v>
      </c>
      <c r="J298" s="34">
        <v>3111316.91</v>
      </c>
      <c r="K298" s="34">
        <v>6168314.0700000003</v>
      </c>
      <c r="L298" s="34">
        <v>6846715.9800000004</v>
      </c>
      <c r="M298" s="46"/>
      <c r="O298" s="46"/>
    </row>
    <row r="299" spans="1:15" x14ac:dyDescent="0.2">
      <c r="A299" s="5">
        <v>271</v>
      </c>
      <c r="B299" s="28">
        <f t="shared" ca="1" si="21"/>
        <v>175149.90229068472</v>
      </c>
      <c r="C299" s="29">
        <f t="shared" ca="1" si="20"/>
        <v>-1.5092112564711249</v>
      </c>
      <c r="D299" s="30">
        <f t="shared" ca="1" si="19"/>
        <v>-5.7446624873648884E-2</v>
      </c>
      <c r="E299" s="56">
        <v>48742.1</v>
      </c>
      <c r="F299" s="56">
        <v>152144.46</v>
      </c>
      <c r="G299" s="56">
        <v>545867.29</v>
      </c>
      <c r="H299" s="34">
        <v>637230.31999999995</v>
      </c>
      <c r="I299" s="34">
        <v>1032687.61</v>
      </c>
      <c r="J299" s="34">
        <v>1533915.74</v>
      </c>
      <c r="K299" s="34">
        <v>2384427.37</v>
      </c>
      <c r="L299" s="34">
        <v>4740636.9400000004</v>
      </c>
      <c r="M299" s="46"/>
      <c r="O299" s="46"/>
    </row>
    <row r="300" spans="1:15" x14ac:dyDescent="0.2">
      <c r="A300" s="5">
        <v>272</v>
      </c>
      <c r="B300" s="28">
        <f t="shared" ca="1" si="21"/>
        <v>168903.59293086926</v>
      </c>
      <c r="C300" s="29">
        <f t="shared" ca="1" si="20"/>
        <v>-1.0421603632162115</v>
      </c>
      <c r="D300" s="30">
        <f t="shared" ca="1" si="19"/>
        <v>-3.8379352000555027E-2</v>
      </c>
      <c r="E300" s="56">
        <v>69661.179999999993</v>
      </c>
      <c r="F300" s="56">
        <v>450264.43</v>
      </c>
      <c r="G300" s="56">
        <v>812674.03</v>
      </c>
      <c r="H300" s="34">
        <v>1321579.73</v>
      </c>
      <c r="I300" s="34">
        <v>4027710.4</v>
      </c>
      <c r="J300" s="34">
        <v>4260253.24</v>
      </c>
      <c r="K300" s="34">
        <v>5385760.1900000004</v>
      </c>
      <c r="L300" s="34">
        <v>18001879.41</v>
      </c>
      <c r="M300" s="46"/>
      <c r="O300" s="46"/>
    </row>
    <row r="301" spans="1:15" x14ac:dyDescent="0.2">
      <c r="A301" s="5">
        <v>273</v>
      </c>
      <c r="B301" s="28">
        <f t="shared" ca="1" si="21"/>
        <v>164526.41407547038</v>
      </c>
      <c r="C301" s="29">
        <f t="shared" ca="1" si="20"/>
        <v>-0.80585979352064085</v>
      </c>
      <c r="D301" s="30">
        <f t="shared" ca="1" si="19"/>
        <v>-2.8732421639169663E-2</v>
      </c>
      <c r="E301" s="56">
        <v>38801.85</v>
      </c>
      <c r="F301" s="56">
        <v>86615.34</v>
      </c>
      <c r="G301" s="56">
        <v>183394.15</v>
      </c>
      <c r="H301" s="34">
        <v>349514.6</v>
      </c>
      <c r="I301" s="34">
        <v>337912.31</v>
      </c>
      <c r="J301" s="34">
        <v>715423.31</v>
      </c>
      <c r="K301" s="34">
        <v>1015293.5</v>
      </c>
      <c r="L301" s="34">
        <v>2155475.5299999998</v>
      </c>
      <c r="M301" s="46"/>
      <c r="O301" s="46"/>
    </row>
    <row r="302" spans="1:15" x14ac:dyDescent="0.2">
      <c r="A302" s="5">
        <v>274</v>
      </c>
      <c r="B302" s="28">
        <f t="shared" ca="1" si="21"/>
        <v>158529.01915467452</v>
      </c>
      <c r="C302" s="29">
        <f t="shared" ca="1" si="20"/>
        <v>-1.0658039190616486</v>
      </c>
      <c r="D302" s="30">
        <f t="shared" ca="1" si="19"/>
        <v>-3.9344596125993683E-2</v>
      </c>
      <c r="E302" s="56">
        <v>69335.47</v>
      </c>
      <c r="F302" s="56">
        <v>181688.47</v>
      </c>
      <c r="G302" s="56">
        <v>269333.32</v>
      </c>
      <c r="H302" s="34">
        <v>364394.66</v>
      </c>
      <c r="I302" s="34">
        <v>898698.69</v>
      </c>
      <c r="J302" s="34">
        <v>3095457.27</v>
      </c>
      <c r="K302" s="34">
        <v>4587194.72</v>
      </c>
      <c r="L302" s="34">
        <v>8719246.9199999999</v>
      </c>
      <c r="M302" s="46"/>
      <c r="O302" s="46"/>
    </row>
    <row r="303" spans="1:15" x14ac:dyDescent="0.2">
      <c r="A303" s="5">
        <v>275</v>
      </c>
      <c r="B303" s="28">
        <f t="shared" ca="1" si="21"/>
        <v>158133.21234558581</v>
      </c>
      <c r="C303" s="29">
        <f t="shared" ca="1" si="20"/>
        <v>-0.23674191845618334</v>
      </c>
      <c r="D303" s="30">
        <f t="shared" ca="1" si="19"/>
        <v>-5.4982816824205452E-3</v>
      </c>
      <c r="E303" s="56">
        <v>49431.18</v>
      </c>
      <c r="F303" s="56">
        <v>91326.79</v>
      </c>
      <c r="G303" s="56">
        <v>193333.99</v>
      </c>
      <c r="H303" s="34">
        <v>287278.84999999998</v>
      </c>
      <c r="I303" s="34">
        <v>641229.51</v>
      </c>
      <c r="J303" s="34">
        <v>1169010.5900000001</v>
      </c>
      <c r="K303" s="34">
        <v>1768570.96</v>
      </c>
      <c r="L303" s="34">
        <v>4909010.71</v>
      </c>
      <c r="M303" s="46"/>
      <c r="O303" s="46"/>
    </row>
    <row r="304" spans="1:15" x14ac:dyDescent="0.2">
      <c r="A304" s="5">
        <v>276</v>
      </c>
      <c r="B304" s="28">
        <f t="shared" ca="1" si="21"/>
        <v>159393.84747783953</v>
      </c>
      <c r="C304" s="29">
        <f t="shared" ca="1" si="20"/>
        <v>1.9504493333364868E-2</v>
      </c>
      <c r="D304" s="30">
        <f t="shared" ca="1" si="19"/>
        <v>4.962934272637669E-3</v>
      </c>
      <c r="E304" s="56">
        <v>42011.91</v>
      </c>
      <c r="F304" s="56">
        <v>181588.16</v>
      </c>
      <c r="G304" s="56">
        <v>354231.2</v>
      </c>
      <c r="H304" s="34">
        <v>330555.25</v>
      </c>
      <c r="I304" s="34">
        <v>812733.9</v>
      </c>
      <c r="J304" s="34">
        <v>1272898.33</v>
      </c>
      <c r="K304" s="34">
        <v>1466535.1</v>
      </c>
      <c r="L304" s="34">
        <v>1525615.75</v>
      </c>
      <c r="M304" s="46"/>
      <c r="O304" s="46"/>
    </row>
    <row r="305" spans="1:15" x14ac:dyDescent="0.2">
      <c r="A305" s="5">
        <v>277</v>
      </c>
      <c r="B305" s="28">
        <f t="shared" ca="1" si="21"/>
        <v>150296.21597618377</v>
      </c>
      <c r="C305" s="29">
        <f t="shared" ca="1" si="20"/>
        <v>-1.5732667072425242</v>
      </c>
      <c r="D305" s="30">
        <f t="shared" ca="1" si="19"/>
        <v>-6.0061677700880473E-2</v>
      </c>
      <c r="E305" s="56">
        <v>39755.81</v>
      </c>
      <c r="F305" s="56">
        <v>177423.69</v>
      </c>
      <c r="G305" s="56">
        <v>372140.16</v>
      </c>
      <c r="H305" s="34">
        <v>355452.09</v>
      </c>
      <c r="I305" s="34">
        <v>457303.15</v>
      </c>
      <c r="J305" s="34">
        <v>822915.43</v>
      </c>
      <c r="K305" s="34">
        <v>1152235.29</v>
      </c>
      <c r="L305" s="34">
        <v>1419992.85</v>
      </c>
      <c r="M305" s="46"/>
      <c r="O305" s="46"/>
    </row>
    <row r="306" spans="1:15" x14ac:dyDescent="0.2">
      <c r="A306" s="5">
        <v>278</v>
      </c>
      <c r="B306" s="28">
        <f t="shared" ca="1" si="21"/>
        <v>148966.87852809933</v>
      </c>
      <c r="C306" s="29">
        <f t="shared" ca="1" si="20"/>
        <v>-0.39626376506508482</v>
      </c>
      <c r="D306" s="30">
        <f t="shared" ca="1" si="19"/>
        <v>-1.2010733799392808E-2</v>
      </c>
      <c r="E306" s="56">
        <v>39235.550000000003</v>
      </c>
      <c r="F306" s="56">
        <v>155208.07</v>
      </c>
      <c r="G306" s="56">
        <v>240391.42</v>
      </c>
      <c r="H306" s="34">
        <v>585047.85</v>
      </c>
      <c r="I306" s="34">
        <v>671706.89</v>
      </c>
      <c r="J306" s="34">
        <v>1345558.14</v>
      </c>
      <c r="K306" s="34">
        <v>1976462.39</v>
      </c>
      <c r="L306" s="34">
        <v>3578145.72</v>
      </c>
      <c r="M306" s="46"/>
      <c r="O306" s="46"/>
    </row>
    <row r="307" spans="1:15" x14ac:dyDescent="0.2">
      <c r="A307" s="5">
        <v>279</v>
      </c>
      <c r="B307" s="28">
        <f t="shared" ca="1" si="21"/>
        <v>156066.83159374524</v>
      </c>
      <c r="C307" s="29">
        <f t="shared" ca="1" si="20"/>
        <v>0.98715458425130609</v>
      </c>
      <c r="D307" s="30">
        <f t="shared" ca="1" si="19"/>
        <v>4.4467083811082782E-2</v>
      </c>
      <c r="E307" s="56">
        <v>66175.14</v>
      </c>
      <c r="F307" s="56">
        <v>259321.87</v>
      </c>
      <c r="G307" s="56">
        <v>955663.5</v>
      </c>
      <c r="H307" s="34">
        <v>1450259.6</v>
      </c>
      <c r="I307" s="34">
        <v>3689804.94</v>
      </c>
      <c r="J307" s="34">
        <v>4280664.5999999996</v>
      </c>
      <c r="K307" s="34">
        <v>12837347.949999999</v>
      </c>
      <c r="L307" s="34">
        <v>22726192.27</v>
      </c>
      <c r="M307" s="46"/>
      <c r="O307" s="46"/>
    </row>
    <row r="308" spans="1:15" x14ac:dyDescent="0.2">
      <c r="A308" s="5">
        <v>280</v>
      </c>
      <c r="B308" s="28">
        <f t="shared" ca="1" si="21"/>
        <v>151524.76738642901</v>
      </c>
      <c r="C308" s="29">
        <f t="shared" ca="1" si="20"/>
        <v>-0.88962732453237736</v>
      </c>
      <c r="D308" s="30">
        <f t="shared" ca="1" si="19"/>
        <v>-3.2152216772361672E-2</v>
      </c>
      <c r="E308" s="56">
        <v>35383.19</v>
      </c>
      <c r="F308" s="56">
        <v>81138.740000000005</v>
      </c>
      <c r="G308" s="56">
        <v>157861.31</v>
      </c>
      <c r="H308" s="34">
        <v>412972.03</v>
      </c>
      <c r="I308" s="34">
        <v>692339.82</v>
      </c>
      <c r="J308" s="34">
        <v>705926.47</v>
      </c>
      <c r="K308" s="34">
        <v>688877.78</v>
      </c>
      <c r="L308" s="34">
        <v>1132888.31</v>
      </c>
      <c r="M308" s="46"/>
      <c r="O308" s="46"/>
    </row>
    <row r="309" spans="1:15" x14ac:dyDescent="0.2">
      <c r="A309" s="5">
        <v>281</v>
      </c>
      <c r="B309" s="28">
        <f t="shared" ca="1" si="21"/>
        <v>149289.34781969758</v>
      </c>
      <c r="C309" s="29">
        <f t="shared" ca="1" si="20"/>
        <v>-0.54035206844861883</v>
      </c>
      <c r="D309" s="30">
        <f t="shared" ca="1" si="19"/>
        <v>-1.789311415260943E-2</v>
      </c>
      <c r="E309" s="56">
        <v>45829.64</v>
      </c>
      <c r="F309" s="56">
        <v>260876.27</v>
      </c>
      <c r="G309" s="56">
        <v>384253.71</v>
      </c>
      <c r="H309" s="34">
        <v>655946.59</v>
      </c>
      <c r="I309" s="34">
        <v>1199806.3700000001</v>
      </c>
      <c r="J309" s="34">
        <v>1736115.07</v>
      </c>
      <c r="K309" s="34">
        <v>1849170.33</v>
      </c>
      <c r="L309" s="34">
        <v>3922214.61</v>
      </c>
      <c r="M309" s="46"/>
      <c r="O309" s="46"/>
    </row>
    <row r="310" spans="1:15" x14ac:dyDescent="0.2">
      <c r="A310" s="5">
        <v>282</v>
      </c>
      <c r="B310" s="28">
        <f t="shared" ca="1" si="21"/>
        <v>158416.99602296425</v>
      </c>
      <c r="C310" s="29">
        <f t="shared" ca="1" si="20"/>
        <v>1.3174992887292054</v>
      </c>
      <c r="D310" s="30">
        <f t="shared" ca="1" si="19"/>
        <v>5.7953349897772025E-2</v>
      </c>
      <c r="E310" s="56">
        <v>41105.699999999997</v>
      </c>
      <c r="F310" s="56">
        <v>235204.67</v>
      </c>
      <c r="G310" s="56">
        <v>292687.65000000002</v>
      </c>
      <c r="H310" s="34">
        <v>1250214.54</v>
      </c>
      <c r="I310" s="34">
        <v>3042388.83</v>
      </c>
      <c r="J310" s="34">
        <v>1732380.85</v>
      </c>
      <c r="K310" s="34">
        <v>3081648.11</v>
      </c>
      <c r="L310" s="34">
        <v>1927016.18</v>
      </c>
      <c r="M310" s="46"/>
      <c r="O310" s="46"/>
    </row>
    <row r="311" spans="1:15" x14ac:dyDescent="0.2">
      <c r="A311" s="5">
        <v>283</v>
      </c>
      <c r="B311" s="28">
        <f t="shared" ca="1" si="21"/>
        <v>156701.93948115673</v>
      </c>
      <c r="C311" s="29">
        <f t="shared" ca="1" si="20"/>
        <v>-0.44082339300999146</v>
      </c>
      <c r="D311" s="30">
        <f t="shared" ca="1" si="19"/>
        <v>-1.3829872992614199E-2</v>
      </c>
      <c r="E311" s="56">
        <v>48591.23</v>
      </c>
      <c r="F311" s="56">
        <v>132349.18</v>
      </c>
      <c r="G311" s="56">
        <v>252712.18</v>
      </c>
      <c r="H311" s="34">
        <v>348336.6</v>
      </c>
      <c r="I311" s="34">
        <v>292323.87</v>
      </c>
      <c r="J311" s="34">
        <v>548784.54</v>
      </c>
      <c r="K311" s="34">
        <v>2548957.2799999998</v>
      </c>
      <c r="L311" s="34">
        <v>2394023.7200000002</v>
      </c>
      <c r="M311" s="46"/>
      <c r="O311" s="46"/>
    </row>
    <row r="312" spans="1:15" x14ac:dyDescent="0.2">
      <c r="A312" s="5">
        <v>284</v>
      </c>
      <c r="B312" s="28">
        <f t="shared" ca="1" si="21"/>
        <v>151955.47464446066</v>
      </c>
      <c r="C312" s="29">
        <f t="shared" ca="1" si="20"/>
        <v>-0.91838627647912086</v>
      </c>
      <c r="D312" s="30">
        <f t="shared" ca="1" si="19"/>
        <v>-3.3326296069140712E-2</v>
      </c>
      <c r="E312" s="56">
        <v>69506.14</v>
      </c>
      <c r="F312" s="56">
        <v>125463.89</v>
      </c>
      <c r="G312" s="56">
        <v>200470.98</v>
      </c>
      <c r="H312" s="34">
        <v>192745.61</v>
      </c>
      <c r="I312" s="34">
        <v>303303.11</v>
      </c>
      <c r="J312" s="34">
        <v>611935.19999999995</v>
      </c>
      <c r="K312" s="34">
        <v>429326.66</v>
      </c>
      <c r="L312" s="34">
        <v>604437.86</v>
      </c>
      <c r="M312" s="46"/>
      <c r="O312" s="46"/>
    </row>
    <row r="313" spans="1:15" x14ac:dyDescent="0.2">
      <c r="A313" s="5">
        <v>285</v>
      </c>
      <c r="B313" s="28">
        <f t="shared" ca="1" si="21"/>
        <v>163974.02074081992</v>
      </c>
      <c r="C313" s="29">
        <f t="shared" ca="1" si="20"/>
        <v>1.7585990049295392</v>
      </c>
      <c r="D313" s="30">
        <f t="shared" ca="1" si="19"/>
        <v>7.5961170404060169E-2</v>
      </c>
      <c r="E313" s="56">
        <v>79324.67</v>
      </c>
      <c r="F313" s="56">
        <v>125695.92</v>
      </c>
      <c r="G313" s="56">
        <v>166812.04999999999</v>
      </c>
      <c r="H313" s="34">
        <v>372338.83</v>
      </c>
      <c r="I313" s="34">
        <v>310053</v>
      </c>
      <c r="J313" s="34">
        <v>678557.34</v>
      </c>
      <c r="K313" s="34">
        <v>2844899.01</v>
      </c>
      <c r="L313" s="34">
        <v>4695073.3600000003</v>
      </c>
      <c r="M313" s="46"/>
      <c r="O313" s="46"/>
    </row>
    <row r="314" spans="1:15" x14ac:dyDescent="0.2">
      <c r="A314" s="5">
        <v>286</v>
      </c>
      <c r="B314" s="28">
        <f t="shared" ca="1" si="21"/>
        <v>173721.90948391415</v>
      </c>
      <c r="C314" s="29">
        <f t="shared" ca="1" si="20"/>
        <v>1.2830239135836932</v>
      </c>
      <c r="D314" s="30">
        <f t="shared" ca="1" si="19"/>
        <v>5.6545898601146456E-2</v>
      </c>
      <c r="E314" s="56">
        <v>57865.03</v>
      </c>
      <c r="F314" s="56">
        <v>115675.8</v>
      </c>
      <c r="G314" s="56">
        <v>401783.12</v>
      </c>
      <c r="H314" s="34">
        <v>1088428.1000000001</v>
      </c>
      <c r="I314" s="34">
        <v>1942854.85</v>
      </c>
      <c r="J314" s="34">
        <v>1879994.51</v>
      </c>
      <c r="K314" s="34">
        <v>6053981.4900000002</v>
      </c>
      <c r="L314" s="34">
        <v>3582392.56</v>
      </c>
      <c r="M314" s="46"/>
      <c r="O314" s="46"/>
    </row>
    <row r="315" spans="1:15" x14ac:dyDescent="0.2">
      <c r="A315" s="5">
        <v>287</v>
      </c>
      <c r="B315" s="28">
        <f t="shared" ca="1" si="21"/>
        <v>174042.67985236575</v>
      </c>
      <c r="C315" s="29">
        <f t="shared" ca="1" si="20"/>
        <v>-0.12392563265430899</v>
      </c>
      <c r="D315" s="30">
        <f t="shared" ca="1" si="19"/>
        <v>-8.9257610091076581E-4</v>
      </c>
      <c r="E315" s="56">
        <v>87392.88</v>
      </c>
      <c r="F315" s="56">
        <v>224310.69</v>
      </c>
      <c r="G315" s="56">
        <v>493019.87</v>
      </c>
      <c r="H315" s="34">
        <v>326621.96999999997</v>
      </c>
      <c r="I315" s="34">
        <v>1088380.03</v>
      </c>
      <c r="J315" s="34">
        <v>1707704.99</v>
      </c>
      <c r="K315" s="34">
        <v>1819679.51</v>
      </c>
      <c r="L315" s="34">
        <v>2681805.7000000002</v>
      </c>
      <c r="M315" s="46"/>
      <c r="O315" s="46"/>
    </row>
    <row r="316" spans="1:15" x14ac:dyDescent="0.2">
      <c r="A316" s="5">
        <v>288</v>
      </c>
      <c r="B316" s="28">
        <f t="shared" ca="1" si="21"/>
        <v>180861.75289520301</v>
      </c>
      <c r="C316" s="29">
        <f t="shared" ca="1" si="20"/>
        <v>0.79069066020741874</v>
      </c>
      <c r="D316" s="30">
        <f t="shared" ca="1" si="19"/>
        <v>3.6446477698208857E-2</v>
      </c>
      <c r="E316" s="56">
        <v>89434.11</v>
      </c>
      <c r="F316" s="56">
        <v>197470.85</v>
      </c>
      <c r="G316" s="56">
        <v>589310.86</v>
      </c>
      <c r="H316" s="34">
        <v>539953.85</v>
      </c>
      <c r="I316" s="34">
        <v>1275066.81</v>
      </c>
      <c r="J316" s="34">
        <v>2495901.15</v>
      </c>
      <c r="K316" s="34">
        <v>7536271.6200000001</v>
      </c>
      <c r="L316" s="34">
        <v>11408000.890000001</v>
      </c>
      <c r="M316" s="46"/>
      <c r="O316" s="46"/>
    </row>
    <row r="317" spans="1:15" x14ac:dyDescent="0.2">
      <c r="A317" s="5">
        <v>289</v>
      </c>
      <c r="B317" s="28">
        <f t="shared" ref="B317:B340" ca="1" si="22">(B316*(1+D317))+($C$6*(1+$C$8)^12)</f>
        <v>178486.90264890355</v>
      </c>
      <c r="C317" s="29">
        <f t="shared" ca="1" si="20"/>
        <v>-0.49007552066348331</v>
      </c>
      <c r="D317" s="30">
        <f t="shared" ca="1" si="19"/>
        <v>-1.58405826842388E-2</v>
      </c>
      <c r="E317" s="56">
        <v>94107.65</v>
      </c>
      <c r="F317" s="56">
        <v>118917.85</v>
      </c>
      <c r="G317" s="56">
        <v>158054.22</v>
      </c>
      <c r="H317" s="34">
        <v>308276.21999999997</v>
      </c>
      <c r="I317" s="34">
        <v>475795.9</v>
      </c>
      <c r="J317" s="34">
        <v>309257.18</v>
      </c>
      <c r="K317" s="34">
        <v>703724.88</v>
      </c>
      <c r="L317" s="34">
        <v>926028.33</v>
      </c>
      <c r="M317" s="46"/>
      <c r="O317" s="46"/>
    </row>
    <row r="318" spans="1:15" x14ac:dyDescent="0.2">
      <c r="A318" s="5">
        <v>290</v>
      </c>
      <c r="B318" s="28">
        <f t="shared" ca="1" si="22"/>
        <v>176369.55684743662</v>
      </c>
      <c r="C318" s="29">
        <f t="shared" ca="1" si="20"/>
        <v>-0.45989923853417386</v>
      </c>
      <c r="D318" s="30">
        <f t="shared" ca="1" si="19"/>
        <v>-1.4608641125054219E-2</v>
      </c>
      <c r="E318" s="56">
        <v>67504.92</v>
      </c>
      <c r="F318" s="56">
        <v>281910.65999999997</v>
      </c>
      <c r="G318" s="56">
        <v>484994.01</v>
      </c>
      <c r="H318" s="34">
        <v>414486.26</v>
      </c>
      <c r="I318" s="34">
        <v>566885.27</v>
      </c>
      <c r="J318" s="34">
        <v>1095535.45</v>
      </c>
      <c r="K318" s="34">
        <v>2137810.4700000002</v>
      </c>
      <c r="L318" s="34">
        <v>3061993.29</v>
      </c>
      <c r="M318" s="46"/>
      <c r="O318" s="46"/>
    </row>
    <row r="319" spans="1:15" x14ac:dyDescent="0.2">
      <c r="A319" s="5">
        <v>291</v>
      </c>
      <c r="B319" s="28">
        <f t="shared" ca="1" si="22"/>
        <v>189902.01733526587</v>
      </c>
      <c r="C319" s="29">
        <f t="shared" ca="1" si="20"/>
        <v>1.7093114894364336</v>
      </c>
      <c r="D319" s="30">
        <f t="shared" ca="1" si="19"/>
        <v>7.3949016009933019E-2</v>
      </c>
      <c r="E319" s="56">
        <v>54804.43</v>
      </c>
      <c r="F319" s="56">
        <v>81093.91</v>
      </c>
      <c r="G319" s="56">
        <v>127148.8</v>
      </c>
      <c r="H319" s="34">
        <v>314077.74</v>
      </c>
      <c r="I319" s="34">
        <v>860569.44</v>
      </c>
      <c r="J319" s="34">
        <v>456547.67</v>
      </c>
      <c r="K319" s="34">
        <v>459905.42</v>
      </c>
      <c r="L319" s="34">
        <v>1039252.53</v>
      </c>
      <c r="M319" s="46"/>
      <c r="O319" s="46"/>
    </row>
    <row r="320" spans="1:15" x14ac:dyDescent="0.2">
      <c r="A320" s="5">
        <v>292</v>
      </c>
      <c r="B320" s="28">
        <f t="shared" ca="1" si="22"/>
        <v>206267.18676338351</v>
      </c>
      <c r="C320" s="29">
        <f t="shared" ca="1" si="20"/>
        <v>1.945615318157053</v>
      </c>
      <c r="D320" s="30">
        <f t="shared" ca="1" si="19"/>
        <v>8.3596079420458852E-2</v>
      </c>
      <c r="E320" s="56">
        <v>41680.17</v>
      </c>
      <c r="F320" s="56">
        <v>131435.87</v>
      </c>
      <c r="G320" s="56">
        <v>417349.02</v>
      </c>
      <c r="H320" s="34">
        <v>823137.24</v>
      </c>
      <c r="I320" s="34">
        <v>953240.17</v>
      </c>
      <c r="J320" s="34">
        <v>2271431.11</v>
      </c>
      <c r="K320" s="34">
        <v>5197559.5599999996</v>
      </c>
      <c r="L320" s="34">
        <v>19987284.539999999</v>
      </c>
      <c r="M320" s="46"/>
      <c r="O320" s="46"/>
    </row>
    <row r="321" spans="1:15" x14ac:dyDescent="0.2">
      <c r="A321" s="5">
        <v>293</v>
      </c>
      <c r="B321" s="28">
        <f t="shared" ca="1" si="22"/>
        <v>211096.33192563694</v>
      </c>
      <c r="C321" s="29">
        <f t="shared" ca="1" si="20"/>
        <v>0.41321298353831548</v>
      </c>
      <c r="D321" s="30">
        <f t="shared" ca="1" si="19"/>
        <v>2.1036016079365633E-2</v>
      </c>
      <c r="E321" s="56">
        <v>53430.080000000002</v>
      </c>
      <c r="F321" s="56">
        <v>74887.27</v>
      </c>
      <c r="G321" s="56">
        <v>176572.97</v>
      </c>
      <c r="H321" s="34">
        <v>335949.05</v>
      </c>
      <c r="I321" s="34">
        <v>950394.39</v>
      </c>
      <c r="J321" s="34">
        <v>846827.21</v>
      </c>
      <c r="K321" s="34">
        <v>1983883.08</v>
      </c>
      <c r="L321" s="34">
        <v>1749462.78</v>
      </c>
      <c r="M321" s="46"/>
      <c r="O321" s="46"/>
    </row>
    <row r="322" spans="1:15" x14ac:dyDescent="0.2">
      <c r="A322" s="5">
        <v>294</v>
      </c>
      <c r="B322" s="28">
        <f t="shared" ca="1" si="22"/>
        <v>215472.76777313655</v>
      </c>
      <c r="C322" s="29">
        <f t="shared" ca="1" si="20"/>
        <v>0.34889445109238354</v>
      </c>
      <c r="D322" s="30">
        <f t="shared" ca="1" si="19"/>
        <v>1.841022298774601E-2</v>
      </c>
      <c r="E322" s="56">
        <v>44636.06</v>
      </c>
      <c r="F322" s="56">
        <v>59095.48</v>
      </c>
      <c r="G322" s="56">
        <v>164949.74</v>
      </c>
      <c r="H322" s="34">
        <v>617602.38</v>
      </c>
      <c r="I322" s="34">
        <v>2109862.7200000002</v>
      </c>
      <c r="J322" s="34">
        <v>2467978.5299999998</v>
      </c>
      <c r="K322" s="34">
        <v>2869193.9</v>
      </c>
      <c r="L322" s="34">
        <v>4800519.6100000003</v>
      </c>
      <c r="M322" s="46"/>
      <c r="O322" s="46"/>
    </row>
    <row r="323" spans="1:15" x14ac:dyDescent="0.2">
      <c r="A323" s="5">
        <v>295</v>
      </c>
      <c r="B323" s="28">
        <f t="shared" ca="1" si="22"/>
        <v>214658.2935750717</v>
      </c>
      <c r="C323" s="29">
        <f t="shared" ca="1" si="20"/>
        <v>-0.25036638708079206</v>
      </c>
      <c r="D323" s="30">
        <f t="shared" ca="1" si="19"/>
        <v>-6.0544982848680503E-3</v>
      </c>
      <c r="E323" s="56">
        <v>43500.51</v>
      </c>
      <c r="F323" s="56">
        <v>133927.16</v>
      </c>
      <c r="G323" s="56">
        <v>527117.39</v>
      </c>
      <c r="H323" s="34">
        <v>1454719.92</v>
      </c>
      <c r="I323" s="34">
        <v>1798616.77</v>
      </c>
      <c r="J323" s="34">
        <v>4508106.6900000004</v>
      </c>
      <c r="K323" s="34">
        <v>6269337.9900000002</v>
      </c>
      <c r="L323" s="34">
        <v>4985636.84</v>
      </c>
      <c r="M323" s="46"/>
      <c r="O323" s="46"/>
    </row>
    <row r="324" spans="1:15" x14ac:dyDescent="0.2">
      <c r="A324" s="5">
        <v>296</v>
      </c>
      <c r="B324" s="28">
        <f t="shared" ca="1" si="22"/>
        <v>206701.45837811442</v>
      </c>
      <c r="C324" s="29">
        <f t="shared" ca="1" si="20"/>
        <v>-1.0659518796431027</v>
      </c>
      <c r="D324" s="30">
        <f t="shared" ca="1" si="19"/>
        <v>-3.9350636591437151E-2</v>
      </c>
      <c r="E324" s="56">
        <v>43327.61</v>
      </c>
      <c r="F324" s="56">
        <v>161311.38</v>
      </c>
      <c r="G324" s="56">
        <v>244257.01</v>
      </c>
      <c r="H324" s="34">
        <v>206378.75</v>
      </c>
      <c r="I324" s="34">
        <v>527878.27</v>
      </c>
      <c r="J324" s="34">
        <v>1500804.63</v>
      </c>
      <c r="K324" s="34">
        <v>4230853.84</v>
      </c>
      <c r="L324" s="34">
        <v>8327081.7300000004</v>
      </c>
      <c r="M324" s="46"/>
      <c r="O324" s="46"/>
    </row>
    <row r="325" spans="1:15" x14ac:dyDescent="0.2">
      <c r="A325" s="5">
        <v>297</v>
      </c>
      <c r="B325" s="28">
        <f t="shared" ca="1" si="22"/>
        <v>190142.10306401781</v>
      </c>
      <c r="C325" s="29">
        <f t="shared" ca="1" si="20"/>
        <v>-2.1224870485108402</v>
      </c>
      <c r="D325" s="30">
        <f t="shared" ca="1" si="19"/>
        <v>-8.2483504241957425E-2</v>
      </c>
      <c r="E325" s="56">
        <v>74063.839999999997</v>
      </c>
      <c r="F325" s="56">
        <v>172600.88</v>
      </c>
      <c r="G325" s="56">
        <v>328931.08</v>
      </c>
      <c r="H325" s="34">
        <v>404094.44</v>
      </c>
      <c r="I325" s="34">
        <v>649818.69999999995</v>
      </c>
      <c r="J325" s="34">
        <v>1205461.02</v>
      </c>
      <c r="K325" s="34">
        <v>1605143.85</v>
      </c>
      <c r="L325" s="34">
        <v>1772239.8</v>
      </c>
      <c r="M325" s="46"/>
      <c r="O325" s="46"/>
    </row>
    <row r="326" spans="1:15" x14ac:dyDescent="0.2">
      <c r="A326" s="5">
        <v>298</v>
      </c>
      <c r="B326" s="28">
        <f t="shared" ca="1" si="22"/>
        <v>192716.81579092349</v>
      </c>
      <c r="C326" s="29">
        <f t="shared" ca="1" si="20"/>
        <v>0.16648573535309055</v>
      </c>
      <c r="D326" s="30">
        <f t="shared" ca="1" si="19"/>
        <v>1.0963418351118501E-2</v>
      </c>
      <c r="E326" s="56">
        <v>79429.509999999995</v>
      </c>
      <c r="F326" s="56">
        <v>175600.88</v>
      </c>
      <c r="G326" s="56">
        <v>322320.89</v>
      </c>
      <c r="H326" s="34">
        <v>508164.37</v>
      </c>
      <c r="I326" s="34">
        <v>1005290.05</v>
      </c>
      <c r="J326" s="34">
        <v>1839361.64</v>
      </c>
      <c r="K326" s="34">
        <v>4025803.7</v>
      </c>
      <c r="L326" s="34">
        <v>7378036.5499999998</v>
      </c>
      <c r="M326" s="46"/>
      <c r="O326" s="46"/>
    </row>
    <row r="327" spans="1:15" x14ac:dyDescent="0.2">
      <c r="A327" s="5">
        <v>299</v>
      </c>
      <c r="B327" s="28">
        <f t="shared" ca="1" si="22"/>
        <v>208647.87298087668</v>
      </c>
      <c r="C327" s="29">
        <f t="shared" ca="1" si="20"/>
        <v>1.8605301955332634</v>
      </c>
      <c r="D327" s="30">
        <f t="shared" ca="1" si="19"/>
        <v>8.0122493834951833E-2</v>
      </c>
      <c r="E327" s="56">
        <v>45751.94</v>
      </c>
      <c r="F327" s="56">
        <v>113543.77</v>
      </c>
      <c r="G327" s="56">
        <v>205085.89</v>
      </c>
      <c r="H327" s="34">
        <v>322724.49</v>
      </c>
      <c r="I327" s="34">
        <v>412164.23</v>
      </c>
      <c r="J327" s="34">
        <v>638292.74</v>
      </c>
      <c r="K327" s="34">
        <v>1044196.77</v>
      </c>
      <c r="L327" s="34">
        <v>1325636</v>
      </c>
      <c r="M327" s="46"/>
      <c r="O327" s="46"/>
    </row>
    <row r="328" spans="1:15" x14ac:dyDescent="0.2">
      <c r="A328" s="5">
        <v>300</v>
      </c>
      <c r="B328" s="28">
        <f t="shared" ca="1" si="22"/>
        <v>211443.98650425058</v>
      </c>
      <c r="C328" s="29">
        <f t="shared" ca="1" si="20"/>
        <v>0.16865928185274023</v>
      </c>
      <c r="D328" s="30">
        <f t="shared" ca="1" si="19"/>
        <v>1.1052153015391071E-2</v>
      </c>
      <c r="E328" s="56">
        <v>54471.839999999997</v>
      </c>
      <c r="F328" s="56">
        <v>154815.99</v>
      </c>
      <c r="G328" s="56">
        <v>176104.94</v>
      </c>
      <c r="H328" s="34">
        <v>208234.57</v>
      </c>
      <c r="I328" s="34">
        <v>500401.3</v>
      </c>
      <c r="J328" s="34">
        <v>725800.75</v>
      </c>
      <c r="K328" s="34">
        <v>919056.06</v>
      </c>
      <c r="L328" s="34">
        <v>1997325.38</v>
      </c>
      <c r="M328" s="46"/>
      <c r="O328" s="46"/>
    </row>
    <row r="329" spans="1:15" x14ac:dyDescent="0.2">
      <c r="A329" s="5">
        <v>301</v>
      </c>
      <c r="B329" s="28">
        <f t="shared" ca="1" si="22"/>
        <v>207537.27455994388</v>
      </c>
      <c r="C329" s="29">
        <f t="shared" ca="1" si="20"/>
        <v>-0.61141487714669474</v>
      </c>
      <c r="D329" s="30">
        <f t="shared" ca="1" si="19"/>
        <v>-2.079424116926443E-2</v>
      </c>
      <c r="E329" s="56">
        <v>57179.27</v>
      </c>
      <c r="F329" s="56">
        <v>102874.99</v>
      </c>
      <c r="G329" s="56">
        <v>168402.57</v>
      </c>
      <c r="H329" s="34">
        <v>387224.85</v>
      </c>
      <c r="I329" s="34">
        <v>407245.9</v>
      </c>
      <c r="J329" s="34">
        <v>629535.75</v>
      </c>
      <c r="K329" s="34">
        <v>849215.86</v>
      </c>
      <c r="L329" s="34">
        <v>1655658.43</v>
      </c>
      <c r="M329" s="46"/>
      <c r="O329" s="46"/>
    </row>
    <row r="330" spans="1:15" x14ac:dyDescent="0.2">
      <c r="A330" s="5">
        <v>302</v>
      </c>
      <c r="B330" s="28">
        <f t="shared" ca="1" si="22"/>
        <v>211699.13450737466</v>
      </c>
      <c r="C330" s="29">
        <f t="shared" ca="1" si="20"/>
        <v>0.33130226417993375</v>
      </c>
      <c r="D330" s="30">
        <f t="shared" ca="1" si="19"/>
        <v>1.7692024964493173E-2</v>
      </c>
      <c r="E330" s="56">
        <v>31977.67</v>
      </c>
      <c r="F330" s="56">
        <v>93349.14</v>
      </c>
      <c r="G330" s="56">
        <v>240973.05</v>
      </c>
      <c r="H330" s="34">
        <v>300762.40000000002</v>
      </c>
      <c r="I330" s="34">
        <v>483605.23</v>
      </c>
      <c r="J330" s="34">
        <v>1011217.88</v>
      </c>
      <c r="K330" s="34">
        <v>1851472.89</v>
      </c>
      <c r="L330" s="34">
        <v>4122291.82</v>
      </c>
      <c r="M330" s="46"/>
      <c r="O330" s="46"/>
    </row>
    <row r="331" spans="1:15" x14ac:dyDescent="0.2">
      <c r="A331" s="5">
        <v>303</v>
      </c>
      <c r="B331" s="28">
        <f t="shared" ca="1" si="22"/>
        <v>207760.31349747395</v>
      </c>
      <c r="C331" s="29">
        <f t="shared" ca="1" si="20"/>
        <v>-0.61451620261405937</v>
      </c>
      <c r="D331" s="30">
        <f t="shared" ca="1" si="19"/>
        <v>-2.0920852251286797E-2</v>
      </c>
      <c r="E331" s="56">
        <v>53396.959999999999</v>
      </c>
      <c r="F331" s="56">
        <v>94516.22</v>
      </c>
      <c r="G331" s="56">
        <v>323326.32</v>
      </c>
      <c r="H331" s="34">
        <v>526928.49</v>
      </c>
      <c r="I331" s="34">
        <v>903052.89</v>
      </c>
      <c r="J331" s="34">
        <v>1398804.58</v>
      </c>
      <c r="K331" s="34">
        <v>1386393.39</v>
      </c>
      <c r="L331" s="34">
        <v>1193544.6200000001</v>
      </c>
      <c r="M331" s="46"/>
      <c r="O331" s="46"/>
    </row>
    <row r="332" spans="1:15" x14ac:dyDescent="0.2">
      <c r="A332" s="5">
        <v>304</v>
      </c>
      <c r="B332" s="28">
        <f t="shared" ca="1" si="22"/>
        <v>222519.54254180854</v>
      </c>
      <c r="C332" s="29">
        <f t="shared" ca="1" si="20"/>
        <v>1.580264626356219</v>
      </c>
      <c r="D332" s="30">
        <f t="shared" ca="1" si="19"/>
        <v>6.8680699885710836E-2</v>
      </c>
      <c r="E332" s="56">
        <v>26834.41</v>
      </c>
      <c r="F332" s="56">
        <v>94299.42</v>
      </c>
      <c r="G332" s="56">
        <v>255897.28</v>
      </c>
      <c r="H332" s="34">
        <v>546888.85</v>
      </c>
      <c r="I332" s="34">
        <v>2382954.5099999998</v>
      </c>
      <c r="J332" s="34">
        <v>3796862.12</v>
      </c>
      <c r="K332" s="34">
        <v>3924999.42</v>
      </c>
      <c r="L332" s="34">
        <v>4750555.8099999996</v>
      </c>
      <c r="M332" s="46"/>
      <c r="O332" s="46"/>
    </row>
    <row r="333" spans="1:15" x14ac:dyDescent="0.2">
      <c r="A333" s="5">
        <v>305</v>
      </c>
      <c r="B333" s="28">
        <f t="shared" ca="1" si="22"/>
        <v>238978.36760733879</v>
      </c>
      <c r="C333" s="29">
        <f t="shared" ca="1" si="20"/>
        <v>1.6557707366892152</v>
      </c>
      <c r="D333" s="30">
        <f t="shared" ca="1" si="19"/>
        <v>7.1763223932012982E-2</v>
      </c>
      <c r="E333" s="56">
        <v>70647.61</v>
      </c>
      <c r="F333" s="56">
        <v>110806.48</v>
      </c>
      <c r="G333" s="56">
        <v>378058.9</v>
      </c>
      <c r="H333" s="34">
        <v>859787.21</v>
      </c>
      <c r="I333" s="34">
        <v>1477420.02</v>
      </c>
      <c r="J333" s="34">
        <v>2369499.2400000002</v>
      </c>
      <c r="K333" s="34">
        <v>1403488.46</v>
      </c>
      <c r="L333" s="34">
        <v>1232171.71</v>
      </c>
      <c r="M333" s="46"/>
      <c r="O333" s="46"/>
    </row>
    <row r="334" spans="1:15" x14ac:dyDescent="0.2">
      <c r="A334" s="5">
        <v>306</v>
      </c>
      <c r="B334" s="28">
        <f t="shared" ca="1" si="22"/>
        <v>238556.69365272752</v>
      </c>
      <c r="C334" s="29">
        <f t="shared" ca="1" si="20"/>
        <v>-0.19551797685122821</v>
      </c>
      <c r="D334" s="30">
        <f t="shared" ca="1" si="19"/>
        <v>-3.8153213137800393E-3</v>
      </c>
      <c r="E334" s="56">
        <v>52431.59</v>
      </c>
      <c r="F334" s="56">
        <v>248051.77</v>
      </c>
      <c r="G334" s="56">
        <v>458046.74</v>
      </c>
      <c r="H334" s="34">
        <v>465791.74</v>
      </c>
      <c r="I334" s="34">
        <v>835739.46</v>
      </c>
      <c r="J334" s="34">
        <v>1014618.24</v>
      </c>
      <c r="K334" s="34">
        <v>1707819.76</v>
      </c>
      <c r="L334" s="34">
        <v>2821020.5</v>
      </c>
      <c r="M334" s="46"/>
      <c r="O334" s="46"/>
    </row>
    <row r="335" spans="1:15" x14ac:dyDescent="0.2">
      <c r="A335" s="5">
        <v>307</v>
      </c>
      <c r="B335" s="28">
        <f t="shared" ca="1" si="22"/>
        <v>246069.5587231754</v>
      </c>
      <c r="C335" s="29">
        <f t="shared" ca="1" si="20"/>
        <v>0.61903184214526441</v>
      </c>
      <c r="D335" s="30">
        <f t="shared" ca="1" si="19"/>
        <v>2.9438535796516677E-2</v>
      </c>
      <c r="E335" s="56">
        <v>65399.03</v>
      </c>
      <c r="F335" s="56">
        <v>168576.53</v>
      </c>
      <c r="G335" s="56">
        <v>582442.4</v>
      </c>
      <c r="H335" s="34">
        <v>782267.43</v>
      </c>
      <c r="I335" s="34">
        <v>1071236.76</v>
      </c>
      <c r="J335" s="34">
        <v>3138064.8</v>
      </c>
      <c r="K335" s="34">
        <v>4270703.9800000004</v>
      </c>
      <c r="L335" s="34">
        <v>8297482.6399999997</v>
      </c>
      <c r="M335" s="46"/>
      <c r="O335" s="46"/>
    </row>
    <row r="336" spans="1:15" x14ac:dyDescent="0.2">
      <c r="A336" s="5">
        <v>308</v>
      </c>
      <c r="B336" s="28">
        <f t="shared" ca="1" si="22"/>
        <v>244082.65273364392</v>
      </c>
      <c r="C336" s="29">
        <f t="shared" ca="1" si="20"/>
        <v>-0.3486351875448041</v>
      </c>
      <c r="D336" s="30">
        <f t="shared" ca="1" si="19"/>
        <v>-1.0066305264404787E-2</v>
      </c>
      <c r="E336" s="56">
        <v>49398.15</v>
      </c>
      <c r="F336" s="56">
        <v>88331.6</v>
      </c>
      <c r="G336" s="56">
        <v>191869.63</v>
      </c>
      <c r="H336" s="34">
        <v>305339.90999999997</v>
      </c>
      <c r="I336" s="34">
        <v>724637.15</v>
      </c>
      <c r="J336" s="34">
        <v>1086216.3799999999</v>
      </c>
      <c r="K336" s="34">
        <v>2262170.9500000002</v>
      </c>
      <c r="L336" s="34">
        <v>3448360.56</v>
      </c>
      <c r="M336" s="46"/>
      <c r="O336" s="46"/>
    </row>
    <row r="337" spans="1:15" x14ac:dyDescent="0.2">
      <c r="A337" s="5">
        <v>309</v>
      </c>
      <c r="B337" s="28">
        <f t="shared" ca="1" si="22"/>
        <v>245579.24429611411</v>
      </c>
      <c r="C337" s="29">
        <f t="shared" ca="1" si="20"/>
        <v>-1.0562151052726041E-3</v>
      </c>
      <c r="D337" s="30">
        <f t="shared" ca="1" si="19"/>
        <v>4.1235468655577015E-3</v>
      </c>
      <c r="E337" s="56">
        <v>59575.39</v>
      </c>
      <c r="F337" s="56">
        <v>112256.52</v>
      </c>
      <c r="G337" s="56">
        <v>344794.76</v>
      </c>
      <c r="H337" s="34">
        <v>448398.46</v>
      </c>
      <c r="I337" s="34">
        <v>488065.11</v>
      </c>
      <c r="J337" s="34">
        <v>1025362.28</v>
      </c>
      <c r="K337" s="34">
        <v>1115177.94</v>
      </c>
      <c r="L337" s="34">
        <v>1184309.95</v>
      </c>
      <c r="M337" s="46"/>
      <c r="O337" s="46"/>
    </row>
    <row r="338" spans="1:15" x14ac:dyDescent="0.2">
      <c r="A338" s="5">
        <v>310</v>
      </c>
      <c r="B338" s="28">
        <f t="shared" ca="1" si="22"/>
        <v>237641.30493758744</v>
      </c>
      <c r="C338" s="29">
        <f t="shared" ca="1" si="20"/>
        <v>-0.94270351256499141</v>
      </c>
      <c r="D338" s="30">
        <f t="shared" ca="1" si="19"/>
        <v>-3.4319043075226992E-2</v>
      </c>
      <c r="E338" s="56">
        <v>38378.78</v>
      </c>
      <c r="F338" s="56">
        <v>103572.94</v>
      </c>
      <c r="G338" s="56">
        <v>314811.78000000003</v>
      </c>
      <c r="H338" s="34">
        <v>1478387.29</v>
      </c>
      <c r="I338" s="34">
        <v>1797032.65</v>
      </c>
      <c r="J338" s="34">
        <v>2176616.7200000002</v>
      </c>
      <c r="K338" s="34">
        <v>5123611.28</v>
      </c>
      <c r="L338" s="34">
        <v>5276006.07</v>
      </c>
      <c r="M338" s="46"/>
      <c r="O338" s="46"/>
    </row>
    <row r="339" spans="1:15" x14ac:dyDescent="0.2">
      <c r="A339" s="5">
        <v>311</v>
      </c>
      <c r="B339" s="28">
        <f t="shared" ca="1" si="22"/>
        <v>234325.46163264359</v>
      </c>
      <c r="C339" s="29">
        <f t="shared" ca="1" si="20"/>
        <v>-0.49436054462219342</v>
      </c>
      <c r="D339" s="30">
        <f t="shared" ca="1" si="19"/>
        <v>-1.601551805481281E-2</v>
      </c>
      <c r="E339" s="56">
        <v>53412.14</v>
      </c>
      <c r="F339" s="56">
        <v>177272.95</v>
      </c>
      <c r="G339" s="56">
        <v>613884.43999999994</v>
      </c>
      <c r="H339" s="34">
        <v>930162.06</v>
      </c>
      <c r="I339" s="34">
        <v>3003720.38</v>
      </c>
      <c r="J339" s="34">
        <v>3269529.38</v>
      </c>
      <c r="K339" s="34">
        <v>12260615.41</v>
      </c>
      <c r="L339" s="34">
        <v>9265703.6999999993</v>
      </c>
      <c r="M339" s="46"/>
      <c r="O339" s="46"/>
    </row>
    <row r="340" spans="1:15" x14ac:dyDescent="0.2">
      <c r="A340" s="5">
        <v>312</v>
      </c>
      <c r="B340" s="28">
        <f t="shared" ca="1" si="22"/>
        <v>242098.71721799366</v>
      </c>
      <c r="C340" s="29">
        <f t="shared" ca="1" si="20"/>
        <v>0.65927226053444377</v>
      </c>
      <c r="D340" s="30">
        <f t="shared" ca="1" si="19"/>
        <v>3.1081343998009985E-2</v>
      </c>
      <c r="E340" s="56">
        <v>38208.69</v>
      </c>
      <c r="F340" s="56">
        <v>180458.43</v>
      </c>
      <c r="G340" s="56">
        <v>419530.56</v>
      </c>
      <c r="H340" s="34">
        <v>661757.5</v>
      </c>
      <c r="I340" s="34">
        <v>1189263.79</v>
      </c>
      <c r="J340" s="34">
        <v>2526964.89</v>
      </c>
      <c r="K340" s="34">
        <v>2506934.7200000002</v>
      </c>
      <c r="L340" s="34">
        <v>4323400.26</v>
      </c>
      <c r="M340" s="46"/>
      <c r="O340" s="46"/>
    </row>
    <row r="341" spans="1:15" x14ac:dyDescent="0.2">
      <c r="A341" s="5">
        <v>313</v>
      </c>
      <c r="B341" s="28">
        <f t="shared" ref="B341:B364" ca="1" si="23">(B340*(1+D341))+($C$6*(1+$C$8)^13)</f>
        <v>245609.0422237895</v>
      </c>
      <c r="C341" s="29">
        <f t="shared" ca="1" si="20"/>
        <v>0.20202801201953627</v>
      </c>
      <c r="D341" s="30">
        <f t="shared" ca="1" si="19"/>
        <v>1.2414425719945513E-2</v>
      </c>
      <c r="E341" s="56">
        <v>43817.56</v>
      </c>
      <c r="F341" s="56">
        <v>306972.32</v>
      </c>
      <c r="G341" s="56">
        <v>484154.57</v>
      </c>
      <c r="H341" s="34">
        <v>1888475.05</v>
      </c>
      <c r="I341" s="34">
        <v>1685164.03</v>
      </c>
      <c r="J341" s="34">
        <v>2176967.0499999998</v>
      </c>
      <c r="K341" s="34">
        <v>3631297.08</v>
      </c>
      <c r="L341" s="34">
        <v>8343347.6200000001</v>
      </c>
      <c r="M341" s="46"/>
      <c r="O341" s="46"/>
    </row>
    <row r="342" spans="1:15" x14ac:dyDescent="0.2">
      <c r="A342" s="5">
        <v>314</v>
      </c>
      <c r="B342" s="28">
        <f t="shared" ca="1" si="23"/>
        <v>247762.36132206317</v>
      </c>
      <c r="C342" s="29">
        <f t="shared" ca="1" si="20"/>
        <v>6.2345957844309047E-2</v>
      </c>
      <c r="D342" s="30">
        <f t="shared" ca="1" si="19"/>
        <v>6.7119297373937903E-3</v>
      </c>
      <c r="E342" s="56">
        <v>45489.74</v>
      </c>
      <c r="F342" s="56">
        <v>112206.9</v>
      </c>
      <c r="G342" s="56">
        <v>246139.41</v>
      </c>
      <c r="H342" s="34">
        <v>580753.42000000004</v>
      </c>
      <c r="I342" s="34">
        <v>1406585.07</v>
      </c>
      <c r="J342" s="34">
        <v>1209907</v>
      </c>
      <c r="K342" s="34">
        <v>1200003.1100000001</v>
      </c>
      <c r="L342" s="34">
        <v>1164018.24</v>
      </c>
      <c r="M342" s="46"/>
      <c r="O342" s="46"/>
    </row>
    <row r="343" spans="1:15" x14ac:dyDescent="0.2">
      <c r="A343" s="5">
        <v>315</v>
      </c>
      <c r="B343" s="28">
        <f t="shared" ca="1" si="23"/>
        <v>242721.52049157882</v>
      </c>
      <c r="C343" s="29">
        <f t="shared" ca="1" si="20"/>
        <v>-0.65032981560264225</v>
      </c>
      <c r="D343" s="30">
        <f t="shared" ca="1" si="19"/>
        <v>-2.2382936879079132E-2</v>
      </c>
      <c r="E343" s="56">
        <v>45232.06</v>
      </c>
      <c r="F343" s="56">
        <v>152794.01999999999</v>
      </c>
      <c r="G343" s="56">
        <v>169409.6</v>
      </c>
      <c r="H343" s="34">
        <v>207664.54</v>
      </c>
      <c r="I343" s="34">
        <v>289510.7</v>
      </c>
      <c r="J343" s="34">
        <v>625335.75</v>
      </c>
      <c r="K343" s="34">
        <v>750862.27</v>
      </c>
      <c r="L343" s="34">
        <v>971844.49</v>
      </c>
      <c r="M343" s="46"/>
      <c r="O343" s="46"/>
    </row>
    <row r="344" spans="1:15" x14ac:dyDescent="0.2">
      <c r="A344" s="5">
        <v>316</v>
      </c>
      <c r="B344" s="28">
        <f t="shared" ca="1" si="23"/>
        <v>245107.02622909888</v>
      </c>
      <c r="C344" s="29">
        <f t="shared" ca="1" si="20"/>
        <v>8.7733569379035564E-2</v>
      </c>
      <c r="D344" s="30">
        <f t="shared" ca="1" si="19"/>
        <v>7.748374638195066E-3</v>
      </c>
      <c r="E344" s="56">
        <v>54790.55</v>
      </c>
      <c r="F344" s="56">
        <v>213783.09</v>
      </c>
      <c r="G344" s="56">
        <v>750985.57</v>
      </c>
      <c r="H344" s="34">
        <v>3789243.54</v>
      </c>
      <c r="I344" s="34">
        <v>4837163.3899999997</v>
      </c>
      <c r="J344" s="34">
        <v>10259652.960000001</v>
      </c>
      <c r="K344" s="34">
        <v>32288210.600000001</v>
      </c>
      <c r="L344" s="34">
        <v>44156647.530000001</v>
      </c>
      <c r="M344" s="46"/>
      <c r="O344" s="46"/>
    </row>
    <row r="345" spans="1:15" x14ac:dyDescent="0.2">
      <c r="A345" s="5">
        <v>317</v>
      </c>
      <c r="B345" s="28">
        <f t="shared" ca="1" si="23"/>
        <v>230143.40862694205</v>
      </c>
      <c r="C345" s="29">
        <f t="shared" ca="1" si="20"/>
        <v>-1.6479072313195564</v>
      </c>
      <c r="D345" s="30">
        <f t="shared" ca="1" si="19"/>
        <v>-6.3108864336257994E-2</v>
      </c>
      <c r="E345" s="56">
        <v>55463.14</v>
      </c>
      <c r="F345" s="56">
        <v>101879.72</v>
      </c>
      <c r="G345" s="56">
        <v>231245.6</v>
      </c>
      <c r="H345" s="34">
        <v>579911.6</v>
      </c>
      <c r="I345" s="34">
        <v>2347306.15</v>
      </c>
      <c r="J345" s="34">
        <v>2135870.0699999998</v>
      </c>
      <c r="K345" s="34">
        <v>4236975.32</v>
      </c>
      <c r="L345" s="34">
        <v>9819975.5899999999</v>
      </c>
      <c r="M345" s="46"/>
      <c r="O345" s="46"/>
    </row>
    <row r="346" spans="1:15" x14ac:dyDescent="0.2">
      <c r="A346" s="5">
        <v>318</v>
      </c>
      <c r="B346" s="28">
        <f t="shared" ca="1" si="23"/>
        <v>228470.64735802237</v>
      </c>
      <c r="C346" s="29">
        <f t="shared" ca="1" si="20"/>
        <v>-0.33382776848369056</v>
      </c>
      <c r="D346" s="30">
        <f t="shared" ca="1" si="19"/>
        <v>-9.4617949126166272E-3</v>
      </c>
      <c r="E346" s="56">
        <v>64822.21</v>
      </c>
      <c r="F346" s="56">
        <v>177144.4</v>
      </c>
      <c r="G346" s="56">
        <v>370213.89</v>
      </c>
      <c r="H346" s="34">
        <v>774115.31</v>
      </c>
      <c r="I346" s="34">
        <v>1071119.28</v>
      </c>
      <c r="J346" s="34">
        <v>1161933.75</v>
      </c>
      <c r="K346" s="34">
        <v>2587299.87</v>
      </c>
      <c r="L346" s="34">
        <v>3023650.34</v>
      </c>
      <c r="M346" s="46"/>
      <c r="O346" s="46"/>
    </row>
    <row r="347" spans="1:15" x14ac:dyDescent="0.2">
      <c r="A347" s="5">
        <v>319</v>
      </c>
      <c r="B347" s="28">
        <f t="shared" ca="1" si="23"/>
        <v>247180.00754064412</v>
      </c>
      <c r="C347" s="29">
        <f t="shared" ca="1" si="20"/>
        <v>1.8496924841457718</v>
      </c>
      <c r="D347" s="30">
        <f t="shared" ca="1" si="19"/>
        <v>7.968004612030341E-2</v>
      </c>
      <c r="E347" s="56">
        <v>40029.57</v>
      </c>
      <c r="F347" s="56">
        <v>119340.08</v>
      </c>
      <c r="G347" s="56">
        <v>250955.03</v>
      </c>
      <c r="H347" s="34">
        <v>395266.58</v>
      </c>
      <c r="I347" s="34">
        <v>520875.72</v>
      </c>
      <c r="J347" s="34">
        <v>627860.93000000005</v>
      </c>
      <c r="K347" s="34">
        <v>1134386.3700000001</v>
      </c>
      <c r="L347" s="34">
        <v>1934054.23</v>
      </c>
      <c r="M347" s="46"/>
      <c r="O347" s="46"/>
    </row>
    <row r="348" spans="1:15" x14ac:dyDescent="0.2">
      <c r="A348" s="5">
        <v>320</v>
      </c>
      <c r="B348" s="28">
        <f t="shared" ca="1" si="23"/>
        <v>260175.04210468801</v>
      </c>
      <c r="C348" s="29">
        <f t="shared" ca="1" si="20"/>
        <v>1.1356869274552499</v>
      </c>
      <c r="D348" s="30">
        <f t="shared" ca="1" si="19"/>
        <v>5.0530891330242966E-2</v>
      </c>
      <c r="E348" s="56">
        <v>79102.13</v>
      </c>
      <c r="F348" s="56">
        <v>246567.02</v>
      </c>
      <c r="G348" s="56">
        <v>751435.69</v>
      </c>
      <c r="H348" s="34">
        <v>1267883.73</v>
      </c>
      <c r="I348" s="34">
        <v>2000760.44</v>
      </c>
      <c r="J348" s="34">
        <v>3871266.14</v>
      </c>
      <c r="K348" s="34">
        <v>8000816.5599999996</v>
      </c>
      <c r="L348" s="34">
        <v>32658340.989999998</v>
      </c>
      <c r="M348" s="46"/>
      <c r="O348" s="46"/>
    </row>
    <row r="349" spans="1:15" x14ac:dyDescent="0.2">
      <c r="A349" s="5">
        <v>321</v>
      </c>
      <c r="B349" s="28">
        <f t="shared" ca="1" si="23"/>
        <v>253650.9682511712</v>
      </c>
      <c r="C349" s="29">
        <f t="shared" ca="1" si="20"/>
        <v>-0.76381559826956102</v>
      </c>
      <c r="D349" s="30">
        <f t="shared" ca="1" si="19"/>
        <v>-2.7015974555651443E-2</v>
      </c>
      <c r="E349" s="56">
        <v>53173.42</v>
      </c>
      <c r="F349" s="56">
        <v>90796.79</v>
      </c>
      <c r="G349" s="56">
        <v>292060.03999999998</v>
      </c>
      <c r="H349" s="34">
        <v>710352.16</v>
      </c>
      <c r="I349" s="34">
        <v>809582.33</v>
      </c>
      <c r="J349" s="34">
        <v>1104724.94</v>
      </c>
      <c r="K349" s="34">
        <v>1816393.52</v>
      </c>
      <c r="L349" s="34">
        <v>4338906.45</v>
      </c>
      <c r="M349" s="46"/>
      <c r="O349" s="46"/>
    </row>
    <row r="350" spans="1:15" x14ac:dyDescent="0.2">
      <c r="A350" s="5">
        <v>322</v>
      </c>
      <c r="B350" s="28">
        <f t="shared" ca="1" si="23"/>
        <v>235251.04811258323</v>
      </c>
      <c r="C350" s="29">
        <f t="shared" ca="1" si="20"/>
        <v>-1.9276785534599232</v>
      </c>
      <c r="D350" s="30">
        <f t="shared" ref="D350:D413" ca="1" si="24">$D$20+(C350*$D$21)</f>
        <v>-7.4530480734719948E-2</v>
      </c>
      <c r="E350" s="56">
        <v>82554.58</v>
      </c>
      <c r="F350" s="56">
        <v>207620.67</v>
      </c>
      <c r="G350" s="56">
        <v>148960.6</v>
      </c>
      <c r="H350" s="34">
        <v>363905.66</v>
      </c>
      <c r="I350" s="34">
        <v>730704.24</v>
      </c>
      <c r="J350" s="34">
        <v>1184337.3</v>
      </c>
      <c r="K350" s="34">
        <v>1612991.54</v>
      </c>
      <c r="L350" s="34">
        <v>6234758.9000000004</v>
      </c>
      <c r="M350" s="46"/>
      <c r="O350" s="46"/>
    </row>
    <row r="351" spans="1:15" x14ac:dyDescent="0.2">
      <c r="A351" s="5">
        <v>323</v>
      </c>
      <c r="B351" s="28">
        <f t="shared" ca="1" si="23"/>
        <v>238963.73360771607</v>
      </c>
      <c r="C351" s="29">
        <f t="shared" ref="C351:C414" ca="1" si="25">NORMSINV(RAND())</f>
        <v>0.23194969680712979</v>
      </c>
      <c r="D351" s="30">
        <f t="shared" ca="1" si="24"/>
        <v>1.3635973386178876E-2</v>
      </c>
      <c r="E351" s="56">
        <v>72244.13</v>
      </c>
      <c r="F351" s="56">
        <v>347283.67</v>
      </c>
      <c r="G351" s="56">
        <v>552717.21</v>
      </c>
      <c r="H351" s="34">
        <v>496686.27</v>
      </c>
      <c r="I351" s="34">
        <v>1437511.42</v>
      </c>
      <c r="J351" s="34">
        <v>2543502.14</v>
      </c>
      <c r="K351" s="34">
        <v>4459761.9800000004</v>
      </c>
      <c r="L351" s="34">
        <v>3537795.87</v>
      </c>
      <c r="M351" s="46"/>
      <c r="O351" s="46"/>
    </row>
    <row r="352" spans="1:15" x14ac:dyDescent="0.2">
      <c r="A352" s="5">
        <v>324</v>
      </c>
      <c r="B352" s="28">
        <f t="shared" ca="1" si="23"/>
        <v>223543.92268644465</v>
      </c>
      <c r="C352" s="29">
        <f t="shared" ca="1" si="25"/>
        <v>-1.7344098457713832</v>
      </c>
      <c r="D352" s="30">
        <f t="shared" ca="1" si="24"/>
        <v>-6.6640318783319288E-2</v>
      </c>
      <c r="E352" s="56">
        <v>52358.98</v>
      </c>
      <c r="F352" s="56">
        <v>177693.67</v>
      </c>
      <c r="G352" s="56">
        <v>234051.46</v>
      </c>
      <c r="H352" s="34">
        <v>791926.36</v>
      </c>
      <c r="I352" s="34">
        <v>611643.62</v>
      </c>
      <c r="J352" s="34">
        <v>988797.33</v>
      </c>
      <c r="K352" s="34">
        <v>2009600.67</v>
      </c>
      <c r="L352" s="34">
        <v>3686751.05</v>
      </c>
      <c r="M352" s="46"/>
      <c r="O352" s="46"/>
    </row>
    <row r="353" spans="1:15" x14ac:dyDescent="0.2">
      <c r="A353" s="5">
        <v>325</v>
      </c>
      <c r="B353" s="28">
        <f t="shared" ca="1" si="23"/>
        <v>220300.51001393073</v>
      </c>
      <c r="C353" s="29">
        <f t="shared" ca="1" si="25"/>
        <v>-0.51277461256050172</v>
      </c>
      <c r="D353" s="30">
        <f t="shared" ca="1" si="24"/>
        <v>-1.6767269230442788E-2</v>
      </c>
      <c r="E353" s="56">
        <v>31437.32</v>
      </c>
      <c r="F353" s="56">
        <v>104479.9</v>
      </c>
      <c r="G353" s="56">
        <v>304588.13</v>
      </c>
      <c r="H353" s="34">
        <v>718667.63</v>
      </c>
      <c r="I353" s="34">
        <v>1132051.3600000001</v>
      </c>
      <c r="J353" s="34">
        <v>1837395.03</v>
      </c>
      <c r="K353" s="34">
        <v>3414449.3</v>
      </c>
      <c r="L353" s="34">
        <v>5567736.4000000004</v>
      </c>
      <c r="M353" s="46"/>
      <c r="O353" s="46"/>
    </row>
    <row r="354" spans="1:15" x14ac:dyDescent="0.2">
      <c r="A354" s="5">
        <v>326</v>
      </c>
      <c r="B354" s="28">
        <f t="shared" ca="1" si="23"/>
        <v>229592.57774362282</v>
      </c>
      <c r="C354" s="29">
        <f t="shared" ca="1" si="25"/>
        <v>0.87498066946078434</v>
      </c>
      <c r="D354" s="30">
        <f t="shared" ca="1" si="24"/>
        <v>3.9887602916295825E-2</v>
      </c>
      <c r="E354" s="56">
        <v>72123.14</v>
      </c>
      <c r="F354" s="56">
        <v>140989</v>
      </c>
      <c r="G354" s="56">
        <v>257409.92000000001</v>
      </c>
      <c r="H354" s="34">
        <v>234467.32</v>
      </c>
      <c r="I354" s="34">
        <v>591133.1</v>
      </c>
      <c r="J354" s="34">
        <v>1369750.47</v>
      </c>
      <c r="K354" s="34">
        <v>1812388.43</v>
      </c>
      <c r="L354" s="34">
        <v>1684202.26</v>
      </c>
      <c r="M354" s="46"/>
      <c r="O354" s="46"/>
    </row>
    <row r="355" spans="1:15" x14ac:dyDescent="0.2">
      <c r="A355" s="5">
        <v>327</v>
      </c>
      <c r="B355" s="28">
        <f t="shared" ca="1" si="23"/>
        <v>215533.55325062666</v>
      </c>
      <c r="C355" s="29">
        <f t="shared" ca="1" si="25"/>
        <v>-1.6558561801764882</v>
      </c>
      <c r="D355" s="30">
        <f t="shared" ca="1" si="24"/>
        <v>-6.3433378814440708E-2</v>
      </c>
      <c r="E355" s="56">
        <v>49623.26</v>
      </c>
      <c r="F355" s="56">
        <v>131077.85</v>
      </c>
      <c r="G355" s="56">
        <v>188665.22</v>
      </c>
      <c r="H355" s="34">
        <v>271489.58</v>
      </c>
      <c r="I355" s="34">
        <v>413983.13</v>
      </c>
      <c r="J355" s="34">
        <v>732023.84</v>
      </c>
      <c r="K355" s="34">
        <v>1837464.53</v>
      </c>
      <c r="L355" s="34">
        <v>3662996.99</v>
      </c>
      <c r="M355" s="46"/>
      <c r="O355" s="46"/>
    </row>
    <row r="356" spans="1:15" x14ac:dyDescent="0.2">
      <c r="A356" s="5">
        <v>328</v>
      </c>
      <c r="B356" s="28">
        <f t="shared" ca="1" si="23"/>
        <v>219454.7759530422</v>
      </c>
      <c r="C356" s="29">
        <f t="shared" ca="1" si="25"/>
        <v>0.28620562435689179</v>
      </c>
      <c r="D356" s="30">
        <f t="shared" ca="1" si="24"/>
        <v>1.5850962353151029E-2</v>
      </c>
      <c r="E356" s="56">
        <v>43604.97</v>
      </c>
      <c r="F356" s="56">
        <v>103473.25</v>
      </c>
      <c r="G356" s="56">
        <v>286347.55</v>
      </c>
      <c r="H356" s="34">
        <v>424770.33</v>
      </c>
      <c r="I356" s="34">
        <v>658962.26</v>
      </c>
      <c r="J356" s="34">
        <v>1557305.96</v>
      </c>
      <c r="K356" s="34">
        <v>3497245.05</v>
      </c>
      <c r="L356" s="34">
        <v>4401371.9400000004</v>
      </c>
      <c r="M356" s="46"/>
      <c r="O356" s="46"/>
    </row>
    <row r="357" spans="1:15" x14ac:dyDescent="0.2">
      <c r="A357" s="5">
        <v>329</v>
      </c>
      <c r="B357" s="28">
        <f t="shared" ca="1" si="23"/>
        <v>240882.20263289931</v>
      </c>
      <c r="C357" s="29">
        <f t="shared" ca="1" si="25"/>
        <v>2.2332591109557747</v>
      </c>
      <c r="D357" s="30">
        <f t="shared" ca="1" si="24"/>
        <v>9.5339088087720833E-2</v>
      </c>
      <c r="E357" s="56">
        <v>41162.17</v>
      </c>
      <c r="F357" s="56">
        <v>120698.81</v>
      </c>
      <c r="G357" s="56">
        <v>177691.49</v>
      </c>
      <c r="H357" s="34">
        <v>721791.2</v>
      </c>
      <c r="I357" s="34">
        <v>686808.49</v>
      </c>
      <c r="J357" s="34">
        <v>650465.81000000006</v>
      </c>
      <c r="K357" s="34">
        <v>1233568.08</v>
      </c>
      <c r="L357" s="34">
        <v>2104151.67</v>
      </c>
      <c r="M357" s="46"/>
      <c r="O357" s="46"/>
    </row>
    <row r="358" spans="1:15" x14ac:dyDescent="0.2">
      <c r="A358" s="5">
        <v>330</v>
      </c>
      <c r="B358" s="28">
        <f t="shared" ca="1" si="23"/>
        <v>246449.70332899076</v>
      </c>
      <c r="C358" s="29">
        <f t="shared" ca="1" si="25"/>
        <v>0.4127544043936498</v>
      </c>
      <c r="D358" s="30">
        <f t="shared" ca="1" si="24"/>
        <v>2.1017294664180418E-2</v>
      </c>
      <c r="E358" s="56">
        <v>47258.13</v>
      </c>
      <c r="F358" s="56">
        <v>88188.23</v>
      </c>
      <c r="G358" s="56">
        <v>347670.18</v>
      </c>
      <c r="H358" s="34">
        <v>507922.08</v>
      </c>
      <c r="I358" s="34">
        <v>1134533.1399999999</v>
      </c>
      <c r="J358" s="34">
        <v>1519906.33</v>
      </c>
      <c r="K358" s="34">
        <v>3259934.23</v>
      </c>
      <c r="L358" s="34">
        <v>4430201.91</v>
      </c>
      <c r="M358" s="46"/>
      <c r="O358" s="46"/>
    </row>
    <row r="359" spans="1:15" x14ac:dyDescent="0.2">
      <c r="A359" s="5">
        <v>331</v>
      </c>
      <c r="B359" s="28">
        <f t="shared" ca="1" si="23"/>
        <v>244398.38242891003</v>
      </c>
      <c r="C359" s="29">
        <f t="shared" ca="1" si="25"/>
        <v>-0.35611848144766556</v>
      </c>
      <c r="D359" s="30">
        <f t="shared" ca="1" si="24"/>
        <v>-1.0371809458692972E-2</v>
      </c>
      <c r="E359" s="56">
        <v>62416.98</v>
      </c>
      <c r="F359" s="56">
        <v>154622.70000000001</v>
      </c>
      <c r="G359" s="56">
        <v>283054.75</v>
      </c>
      <c r="H359" s="34">
        <v>643921.93000000005</v>
      </c>
      <c r="I359" s="34">
        <v>1662925.7</v>
      </c>
      <c r="J359" s="34">
        <v>2176207.04</v>
      </c>
      <c r="K359" s="34">
        <v>4744887.24</v>
      </c>
      <c r="L359" s="34">
        <v>6952668.0199999996</v>
      </c>
      <c r="M359" s="46"/>
      <c r="O359" s="46"/>
    </row>
    <row r="360" spans="1:15" x14ac:dyDescent="0.2">
      <c r="A360" s="5">
        <v>332</v>
      </c>
      <c r="B360" s="28">
        <f t="shared" ca="1" si="23"/>
        <v>239674.66793818551</v>
      </c>
      <c r="C360" s="29">
        <f t="shared" ca="1" si="25"/>
        <v>-0.62609227364346032</v>
      </c>
      <c r="D360" s="30">
        <f t="shared" ca="1" si="24"/>
        <v>-2.1393443372090915E-2</v>
      </c>
      <c r="E360" s="56">
        <v>28400.68</v>
      </c>
      <c r="F360" s="56">
        <v>85205.61</v>
      </c>
      <c r="G360" s="56">
        <v>192204.1</v>
      </c>
      <c r="H360" s="34">
        <v>452692.41</v>
      </c>
      <c r="I360" s="34">
        <v>843594.4</v>
      </c>
      <c r="J360" s="34">
        <v>1599436.86</v>
      </c>
      <c r="K360" s="34">
        <v>2475682.92</v>
      </c>
      <c r="L360" s="34">
        <v>2379025.61</v>
      </c>
      <c r="M360" s="46"/>
      <c r="O360" s="46"/>
    </row>
    <row r="361" spans="1:15" x14ac:dyDescent="0.2">
      <c r="A361" s="5">
        <v>333</v>
      </c>
      <c r="B361" s="28">
        <f t="shared" ca="1" si="23"/>
        <v>257140.79941615241</v>
      </c>
      <c r="C361" s="29">
        <f t="shared" ca="1" si="25"/>
        <v>1.6313954973539191</v>
      </c>
      <c r="D361" s="30">
        <f t="shared" ca="1" si="24"/>
        <v>7.0768108953184777E-2</v>
      </c>
      <c r="E361" s="56">
        <v>74544.179999999993</v>
      </c>
      <c r="F361" s="56">
        <v>201081.54</v>
      </c>
      <c r="G361" s="56">
        <v>474655.33</v>
      </c>
      <c r="H361" s="34">
        <v>663823.79</v>
      </c>
      <c r="I361" s="34">
        <v>569272.56999999995</v>
      </c>
      <c r="J361" s="34">
        <v>1757146.29</v>
      </c>
      <c r="K361" s="34">
        <v>1323116.07</v>
      </c>
      <c r="L361" s="34">
        <v>1100861.1399999999</v>
      </c>
      <c r="M361" s="46"/>
      <c r="O361" s="46"/>
    </row>
    <row r="362" spans="1:15" x14ac:dyDescent="0.2">
      <c r="A362" s="5">
        <v>334</v>
      </c>
      <c r="B362" s="28">
        <f t="shared" ca="1" si="23"/>
        <v>261678.64827922801</v>
      </c>
      <c r="C362" s="29">
        <f t="shared" ca="1" si="25"/>
        <v>0.28212009964914103</v>
      </c>
      <c r="D362" s="30">
        <f t="shared" ca="1" si="24"/>
        <v>1.5684171505392318E-2</v>
      </c>
      <c r="E362" s="56">
        <v>91813.31</v>
      </c>
      <c r="F362" s="56">
        <v>163707.85</v>
      </c>
      <c r="G362" s="56">
        <v>721803.44</v>
      </c>
      <c r="H362" s="34">
        <v>723398.51</v>
      </c>
      <c r="I362" s="34">
        <v>617253.36</v>
      </c>
      <c r="J362" s="34">
        <v>741254.41</v>
      </c>
      <c r="K362" s="34">
        <v>1012138.93</v>
      </c>
      <c r="L362" s="34">
        <v>1467974.43</v>
      </c>
      <c r="M362" s="46"/>
      <c r="O362" s="46"/>
    </row>
    <row r="363" spans="1:15" x14ac:dyDescent="0.2">
      <c r="A363" s="5">
        <v>335</v>
      </c>
      <c r="B363" s="28">
        <f t="shared" ca="1" si="23"/>
        <v>268309.40378364123</v>
      </c>
      <c r="C363" s="29">
        <f t="shared" ca="1" si="25"/>
        <v>0.47136814566901686</v>
      </c>
      <c r="D363" s="30">
        <f t="shared" ca="1" si="24"/>
        <v>2.3410190631516396E-2</v>
      </c>
      <c r="E363" s="56">
        <v>51261</v>
      </c>
      <c r="F363" s="56">
        <v>97138.83</v>
      </c>
      <c r="G363" s="56">
        <v>252785.87</v>
      </c>
      <c r="H363" s="34">
        <v>510618.28</v>
      </c>
      <c r="I363" s="34">
        <v>1028576.35</v>
      </c>
      <c r="J363" s="34">
        <v>1086052.02</v>
      </c>
      <c r="K363" s="34">
        <v>1881093.06</v>
      </c>
      <c r="L363" s="34">
        <v>5617728.6500000004</v>
      </c>
      <c r="M363" s="46"/>
      <c r="O363" s="46"/>
    </row>
    <row r="364" spans="1:15" x14ac:dyDescent="0.2">
      <c r="A364" s="5">
        <v>336</v>
      </c>
      <c r="B364" s="28">
        <f t="shared" ca="1" si="23"/>
        <v>278910.09266358131</v>
      </c>
      <c r="C364" s="29">
        <f t="shared" ca="1" si="25"/>
        <v>0.81962591798293261</v>
      </c>
      <c r="D364" s="30">
        <f t="shared" ca="1" si="24"/>
        <v>3.7627754650307335E-2</v>
      </c>
      <c r="E364" s="56">
        <v>53944.26</v>
      </c>
      <c r="F364" s="56">
        <v>114740.32</v>
      </c>
      <c r="G364" s="56">
        <v>200107.34</v>
      </c>
      <c r="H364" s="34">
        <v>242613.22</v>
      </c>
      <c r="I364" s="34">
        <v>369533.36</v>
      </c>
      <c r="J364" s="34">
        <v>645481.68999999994</v>
      </c>
      <c r="K364" s="34">
        <v>1314590.01</v>
      </c>
      <c r="L364" s="34">
        <v>5577106.8499999996</v>
      </c>
      <c r="M364" s="46"/>
      <c r="O364" s="46"/>
    </row>
    <row r="365" spans="1:15" x14ac:dyDescent="0.2">
      <c r="A365" s="5">
        <v>337</v>
      </c>
      <c r="B365" s="28">
        <f t="shared" ref="B365:B388" ca="1" si="26">(B364*(1+D365))+($C$6*(1+$C$8)^14)</f>
        <v>281714.02625885356</v>
      </c>
      <c r="C365" s="29">
        <f t="shared" ca="1" si="25"/>
        <v>9.8525424177773893E-2</v>
      </c>
      <c r="D365" s="30">
        <f t="shared" ca="1" si="24"/>
        <v>8.1889502654469808E-3</v>
      </c>
      <c r="E365" s="56">
        <v>81181.850000000006</v>
      </c>
      <c r="F365" s="56">
        <v>80916.36</v>
      </c>
      <c r="G365" s="56">
        <v>191988.58</v>
      </c>
      <c r="H365" s="34">
        <v>574507.68999999994</v>
      </c>
      <c r="I365" s="34">
        <v>679435.88</v>
      </c>
      <c r="J365" s="34">
        <v>1544708.56</v>
      </c>
      <c r="K365" s="34">
        <v>4169780.31</v>
      </c>
      <c r="L365" s="34">
        <v>6383001.6200000001</v>
      </c>
      <c r="M365" s="46"/>
      <c r="O365" s="46"/>
    </row>
    <row r="366" spans="1:15" x14ac:dyDescent="0.2">
      <c r="A366" s="5">
        <v>338</v>
      </c>
      <c r="B366" s="28">
        <f t="shared" ca="1" si="26"/>
        <v>284323.92960411345</v>
      </c>
      <c r="C366" s="29">
        <f t="shared" ca="1" si="25"/>
        <v>7.9658116917333377E-2</v>
      </c>
      <c r="D366" s="30">
        <f t="shared" ca="1" si="24"/>
        <v>7.4186956719738545E-3</v>
      </c>
      <c r="E366" s="56">
        <v>61314.18</v>
      </c>
      <c r="F366" s="56">
        <v>238588.62</v>
      </c>
      <c r="G366" s="56">
        <v>515489.41</v>
      </c>
      <c r="H366" s="34">
        <v>911451.36</v>
      </c>
      <c r="I366" s="34">
        <v>624392.86</v>
      </c>
      <c r="J366" s="34">
        <v>647000.30000000005</v>
      </c>
      <c r="K366" s="34">
        <v>572732.57999999996</v>
      </c>
      <c r="L366" s="34">
        <v>1063612.6200000001</v>
      </c>
      <c r="M366" s="46"/>
      <c r="O366" s="46"/>
    </row>
    <row r="367" spans="1:15" x14ac:dyDescent="0.2">
      <c r="A367" s="5">
        <v>339</v>
      </c>
      <c r="B367" s="28">
        <f t="shared" ca="1" si="26"/>
        <v>272308.48552786506</v>
      </c>
      <c r="C367" s="29">
        <f t="shared" ca="1" si="25"/>
        <v>-1.1820037402688959</v>
      </c>
      <c r="D367" s="30">
        <f t="shared" ca="1" si="24"/>
        <v>-4.4088433962000205E-2</v>
      </c>
      <c r="E367" s="56">
        <v>47904.05</v>
      </c>
      <c r="F367" s="56">
        <v>117266.46</v>
      </c>
      <c r="G367" s="56">
        <v>291205.74</v>
      </c>
      <c r="H367" s="34">
        <v>718250.86</v>
      </c>
      <c r="I367" s="34">
        <v>1104305.95</v>
      </c>
      <c r="J367" s="34">
        <v>983914.6</v>
      </c>
      <c r="K367" s="34">
        <v>1727877.6</v>
      </c>
      <c r="L367" s="34">
        <v>2418502.25</v>
      </c>
      <c r="M367" s="46"/>
      <c r="O367" s="46"/>
    </row>
    <row r="368" spans="1:15" x14ac:dyDescent="0.2">
      <c r="A368" s="5">
        <v>340</v>
      </c>
      <c r="B368" s="28">
        <f t="shared" ca="1" si="26"/>
        <v>286940.11689048074</v>
      </c>
      <c r="C368" s="29">
        <f t="shared" ca="1" si="25"/>
        <v>1.1673222444621731</v>
      </c>
      <c r="D368" s="30">
        <f t="shared" ca="1" si="24"/>
        <v>5.1822397738878846E-2</v>
      </c>
      <c r="E368" s="56">
        <v>40941.050000000003</v>
      </c>
      <c r="F368" s="56">
        <v>97428.87</v>
      </c>
      <c r="G368" s="56">
        <v>335312.11</v>
      </c>
      <c r="H368" s="34">
        <v>376413.35</v>
      </c>
      <c r="I368" s="34">
        <v>463087.31</v>
      </c>
      <c r="J368" s="34">
        <v>1150778.97</v>
      </c>
      <c r="K368" s="34">
        <v>2372665.23</v>
      </c>
      <c r="L368" s="34">
        <v>2663534.48</v>
      </c>
      <c r="M368" s="46"/>
      <c r="O368" s="46"/>
    </row>
    <row r="369" spans="1:15" x14ac:dyDescent="0.2">
      <c r="A369" s="5">
        <v>341</v>
      </c>
      <c r="B369" s="28">
        <f t="shared" ca="1" si="26"/>
        <v>299829.2273408905</v>
      </c>
      <c r="C369" s="29">
        <f t="shared" ca="1" si="25"/>
        <v>0.95384204148766349</v>
      </c>
      <c r="D369" s="30">
        <f t="shared" ca="1" si="24"/>
        <v>4.3107104947656641E-2</v>
      </c>
      <c r="E369" s="56">
        <v>47039.92</v>
      </c>
      <c r="F369" s="56">
        <v>217653.05</v>
      </c>
      <c r="G369" s="56">
        <v>376804.16</v>
      </c>
      <c r="H369" s="34">
        <v>411127.93</v>
      </c>
      <c r="I369" s="34">
        <v>637916.79</v>
      </c>
      <c r="J369" s="34">
        <v>1438418.79</v>
      </c>
      <c r="K369" s="34">
        <v>2400583.34</v>
      </c>
      <c r="L369" s="34">
        <v>4239778.4800000004</v>
      </c>
      <c r="M369" s="46"/>
      <c r="O369" s="46"/>
    </row>
    <row r="370" spans="1:15" x14ac:dyDescent="0.2">
      <c r="A370" s="5">
        <v>342</v>
      </c>
      <c r="B370" s="28">
        <f t="shared" ca="1" si="26"/>
        <v>287209.9711106653</v>
      </c>
      <c r="C370" s="29">
        <f t="shared" ca="1" si="25"/>
        <v>-1.1754850284831746</v>
      </c>
      <c r="D370" s="30">
        <f t="shared" ca="1" si="24"/>
        <v>-4.3822308667745474E-2</v>
      </c>
      <c r="E370" s="56">
        <v>72059.73</v>
      </c>
      <c r="F370" s="56">
        <v>165052.32</v>
      </c>
      <c r="G370" s="56">
        <v>277756.52</v>
      </c>
      <c r="H370" s="34">
        <v>683417.86</v>
      </c>
      <c r="I370" s="34">
        <v>2312366.4500000002</v>
      </c>
      <c r="J370" s="34">
        <v>8488943.5600000005</v>
      </c>
      <c r="K370" s="34">
        <v>12155126.130000001</v>
      </c>
      <c r="L370" s="34">
        <v>12548182.17</v>
      </c>
      <c r="M370" s="46"/>
      <c r="O370" s="46"/>
    </row>
    <row r="371" spans="1:15" x14ac:dyDescent="0.2">
      <c r="A371" s="5">
        <v>343</v>
      </c>
      <c r="B371" s="28">
        <f t="shared" ca="1" si="26"/>
        <v>294175.98168883863</v>
      </c>
      <c r="C371" s="29">
        <f t="shared" ca="1" si="25"/>
        <v>0.44769434945463721</v>
      </c>
      <c r="D371" s="30">
        <f t="shared" ca="1" si="24"/>
        <v>2.2443711948185358E-2</v>
      </c>
      <c r="E371" s="56">
        <v>45154.31</v>
      </c>
      <c r="F371" s="56">
        <v>114356.42</v>
      </c>
      <c r="G371" s="56">
        <v>294010.02</v>
      </c>
      <c r="H371" s="34">
        <v>309332.44</v>
      </c>
      <c r="I371" s="34">
        <v>391232.41</v>
      </c>
      <c r="J371" s="34">
        <v>1185504.6000000001</v>
      </c>
      <c r="K371" s="34">
        <v>950871.3</v>
      </c>
      <c r="L371" s="34">
        <v>2783037.21</v>
      </c>
      <c r="M371" s="46"/>
      <c r="O371" s="46"/>
    </row>
    <row r="372" spans="1:15" x14ac:dyDescent="0.2">
      <c r="A372" s="5">
        <v>344</v>
      </c>
      <c r="B372" s="28">
        <f t="shared" ca="1" si="26"/>
        <v>305517.42717947671</v>
      </c>
      <c r="C372" s="29">
        <f t="shared" ca="1" si="25"/>
        <v>0.79900182105076556</v>
      </c>
      <c r="D372" s="30">
        <f t="shared" ca="1" si="24"/>
        <v>3.6785779418815515E-2</v>
      </c>
      <c r="E372" s="56">
        <v>67435.81</v>
      </c>
      <c r="F372" s="56">
        <v>182970.71</v>
      </c>
      <c r="G372" s="56">
        <v>272247.78999999998</v>
      </c>
      <c r="H372" s="34">
        <v>282117.56</v>
      </c>
      <c r="I372" s="34">
        <v>286507.02</v>
      </c>
      <c r="J372" s="34">
        <v>463603.21</v>
      </c>
      <c r="K372" s="34">
        <v>1242490.82</v>
      </c>
      <c r="L372" s="34">
        <v>2450339.2200000002</v>
      </c>
      <c r="M372" s="46"/>
      <c r="O372" s="46"/>
    </row>
    <row r="373" spans="1:15" x14ac:dyDescent="0.2">
      <c r="A373" s="5">
        <v>345</v>
      </c>
      <c r="B373" s="28">
        <f t="shared" ca="1" si="26"/>
        <v>307175.80530792271</v>
      </c>
      <c r="C373" s="29">
        <f t="shared" ca="1" si="25"/>
        <v>-1.0788674834585099E-2</v>
      </c>
      <c r="D373" s="30">
        <f t="shared" ca="1" si="24"/>
        <v>3.7262208609076799E-3</v>
      </c>
      <c r="E373" s="56">
        <v>52690.94</v>
      </c>
      <c r="F373" s="56">
        <v>114993.49</v>
      </c>
      <c r="G373" s="56">
        <v>309264.32</v>
      </c>
      <c r="H373" s="34">
        <v>716009.79</v>
      </c>
      <c r="I373" s="34">
        <v>973601.46</v>
      </c>
      <c r="J373" s="34">
        <v>1019362.63</v>
      </c>
      <c r="K373" s="34">
        <v>1751812.26</v>
      </c>
      <c r="L373" s="34">
        <v>3242253.52</v>
      </c>
      <c r="M373" s="46"/>
      <c r="O373" s="46"/>
    </row>
    <row r="374" spans="1:15" x14ac:dyDescent="0.2">
      <c r="A374" s="5">
        <v>346</v>
      </c>
      <c r="B374" s="28">
        <f t="shared" ca="1" si="26"/>
        <v>307399.79066516703</v>
      </c>
      <c r="C374" s="29">
        <f t="shared" ca="1" si="25"/>
        <v>-0.12566318317362765</v>
      </c>
      <c r="D374" s="30">
        <f t="shared" ca="1" si="24"/>
        <v>-9.635113038214101E-4</v>
      </c>
      <c r="E374" s="56">
        <v>40092.35</v>
      </c>
      <c r="F374" s="56">
        <v>90248.24</v>
      </c>
      <c r="G374" s="56">
        <v>395308.87</v>
      </c>
      <c r="H374" s="34">
        <v>1256085.18</v>
      </c>
      <c r="I374" s="34">
        <v>2370471.71</v>
      </c>
      <c r="J374" s="34">
        <v>5849204.4900000002</v>
      </c>
      <c r="K374" s="34">
        <v>12454076.140000001</v>
      </c>
      <c r="L374" s="34">
        <v>12168391.119999999</v>
      </c>
      <c r="M374" s="46"/>
      <c r="O374" s="46"/>
    </row>
    <row r="375" spans="1:15" x14ac:dyDescent="0.2">
      <c r="A375" s="5">
        <v>347</v>
      </c>
      <c r="B375" s="28">
        <f t="shared" ca="1" si="26"/>
        <v>317406.0747259545</v>
      </c>
      <c r="C375" s="29">
        <f t="shared" ca="1" si="25"/>
        <v>0.65384837451603206</v>
      </c>
      <c r="D375" s="30">
        <f t="shared" ca="1" si="24"/>
        <v>3.0859914778541241E-2</v>
      </c>
      <c r="E375" s="56">
        <v>97156.62</v>
      </c>
      <c r="F375" s="56">
        <v>244796.1</v>
      </c>
      <c r="G375" s="56">
        <v>467071.08</v>
      </c>
      <c r="H375" s="34">
        <v>628517.16</v>
      </c>
      <c r="I375" s="34">
        <v>785181.33</v>
      </c>
      <c r="J375" s="34">
        <v>566639.29</v>
      </c>
      <c r="K375" s="34">
        <v>680013.9</v>
      </c>
      <c r="L375" s="34">
        <v>1761265.99</v>
      </c>
      <c r="M375" s="46"/>
      <c r="O375" s="46"/>
    </row>
    <row r="376" spans="1:15" x14ac:dyDescent="0.2">
      <c r="A376" s="5">
        <v>348</v>
      </c>
      <c r="B376" s="28">
        <f t="shared" ca="1" si="26"/>
        <v>292267.82110315672</v>
      </c>
      <c r="C376" s="29">
        <f t="shared" ca="1" si="25"/>
        <v>-2.0821600686629429</v>
      </c>
      <c r="D376" s="30">
        <f t="shared" ca="1" si="24"/>
        <v>-8.0837162183709954E-2</v>
      </c>
      <c r="E376" s="56">
        <v>59305.23</v>
      </c>
      <c r="F376" s="56">
        <v>202314.45</v>
      </c>
      <c r="G376" s="56">
        <v>342142.65</v>
      </c>
      <c r="H376" s="34">
        <v>1117197.07</v>
      </c>
      <c r="I376" s="34">
        <v>1484388.63</v>
      </c>
      <c r="J376" s="34">
        <v>2707046.66</v>
      </c>
      <c r="K376" s="34">
        <v>3125832.2</v>
      </c>
      <c r="L376" s="34">
        <v>3999916.78</v>
      </c>
      <c r="M376" s="46"/>
      <c r="O376" s="46"/>
    </row>
    <row r="377" spans="1:15" x14ac:dyDescent="0.2">
      <c r="A377" s="5">
        <v>349</v>
      </c>
      <c r="B377" s="28">
        <f t="shared" ca="1" si="26"/>
        <v>278082.25494234165</v>
      </c>
      <c r="C377" s="29">
        <f t="shared" ca="1" si="25"/>
        <v>-1.3345281552590398</v>
      </c>
      <c r="D377" s="30">
        <f t="shared" ca="1" si="24"/>
        <v>-5.0315217129372911E-2</v>
      </c>
      <c r="E377" s="56">
        <v>38033.620000000003</v>
      </c>
      <c r="F377" s="56">
        <v>134516.6</v>
      </c>
      <c r="G377" s="56">
        <v>517313.14</v>
      </c>
      <c r="H377" s="34">
        <v>505999.06</v>
      </c>
      <c r="I377" s="34">
        <v>1659224.75</v>
      </c>
      <c r="J377" s="34">
        <v>2996812.93</v>
      </c>
      <c r="K377" s="34">
        <v>3574945.69</v>
      </c>
      <c r="L377" s="34">
        <v>9364137.4299999997</v>
      </c>
      <c r="M377" s="46"/>
      <c r="O377" s="46"/>
    </row>
    <row r="378" spans="1:15" x14ac:dyDescent="0.2">
      <c r="A378" s="5">
        <v>350</v>
      </c>
      <c r="B378" s="28">
        <f t="shared" ca="1" si="26"/>
        <v>270522.07611147722</v>
      </c>
      <c r="C378" s="29">
        <f t="shared" ca="1" si="25"/>
        <v>-0.81380109937218359</v>
      </c>
      <c r="D378" s="30">
        <f t="shared" ca="1" si="24"/>
        <v>-2.9056624092963959E-2</v>
      </c>
      <c r="E378" s="56">
        <v>68258.09</v>
      </c>
      <c r="F378" s="56">
        <v>186847.81</v>
      </c>
      <c r="G378" s="56">
        <v>370865.98</v>
      </c>
      <c r="H378" s="34">
        <v>402669.75</v>
      </c>
      <c r="I378" s="34">
        <v>576211.54</v>
      </c>
      <c r="J378" s="34">
        <v>2754399.79</v>
      </c>
      <c r="K378" s="34">
        <v>4117860.62</v>
      </c>
      <c r="L378" s="34">
        <v>8323067.5700000003</v>
      </c>
      <c r="M378" s="46"/>
      <c r="O378" s="46"/>
    </row>
    <row r="379" spans="1:15" x14ac:dyDescent="0.2">
      <c r="A379" s="5">
        <v>351</v>
      </c>
      <c r="B379" s="28">
        <f t="shared" ca="1" si="26"/>
        <v>269464.7518738283</v>
      </c>
      <c r="C379" s="29">
        <f t="shared" ca="1" si="25"/>
        <v>-0.24487939014238186</v>
      </c>
      <c r="D379" s="30">
        <f t="shared" ca="1" si="24"/>
        <v>-5.8304925728794076E-3</v>
      </c>
      <c r="E379" s="56">
        <v>39664.11</v>
      </c>
      <c r="F379" s="56">
        <v>83255.789999999994</v>
      </c>
      <c r="G379" s="56">
        <v>187154.51</v>
      </c>
      <c r="H379" s="34">
        <v>310611.01</v>
      </c>
      <c r="I379" s="34">
        <v>560071.24</v>
      </c>
      <c r="J379" s="34">
        <v>822795.72</v>
      </c>
      <c r="K379" s="34">
        <v>1343867.42</v>
      </c>
      <c r="L379" s="34">
        <v>2840130.17</v>
      </c>
      <c r="M379" s="46"/>
      <c r="O379" s="46"/>
    </row>
    <row r="380" spans="1:15" x14ac:dyDescent="0.2">
      <c r="A380" s="5">
        <v>352</v>
      </c>
      <c r="B380" s="28">
        <f t="shared" ca="1" si="26"/>
        <v>268131.21439377335</v>
      </c>
      <c r="C380" s="29">
        <f t="shared" ca="1" si="25"/>
        <v>-0.27054812493690433</v>
      </c>
      <c r="D380" s="30">
        <f t="shared" ca="1" si="24"/>
        <v>-6.8784142827028162E-3</v>
      </c>
      <c r="E380" s="56">
        <v>45677.08</v>
      </c>
      <c r="F380" s="56">
        <v>89156.35</v>
      </c>
      <c r="G380" s="56">
        <v>231899.62</v>
      </c>
      <c r="H380" s="34">
        <v>364680.64</v>
      </c>
      <c r="I380" s="34">
        <v>1274279.3899999999</v>
      </c>
      <c r="J380" s="34">
        <v>2122777.04</v>
      </c>
      <c r="K380" s="34">
        <v>2445960.59</v>
      </c>
      <c r="L380" s="34">
        <v>7211627.3700000001</v>
      </c>
      <c r="M380" s="46"/>
      <c r="O380" s="46"/>
    </row>
    <row r="381" spans="1:15" x14ac:dyDescent="0.2">
      <c r="A381" s="5">
        <v>353</v>
      </c>
      <c r="B381" s="28">
        <f t="shared" ca="1" si="26"/>
        <v>289619.39026927587</v>
      </c>
      <c r="C381" s="29">
        <f t="shared" ca="1" si="25"/>
        <v>1.8134719939795387</v>
      </c>
      <c r="D381" s="30">
        <f t="shared" ca="1" si="24"/>
        <v>7.8201350801290634E-2</v>
      </c>
      <c r="E381" s="56">
        <v>93609.9</v>
      </c>
      <c r="F381" s="56">
        <v>145074.82</v>
      </c>
      <c r="G381" s="56">
        <v>523637.16</v>
      </c>
      <c r="H381" s="34">
        <v>624681.16</v>
      </c>
      <c r="I381" s="34">
        <v>856182.12</v>
      </c>
      <c r="J381" s="34">
        <v>745960.12</v>
      </c>
      <c r="K381" s="34">
        <v>1717250.77</v>
      </c>
      <c r="L381" s="34">
        <v>2207418.77</v>
      </c>
      <c r="M381" s="46"/>
      <c r="O381" s="46"/>
    </row>
    <row r="382" spans="1:15" x14ac:dyDescent="0.2">
      <c r="A382" s="5">
        <v>354</v>
      </c>
      <c r="B382" s="28">
        <f t="shared" ca="1" si="26"/>
        <v>287641.3097752051</v>
      </c>
      <c r="C382" s="29">
        <f t="shared" ca="1" si="25"/>
        <v>-0.31333614249821479</v>
      </c>
      <c r="D382" s="30">
        <f t="shared" ca="1" si="24"/>
        <v>-8.6252277848770896E-3</v>
      </c>
      <c r="E382" s="56">
        <v>65239.27</v>
      </c>
      <c r="F382" s="56">
        <v>181064.49</v>
      </c>
      <c r="G382" s="56">
        <v>228650.52</v>
      </c>
      <c r="H382" s="34">
        <v>437217.32</v>
      </c>
      <c r="I382" s="34">
        <v>736875.1</v>
      </c>
      <c r="J382" s="34">
        <v>503906.03</v>
      </c>
      <c r="K382" s="34">
        <v>997338.71</v>
      </c>
      <c r="L382" s="34">
        <v>975950.51</v>
      </c>
      <c r="M382" s="46"/>
      <c r="O382" s="46"/>
    </row>
    <row r="383" spans="1:15" x14ac:dyDescent="0.2">
      <c r="A383" s="5">
        <v>355</v>
      </c>
      <c r="B383" s="28">
        <f t="shared" ca="1" si="26"/>
        <v>287837.56812021526</v>
      </c>
      <c r="C383" s="29">
        <f t="shared" ca="1" si="25"/>
        <v>-0.12962716911953642</v>
      </c>
      <c r="D383" s="30">
        <f t="shared" ca="1" si="24"/>
        <v>-1.1253403524054137E-3</v>
      </c>
      <c r="E383" s="56">
        <v>53105.29</v>
      </c>
      <c r="F383" s="56">
        <v>128229.11</v>
      </c>
      <c r="G383" s="56">
        <v>155649.04</v>
      </c>
      <c r="H383" s="34">
        <v>247421.16</v>
      </c>
      <c r="I383" s="34">
        <v>543763.4</v>
      </c>
      <c r="J383" s="34">
        <v>1408235.53</v>
      </c>
      <c r="K383" s="34">
        <v>1643429.53</v>
      </c>
      <c r="L383" s="34">
        <v>2577305.71</v>
      </c>
      <c r="M383" s="46"/>
      <c r="O383" s="46"/>
    </row>
    <row r="384" spans="1:15" x14ac:dyDescent="0.2">
      <c r="A384" s="5">
        <v>356</v>
      </c>
      <c r="B384" s="28">
        <f t="shared" ca="1" si="26"/>
        <v>270571.98846358137</v>
      </c>
      <c r="C384" s="29">
        <f t="shared" ca="1" si="25"/>
        <v>-1.6156059580065707</v>
      </c>
      <c r="D384" s="30">
        <f t="shared" ca="1" si="24"/>
        <v>-6.1790170375274747E-2</v>
      </c>
      <c r="E384" s="56">
        <v>57392.53</v>
      </c>
      <c r="F384" s="56">
        <v>132815.26</v>
      </c>
      <c r="G384" s="56">
        <v>174074.11</v>
      </c>
      <c r="H384" s="34">
        <v>649057.88</v>
      </c>
      <c r="I384" s="34">
        <v>1044581.96</v>
      </c>
      <c r="J384" s="34">
        <v>944554.29</v>
      </c>
      <c r="K384" s="34">
        <v>1218523.01</v>
      </c>
      <c r="L384" s="34">
        <v>2490007.91</v>
      </c>
      <c r="M384" s="46"/>
      <c r="O384" s="46"/>
    </row>
    <row r="385" spans="1:15" x14ac:dyDescent="0.2">
      <c r="A385" s="5">
        <v>357</v>
      </c>
      <c r="B385" s="28">
        <f t="shared" ca="1" si="26"/>
        <v>263395.97642685805</v>
      </c>
      <c r="C385" s="29">
        <f t="shared" ca="1" si="25"/>
        <v>-0.79877819738416134</v>
      </c>
      <c r="D385" s="30">
        <f t="shared" ca="1" si="24"/>
        <v>-2.8443316687522334E-2</v>
      </c>
      <c r="E385" s="56">
        <v>37856.78</v>
      </c>
      <c r="F385" s="56">
        <v>168757.79</v>
      </c>
      <c r="G385" s="56">
        <v>392246.02</v>
      </c>
      <c r="H385" s="34">
        <v>498190.93</v>
      </c>
      <c r="I385" s="34">
        <v>251577.35</v>
      </c>
      <c r="J385" s="34">
        <v>415677.35</v>
      </c>
      <c r="K385" s="34">
        <v>995321.86</v>
      </c>
      <c r="L385" s="34">
        <v>1178087.21</v>
      </c>
      <c r="M385" s="46"/>
      <c r="O385" s="46"/>
    </row>
    <row r="386" spans="1:15" x14ac:dyDescent="0.2">
      <c r="A386" s="5">
        <v>358</v>
      </c>
      <c r="B386" s="28">
        <f t="shared" ca="1" si="26"/>
        <v>245001.23185218728</v>
      </c>
      <c r="C386" s="29">
        <f t="shared" ca="1" si="25"/>
        <v>-1.8610622530501135</v>
      </c>
      <c r="D386" s="30">
        <f t="shared" ca="1" si="24"/>
        <v>-7.1810881658786754E-2</v>
      </c>
      <c r="E386" s="56">
        <v>57055.83</v>
      </c>
      <c r="F386" s="56">
        <v>176933.88</v>
      </c>
      <c r="G386" s="56">
        <v>458314.84</v>
      </c>
      <c r="H386" s="34">
        <v>651820.79</v>
      </c>
      <c r="I386" s="34">
        <v>1320772.26</v>
      </c>
      <c r="J386" s="34">
        <v>1677580.77</v>
      </c>
      <c r="K386" s="34">
        <v>3046647.2</v>
      </c>
      <c r="L386" s="34">
        <v>5373040.6600000001</v>
      </c>
      <c r="M386" s="46"/>
      <c r="O386" s="46"/>
    </row>
    <row r="387" spans="1:15" x14ac:dyDescent="0.2">
      <c r="A387" s="5">
        <v>359</v>
      </c>
      <c r="B387" s="28">
        <f t="shared" ca="1" si="26"/>
        <v>236433.54952555205</v>
      </c>
      <c r="C387" s="29">
        <f t="shared" ca="1" si="25"/>
        <v>-1.0106317422257147</v>
      </c>
      <c r="D387" s="30">
        <f t="shared" ca="1" si="24"/>
        <v>-3.7092201438549688E-2</v>
      </c>
      <c r="E387" s="56">
        <v>38657.410000000003</v>
      </c>
      <c r="F387" s="56">
        <v>94592.8</v>
      </c>
      <c r="G387" s="56">
        <v>132392.41</v>
      </c>
      <c r="H387" s="34">
        <v>236424.65</v>
      </c>
      <c r="I387" s="34">
        <v>640520.43000000005</v>
      </c>
      <c r="J387" s="34">
        <v>854904.4</v>
      </c>
      <c r="K387" s="34">
        <v>1516415.8</v>
      </c>
      <c r="L387" s="34">
        <v>3728078.58</v>
      </c>
      <c r="M387" s="46"/>
      <c r="O387" s="46"/>
    </row>
    <row r="388" spans="1:15" x14ac:dyDescent="0.2">
      <c r="A388" s="5">
        <v>360</v>
      </c>
      <c r="B388" s="28">
        <f t="shared" ca="1" si="26"/>
        <v>225183.05231110565</v>
      </c>
      <c r="C388" s="29">
        <f t="shared" ca="1" si="25"/>
        <v>-1.3214996877567886</v>
      </c>
      <c r="D388" s="30">
        <f t="shared" ca="1" si="24"/>
        <v>-4.9783332170857113E-2</v>
      </c>
      <c r="E388" s="56">
        <v>34491.18</v>
      </c>
      <c r="F388" s="56">
        <v>157195.69</v>
      </c>
      <c r="G388" s="56">
        <v>497488.75</v>
      </c>
      <c r="H388" s="34">
        <v>815742.7</v>
      </c>
      <c r="I388" s="34">
        <v>3936608.74</v>
      </c>
      <c r="J388" s="34">
        <v>9645635.6899999995</v>
      </c>
      <c r="K388" s="34">
        <v>18478274.129999999</v>
      </c>
      <c r="L388" s="34">
        <v>19997935.969999999</v>
      </c>
      <c r="M388" s="46"/>
      <c r="O388" s="46"/>
    </row>
    <row r="389" spans="1:15" x14ac:dyDescent="0.2">
      <c r="A389" s="5">
        <v>361</v>
      </c>
      <c r="B389" s="28">
        <f t="shared" ref="B389:B412" ca="1" si="27">(B388*(1+D389))+($C$6*(1+$C$8)^15)</f>
        <v>227111.12986063302</v>
      </c>
      <c r="C389" s="29">
        <f t="shared" ca="1" si="25"/>
        <v>4.9413748103988277E-2</v>
      </c>
      <c r="D389" s="30">
        <f t="shared" ca="1" si="24"/>
        <v>6.1839744855531828E-3</v>
      </c>
      <c r="E389" s="56">
        <v>34874.620000000003</v>
      </c>
      <c r="F389" s="56">
        <v>154207.9</v>
      </c>
      <c r="G389" s="56">
        <v>193839.28</v>
      </c>
      <c r="H389" s="34">
        <v>356679.83</v>
      </c>
      <c r="I389" s="34">
        <v>656508.49</v>
      </c>
      <c r="J389" s="34">
        <v>1113367.4099999999</v>
      </c>
      <c r="K389" s="34">
        <v>1844501.43</v>
      </c>
      <c r="L389" s="34">
        <v>7391788.54</v>
      </c>
      <c r="M389" s="46"/>
      <c r="O389" s="46"/>
    </row>
    <row r="390" spans="1:15" x14ac:dyDescent="0.2">
      <c r="A390" s="5">
        <v>362</v>
      </c>
      <c r="B390" s="28">
        <f t="shared" ca="1" si="27"/>
        <v>233523.05004261454</v>
      </c>
      <c r="C390" s="29">
        <f t="shared" ca="1" si="25"/>
        <v>0.5317292044292492</v>
      </c>
      <c r="D390" s="30">
        <f t="shared" ca="1" si="24"/>
        <v>2.5874420536461759E-2</v>
      </c>
      <c r="E390" s="56">
        <v>53339.75</v>
      </c>
      <c r="F390" s="56">
        <v>46783.48</v>
      </c>
      <c r="G390" s="56">
        <v>163052.44</v>
      </c>
      <c r="H390" s="34">
        <v>236904.13</v>
      </c>
      <c r="I390" s="34">
        <v>349366.29</v>
      </c>
      <c r="J390" s="34">
        <v>756222.7</v>
      </c>
      <c r="K390" s="34">
        <v>710424.98</v>
      </c>
      <c r="L390" s="34">
        <v>918831.87</v>
      </c>
      <c r="M390" s="46"/>
      <c r="O390" s="46"/>
    </row>
    <row r="391" spans="1:15" x14ac:dyDescent="0.2">
      <c r="A391" s="5">
        <v>363</v>
      </c>
      <c r="B391" s="28">
        <f t="shared" ca="1" si="27"/>
        <v>215640.91906636965</v>
      </c>
      <c r="C391" s="29">
        <f t="shared" ca="1" si="25"/>
        <v>-2.0339451913032875</v>
      </c>
      <c r="D391" s="30">
        <f t="shared" ca="1" si="24"/>
        <v>-7.8868798058009532E-2</v>
      </c>
      <c r="E391" s="56">
        <v>61997.38</v>
      </c>
      <c r="F391" s="56">
        <v>300305.13</v>
      </c>
      <c r="G391" s="56">
        <v>643202.18000000005</v>
      </c>
      <c r="H391" s="34">
        <v>1383338.27</v>
      </c>
      <c r="I391" s="34">
        <v>1783118.27</v>
      </c>
      <c r="J391" s="34">
        <v>2771472.85</v>
      </c>
      <c r="K391" s="34">
        <v>7364498.9400000004</v>
      </c>
      <c r="L391" s="34">
        <v>13374892.220000001</v>
      </c>
      <c r="M391" s="46"/>
      <c r="O391" s="46"/>
    </row>
    <row r="392" spans="1:15" x14ac:dyDescent="0.2">
      <c r="A392" s="5">
        <v>364</v>
      </c>
      <c r="B392" s="28">
        <f t="shared" ca="1" si="27"/>
        <v>220347.59316879086</v>
      </c>
      <c r="C392" s="29">
        <f t="shared" ca="1" si="25"/>
        <v>0.37174051392404345</v>
      </c>
      <c r="D392" s="30">
        <f t="shared" ca="1" si="24"/>
        <v>1.9342909597231527E-2</v>
      </c>
      <c r="E392" s="56">
        <v>78014.27</v>
      </c>
      <c r="F392" s="56">
        <v>145485.54</v>
      </c>
      <c r="G392" s="56">
        <v>198210.4</v>
      </c>
      <c r="H392" s="34">
        <v>353310.5</v>
      </c>
      <c r="I392" s="34">
        <v>696043.95</v>
      </c>
      <c r="J392" s="34">
        <v>1455527.63</v>
      </c>
      <c r="K392" s="34">
        <v>2212413.23</v>
      </c>
      <c r="L392" s="34">
        <v>4411866.67</v>
      </c>
      <c r="M392" s="46"/>
      <c r="O392" s="46"/>
    </row>
    <row r="393" spans="1:15" x14ac:dyDescent="0.2">
      <c r="A393" s="5">
        <v>365</v>
      </c>
      <c r="B393" s="28">
        <f t="shared" ca="1" si="27"/>
        <v>236298.34321397377</v>
      </c>
      <c r="C393" s="29">
        <f t="shared" ca="1" si="25"/>
        <v>1.6115655040508898</v>
      </c>
      <c r="D393" s="30">
        <f t="shared" ca="1" si="24"/>
        <v>6.995855286659762E-2</v>
      </c>
      <c r="E393" s="56">
        <v>61629.03</v>
      </c>
      <c r="F393" s="56">
        <v>90302.18</v>
      </c>
      <c r="G393" s="56">
        <v>188097.85</v>
      </c>
      <c r="H393" s="34">
        <v>296341.83</v>
      </c>
      <c r="I393" s="34">
        <v>861053.68</v>
      </c>
      <c r="J393" s="34">
        <v>1773075.86</v>
      </c>
      <c r="K393" s="34">
        <v>1910388.84</v>
      </c>
      <c r="L393" s="34">
        <v>1542239.21</v>
      </c>
      <c r="M393" s="46"/>
      <c r="O393" s="46"/>
    </row>
    <row r="394" spans="1:15" x14ac:dyDescent="0.2">
      <c r="A394" s="5">
        <v>366</v>
      </c>
      <c r="B394" s="28">
        <f t="shared" ca="1" si="27"/>
        <v>238041.50957507806</v>
      </c>
      <c r="C394" s="29">
        <f t="shared" ca="1" si="25"/>
        <v>2.3120383871176372E-2</v>
      </c>
      <c r="D394" s="30">
        <f t="shared" ca="1" si="24"/>
        <v>5.110552385694269E-3</v>
      </c>
      <c r="E394" s="56">
        <v>44621.88</v>
      </c>
      <c r="F394" s="56">
        <v>64909.21</v>
      </c>
      <c r="G394" s="56">
        <v>305862.48</v>
      </c>
      <c r="H394" s="34">
        <v>535823.31999999995</v>
      </c>
      <c r="I394" s="34">
        <v>404027.92</v>
      </c>
      <c r="J394" s="34">
        <v>424956.5</v>
      </c>
      <c r="K394" s="34">
        <v>473164.11</v>
      </c>
      <c r="L394" s="34">
        <v>829784.39</v>
      </c>
      <c r="M394" s="46"/>
      <c r="O394" s="46"/>
    </row>
    <row r="395" spans="1:15" x14ac:dyDescent="0.2">
      <c r="A395" s="5">
        <v>367</v>
      </c>
      <c r="B395" s="28">
        <f t="shared" ca="1" si="27"/>
        <v>238091.36132942521</v>
      </c>
      <c r="C395" s="29">
        <f t="shared" ca="1" si="25"/>
        <v>-0.15204142520634156</v>
      </c>
      <c r="D395" s="30">
        <f t="shared" ca="1" si="24"/>
        <v>-2.0403985253511572E-3</v>
      </c>
      <c r="E395" s="56">
        <v>59705.62</v>
      </c>
      <c r="F395" s="56">
        <v>177919.81</v>
      </c>
      <c r="G395" s="56">
        <v>246597.5</v>
      </c>
      <c r="H395" s="34">
        <v>278513.83</v>
      </c>
      <c r="I395" s="34">
        <v>548815.05000000005</v>
      </c>
      <c r="J395" s="34">
        <v>1186078.1399999999</v>
      </c>
      <c r="K395" s="34">
        <v>3315524.2</v>
      </c>
      <c r="L395" s="34">
        <v>3864813.16</v>
      </c>
      <c r="M395" s="46"/>
      <c r="O395" s="46"/>
    </row>
    <row r="396" spans="1:15" x14ac:dyDescent="0.2">
      <c r="A396" s="5">
        <v>368</v>
      </c>
      <c r="B396" s="28">
        <f t="shared" ca="1" si="27"/>
        <v>238652.42726378646</v>
      </c>
      <c r="C396" s="29">
        <f t="shared" ca="1" si="25"/>
        <v>-9.9437120742826415E-2</v>
      </c>
      <c r="D396" s="30">
        <f t="shared" ca="1" si="24"/>
        <v>1.0716321147590489E-4</v>
      </c>
      <c r="E396" s="56">
        <v>48143.3</v>
      </c>
      <c r="F396" s="56">
        <v>121582.25</v>
      </c>
      <c r="G396" s="56">
        <v>228252.87</v>
      </c>
      <c r="H396" s="34">
        <v>556368.56999999995</v>
      </c>
      <c r="I396" s="34">
        <v>962823.63</v>
      </c>
      <c r="J396" s="34">
        <v>3712509.51</v>
      </c>
      <c r="K396" s="34">
        <v>4928831.1399999997</v>
      </c>
      <c r="L396" s="34">
        <v>7721197.29</v>
      </c>
      <c r="M396" s="46"/>
      <c r="O396" s="46"/>
    </row>
    <row r="397" spans="1:15" x14ac:dyDescent="0.2">
      <c r="A397" s="5">
        <v>369</v>
      </c>
      <c r="B397" s="28">
        <f t="shared" ca="1" si="27"/>
        <v>252551.8642295234</v>
      </c>
      <c r="C397" s="29">
        <f t="shared" ca="1" si="25"/>
        <v>1.2695854416621475</v>
      </c>
      <c r="D397" s="30">
        <f t="shared" ca="1" si="24"/>
        <v>5.5997275282304693E-2</v>
      </c>
      <c r="E397" s="56">
        <v>57393.08</v>
      </c>
      <c r="F397" s="56">
        <v>247580.07</v>
      </c>
      <c r="G397" s="56">
        <v>193001.84</v>
      </c>
      <c r="H397" s="34">
        <v>501740.28</v>
      </c>
      <c r="I397" s="34">
        <v>963697.37</v>
      </c>
      <c r="J397" s="34">
        <v>1390891.69</v>
      </c>
      <c r="K397" s="34">
        <v>3904395.19</v>
      </c>
      <c r="L397" s="34">
        <v>4117199.93</v>
      </c>
      <c r="M397" s="46"/>
      <c r="O397" s="46"/>
    </row>
    <row r="398" spans="1:15" x14ac:dyDescent="0.2">
      <c r="A398" s="5">
        <v>370</v>
      </c>
      <c r="B398" s="28">
        <f t="shared" ca="1" si="27"/>
        <v>234251.59729034669</v>
      </c>
      <c r="C398" s="29">
        <f t="shared" ca="1" si="25"/>
        <v>-1.9289400373942933</v>
      </c>
      <c r="D398" s="30">
        <f t="shared" ca="1" si="24"/>
        <v>-7.4581980600685369E-2</v>
      </c>
      <c r="E398" s="56">
        <v>71573.399999999994</v>
      </c>
      <c r="F398" s="56">
        <v>94639.45</v>
      </c>
      <c r="G398" s="56">
        <v>162048.06</v>
      </c>
      <c r="H398" s="34">
        <v>452254.39</v>
      </c>
      <c r="I398" s="34">
        <v>478455.23</v>
      </c>
      <c r="J398" s="34">
        <v>831399.54</v>
      </c>
      <c r="K398" s="34">
        <v>4509316.03</v>
      </c>
      <c r="L398" s="34">
        <v>6722891.8700000001</v>
      </c>
      <c r="M398" s="46"/>
      <c r="O398" s="46"/>
    </row>
    <row r="399" spans="1:15" x14ac:dyDescent="0.2">
      <c r="A399" s="5">
        <v>371</v>
      </c>
      <c r="B399" s="28">
        <f t="shared" ca="1" si="27"/>
        <v>223800.89351418734</v>
      </c>
      <c r="C399" s="29">
        <f t="shared" ca="1" si="25"/>
        <v>-1.2508576168344221</v>
      </c>
      <c r="D399" s="30">
        <f t="shared" ca="1" si="24"/>
        <v>-4.6899381701968799E-2</v>
      </c>
      <c r="E399" s="56">
        <v>69548.259999999995</v>
      </c>
      <c r="F399" s="56">
        <v>183021.53</v>
      </c>
      <c r="G399" s="56">
        <v>159579.51</v>
      </c>
      <c r="H399" s="34">
        <v>291465.05</v>
      </c>
      <c r="I399" s="34">
        <v>206617.17</v>
      </c>
      <c r="J399" s="34">
        <v>395154.91</v>
      </c>
      <c r="K399" s="34">
        <v>801764.44</v>
      </c>
      <c r="L399" s="34">
        <v>1236075.6200000001</v>
      </c>
      <c r="M399" s="46"/>
      <c r="O399" s="46"/>
    </row>
    <row r="400" spans="1:15" x14ac:dyDescent="0.2">
      <c r="A400" s="5">
        <v>372</v>
      </c>
      <c r="B400" s="28">
        <f t="shared" ca="1" si="27"/>
        <v>251929.02624216492</v>
      </c>
      <c r="C400" s="29">
        <f t="shared" ca="1" si="25"/>
        <v>2.9179323574682661</v>
      </c>
      <c r="D400" s="30">
        <f t="shared" ca="1" si="24"/>
        <v>0.1232907563292276</v>
      </c>
      <c r="E400" s="56">
        <v>70198.97</v>
      </c>
      <c r="F400" s="56">
        <v>90118.2</v>
      </c>
      <c r="G400" s="56">
        <v>239781.25</v>
      </c>
      <c r="H400" s="34">
        <v>332938.74</v>
      </c>
      <c r="I400" s="34">
        <v>865814.16</v>
      </c>
      <c r="J400" s="34">
        <v>1639462.09</v>
      </c>
      <c r="K400" s="34">
        <v>4200770.28</v>
      </c>
      <c r="L400" s="34">
        <v>5465924.8300000001</v>
      </c>
      <c r="M400" s="46"/>
      <c r="O400" s="46"/>
    </row>
    <row r="401" spans="1:15" x14ac:dyDescent="0.2">
      <c r="A401" s="5">
        <v>373</v>
      </c>
      <c r="B401" s="28">
        <f t="shared" ca="1" si="27"/>
        <v>249258.45704104652</v>
      </c>
      <c r="C401" s="29">
        <f t="shared" ca="1" si="25"/>
        <v>-0.41379110985425882</v>
      </c>
      <c r="D401" s="30">
        <f t="shared" ca="1" si="24"/>
        <v>-1.2726284654047907E-2</v>
      </c>
      <c r="E401" s="56">
        <v>54263.21</v>
      </c>
      <c r="F401" s="56">
        <v>202447.02</v>
      </c>
      <c r="G401" s="56">
        <v>113241.3</v>
      </c>
      <c r="H401" s="34">
        <v>238948.82</v>
      </c>
      <c r="I401" s="34">
        <v>750377.24</v>
      </c>
      <c r="J401" s="34">
        <v>1243798.33</v>
      </c>
      <c r="K401" s="34">
        <v>2464638.08</v>
      </c>
      <c r="L401" s="34">
        <v>3281962.97</v>
      </c>
      <c r="M401" s="46"/>
      <c r="O401" s="46"/>
    </row>
    <row r="402" spans="1:15" x14ac:dyDescent="0.2">
      <c r="A402" s="5">
        <v>374</v>
      </c>
      <c r="B402" s="28">
        <f t="shared" ca="1" si="27"/>
        <v>244505.15610823425</v>
      </c>
      <c r="C402" s="29">
        <f t="shared" ca="1" si="25"/>
        <v>-0.62180328612692681</v>
      </c>
      <c r="D402" s="30">
        <f t="shared" ca="1" si="24"/>
        <v>-2.1218346189946349E-2</v>
      </c>
      <c r="E402" s="56">
        <v>69433.87</v>
      </c>
      <c r="F402" s="56">
        <v>158296.68</v>
      </c>
      <c r="G402" s="56">
        <v>248254.19</v>
      </c>
      <c r="H402" s="34">
        <v>449036.52</v>
      </c>
      <c r="I402" s="34">
        <v>563686.42000000004</v>
      </c>
      <c r="J402" s="34">
        <v>724892.47</v>
      </c>
      <c r="K402" s="34">
        <v>1585990.6</v>
      </c>
      <c r="L402" s="34">
        <v>3687395.71</v>
      </c>
      <c r="M402" s="46"/>
      <c r="O402" s="46"/>
    </row>
    <row r="403" spans="1:15" x14ac:dyDescent="0.2">
      <c r="A403" s="5">
        <v>375</v>
      </c>
      <c r="B403" s="28">
        <f t="shared" ca="1" si="27"/>
        <v>249856.73485375522</v>
      </c>
      <c r="C403" s="29">
        <f t="shared" ca="1" si="25"/>
        <v>0.38041486234385041</v>
      </c>
      <c r="D403" s="30">
        <f t="shared" ca="1" si="24"/>
        <v>1.9697038388558939E-2</v>
      </c>
      <c r="E403" s="56">
        <v>55273.73</v>
      </c>
      <c r="F403" s="56">
        <v>138451.78</v>
      </c>
      <c r="G403" s="56">
        <v>153024.32999999999</v>
      </c>
      <c r="H403" s="34">
        <v>238939.72</v>
      </c>
      <c r="I403" s="34">
        <v>583029.18000000005</v>
      </c>
      <c r="J403" s="34">
        <v>524868.03</v>
      </c>
      <c r="K403" s="34">
        <v>1342739.69</v>
      </c>
      <c r="L403" s="34">
        <v>1211342.07</v>
      </c>
      <c r="M403" s="46"/>
      <c r="O403" s="46"/>
    </row>
    <row r="404" spans="1:15" x14ac:dyDescent="0.2">
      <c r="A404" s="5">
        <v>376</v>
      </c>
      <c r="B404" s="28">
        <f t="shared" ca="1" si="27"/>
        <v>245069.51494211724</v>
      </c>
      <c r="C404" s="29">
        <f t="shared" ca="1" si="25"/>
        <v>-0.62388404761251359</v>
      </c>
      <c r="D404" s="30">
        <f t="shared" ca="1" si="24"/>
        <v>-2.1303292921881736E-2</v>
      </c>
      <c r="E404" s="56">
        <v>42349.39</v>
      </c>
      <c r="F404" s="56">
        <v>154903.44</v>
      </c>
      <c r="G404" s="56">
        <v>947390.92</v>
      </c>
      <c r="H404" s="34">
        <v>2292817.5099999998</v>
      </c>
      <c r="I404" s="34">
        <v>2919845.72</v>
      </c>
      <c r="J404" s="34">
        <v>5255977.41</v>
      </c>
      <c r="K404" s="34">
        <v>12685989.300000001</v>
      </c>
      <c r="L404" s="34">
        <v>24929005.379999999</v>
      </c>
      <c r="M404" s="46"/>
      <c r="O404" s="46"/>
    </row>
    <row r="405" spans="1:15" x14ac:dyDescent="0.2">
      <c r="A405" s="5">
        <v>377</v>
      </c>
      <c r="B405" s="28">
        <f t="shared" ca="1" si="27"/>
        <v>265577.7103331855</v>
      </c>
      <c r="C405" s="29">
        <f t="shared" ca="1" si="25"/>
        <v>1.8942199557798189</v>
      </c>
      <c r="D405" s="30">
        <f t="shared" ca="1" si="24"/>
        <v>8.1497872537631202E-2</v>
      </c>
      <c r="E405" s="56">
        <v>45766.84</v>
      </c>
      <c r="F405" s="56">
        <v>109891.17</v>
      </c>
      <c r="G405" s="56">
        <v>200922.5</v>
      </c>
      <c r="H405" s="34">
        <v>292377.40999999997</v>
      </c>
      <c r="I405" s="34">
        <v>307684.69</v>
      </c>
      <c r="J405" s="34">
        <v>948255.33</v>
      </c>
      <c r="K405" s="34">
        <v>1941734.04</v>
      </c>
      <c r="L405" s="34">
        <v>1914288.64</v>
      </c>
      <c r="M405" s="46"/>
      <c r="O405" s="46"/>
    </row>
    <row r="406" spans="1:15" x14ac:dyDescent="0.2">
      <c r="A406" s="5">
        <v>378</v>
      </c>
      <c r="B406" s="28">
        <f t="shared" ca="1" si="27"/>
        <v>262227.78189107141</v>
      </c>
      <c r="C406" s="29">
        <f t="shared" ca="1" si="25"/>
        <v>-0.46042960130761423</v>
      </c>
      <c r="D406" s="30">
        <f t="shared" ca="1" si="24"/>
        <v>-1.4630293094612491E-2</v>
      </c>
      <c r="E406" s="56">
        <v>53571.21</v>
      </c>
      <c r="F406" s="56">
        <v>121604.24</v>
      </c>
      <c r="G406" s="56">
        <v>166522.31</v>
      </c>
      <c r="H406" s="34">
        <v>247723.09</v>
      </c>
      <c r="I406" s="34">
        <v>333600.78000000003</v>
      </c>
      <c r="J406" s="34">
        <v>1326709.29</v>
      </c>
      <c r="K406" s="34">
        <v>1878117.98</v>
      </c>
      <c r="L406" s="34">
        <v>5345312.0199999996</v>
      </c>
      <c r="M406" s="46"/>
      <c r="O406" s="46"/>
    </row>
    <row r="407" spans="1:15" x14ac:dyDescent="0.2">
      <c r="A407" s="5">
        <v>379</v>
      </c>
      <c r="B407" s="28">
        <f t="shared" ca="1" si="27"/>
        <v>248481.75955131603</v>
      </c>
      <c r="C407" s="29">
        <f t="shared" ca="1" si="25"/>
        <v>-1.4361147762529811</v>
      </c>
      <c r="D407" s="30">
        <f t="shared" ca="1" si="24"/>
        <v>-5.4462473564850608E-2</v>
      </c>
      <c r="E407" s="56">
        <v>51990.95</v>
      </c>
      <c r="F407" s="56">
        <v>120893.02</v>
      </c>
      <c r="G407" s="56">
        <v>268718.53000000003</v>
      </c>
      <c r="H407" s="34">
        <v>705026.15</v>
      </c>
      <c r="I407" s="34">
        <v>1038037.22</v>
      </c>
      <c r="J407" s="34">
        <v>2074061.61</v>
      </c>
      <c r="K407" s="34">
        <v>4930005.71</v>
      </c>
      <c r="L407" s="34">
        <v>10097579.32</v>
      </c>
      <c r="M407" s="46"/>
      <c r="O407" s="46"/>
    </row>
    <row r="408" spans="1:15" x14ac:dyDescent="0.2">
      <c r="A408" s="5">
        <v>380</v>
      </c>
      <c r="B408" s="28">
        <f t="shared" ca="1" si="27"/>
        <v>241586.31093806692</v>
      </c>
      <c r="C408" s="29">
        <f t="shared" ca="1" si="25"/>
        <v>-0.83459705215179847</v>
      </c>
      <c r="D408" s="30">
        <f t="shared" ca="1" si="24"/>
        <v>-2.9905615310048463E-2</v>
      </c>
      <c r="E408" s="56">
        <v>70692.320000000007</v>
      </c>
      <c r="F408" s="56">
        <v>145091.20000000001</v>
      </c>
      <c r="G408" s="56">
        <v>468221.49</v>
      </c>
      <c r="H408" s="34">
        <v>593110.06000000006</v>
      </c>
      <c r="I408" s="34">
        <v>1318417.81</v>
      </c>
      <c r="J408" s="34">
        <v>2413611.2799999998</v>
      </c>
      <c r="K408" s="34">
        <v>2083706.8</v>
      </c>
      <c r="L408" s="34">
        <v>4557974.3600000003</v>
      </c>
      <c r="M408" s="46"/>
      <c r="O408" s="46"/>
    </row>
    <row r="409" spans="1:15" x14ac:dyDescent="0.2">
      <c r="A409" s="5">
        <v>381</v>
      </c>
      <c r="B409" s="28">
        <f t="shared" ca="1" si="27"/>
        <v>246316.08043182892</v>
      </c>
      <c r="C409" s="29">
        <f t="shared" ca="1" si="25"/>
        <v>0.32319771988029378</v>
      </c>
      <c r="D409" s="30">
        <f t="shared" ca="1" si="24"/>
        <v>1.7361158328961509E-2</v>
      </c>
      <c r="E409" s="56">
        <v>46532.34</v>
      </c>
      <c r="F409" s="56">
        <v>138331.47</v>
      </c>
      <c r="G409" s="56">
        <v>234156.19</v>
      </c>
      <c r="H409" s="34">
        <v>352660.25</v>
      </c>
      <c r="I409" s="34">
        <v>983125.44</v>
      </c>
      <c r="J409" s="34">
        <v>1086377.04</v>
      </c>
      <c r="K409" s="34">
        <v>1679271.09</v>
      </c>
      <c r="L409" s="34">
        <v>2399909.7799999998</v>
      </c>
      <c r="M409" s="46"/>
      <c r="O409" s="46"/>
    </row>
    <row r="410" spans="1:15" x14ac:dyDescent="0.2">
      <c r="A410" s="5">
        <v>382</v>
      </c>
      <c r="B410" s="28">
        <f t="shared" ca="1" si="27"/>
        <v>252528.31346008816</v>
      </c>
      <c r="C410" s="29">
        <f t="shared" ca="1" si="25"/>
        <v>0.46245542227797204</v>
      </c>
      <c r="D410" s="30">
        <f t="shared" ca="1" si="24"/>
        <v>2.3046330222739261E-2</v>
      </c>
      <c r="E410" s="56">
        <v>50738.04</v>
      </c>
      <c r="F410" s="56">
        <v>115230.77</v>
      </c>
      <c r="G410" s="56">
        <v>208463.83</v>
      </c>
      <c r="H410" s="34">
        <v>263886.13</v>
      </c>
      <c r="I410" s="34">
        <v>422171.68</v>
      </c>
      <c r="J410" s="34">
        <v>588674.64</v>
      </c>
      <c r="K410" s="34">
        <v>712072.79</v>
      </c>
      <c r="L410" s="34">
        <v>1284937.1399999999</v>
      </c>
      <c r="M410" s="46"/>
      <c r="O410" s="46"/>
    </row>
    <row r="411" spans="1:15" x14ac:dyDescent="0.2">
      <c r="A411" s="5">
        <v>383</v>
      </c>
      <c r="B411" s="28">
        <f t="shared" ca="1" si="27"/>
        <v>260040.14453281145</v>
      </c>
      <c r="C411" s="29">
        <f t="shared" ca="1" si="25"/>
        <v>0.5746274246234615</v>
      </c>
      <c r="D411" s="30">
        <f t="shared" ca="1" si="24"/>
        <v>2.7625733042284713E-2</v>
      </c>
      <c r="E411" s="56">
        <v>62655.13</v>
      </c>
      <c r="F411" s="56">
        <v>109553.44</v>
      </c>
      <c r="G411" s="56">
        <v>171415.57</v>
      </c>
      <c r="H411" s="34">
        <v>210042.34</v>
      </c>
      <c r="I411" s="34">
        <v>623196.63</v>
      </c>
      <c r="J411" s="34">
        <v>863383.97</v>
      </c>
      <c r="K411" s="34">
        <v>1532349.89</v>
      </c>
      <c r="L411" s="34">
        <v>2008996.87</v>
      </c>
      <c r="M411" s="46"/>
      <c r="O411" s="46"/>
    </row>
    <row r="412" spans="1:15" x14ac:dyDescent="0.2">
      <c r="A412" s="5">
        <v>384</v>
      </c>
      <c r="B412" s="28">
        <f t="shared" ca="1" si="27"/>
        <v>266623.44621927949</v>
      </c>
      <c r="C412" s="29">
        <f t="shared" ca="1" si="25"/>
        <v>0.46761545031082863</v>
      </c>
      <c r="D412" s="30">
        <f t="shared" ca="1" si="24"/>
        <v>2.3256987485055194E-2</v>
      </c>
      <c r="E412" s="56">
        <v>56778.18</v>
      </c>
      <c r="F412" s="56">
        <v>140095.82999999999</v>
      </c>
      <c r="G412" s="56">
        <v>220473.42</v>
      </c>
      <c r="H412" s="34">
        <v>179836.48</v>
      </c>
      <c r="I412" s="34">
        <v>270413.28999999998</v>
      </c>
      <c r="J412" s="34">
        <v>237122.17</v>
      </c>
      <c r="K412" s="34">
        <v>429269.06</v>
      </c>
      <c r="L412" s="34">
        <v>750700.35</v>
      </c>
      <c r="M412" s="46"/>
      <c r="O412" s="46"/>
    </row>
    <row r="413" spans="1:15" x14ac:dyDescent="0.2">
      <c r="A413" s="5">
        <v>385</v>
      </c>
      <c r="B413" s="28">
        <f t="shared" ref="B413:B436" ca="1" si="28">(B412*(1+D413))+($C$6*(1+$C$8)^16)</f>
        <v>272791.4314142231</v>
      </c>
      <c r="C413" s="29">
        <f t="shared" ca="1" si="25"/>
        <v>0.41391783937357912</v>
      </c>
      <c r="D413" s="30">
        <f t="shared" ca="1" si="24"/>
        <v>2.1064791698342619E-2</v>
      </c>
      <c r="E413" s="56">
        <v>107011.6</v>
      </c>
      <c r="F413" s="56">
        <v>239627.12</v>
      </c>
      <c r="G413" s="56">
        <v>378456.33</v>
      </c>
      <c r="H413" s="34">
        <v>810933.03</v>
      </c>
      <c r="I413" s="34">
        <v>1153191.1100000001</v>
      </c>
      <c r="J413" s="34">
        <v>1762662.34</v>
      </c>
      <c r="K413" s="34">
        <v>2281424.2999999998</v>
      </c>
      <c r="L413" s="34">
        <v>2228442.34</v>
      </c>
      <c r="M413" s="46"/>
      <c r="O413" s="46"/>
    </row>
    <row r="414" spans="1:15" x14ac:dyDescent="0.2">
      <c r="A414" s="5">
        <v>386</v>
      </c>
      <c r="B414" s="28">
        <f t="shared" ca="1" si="28"/>
        <v>287992.59429272974</v>
      </c>
      <c r="C414" s="29">
        <f t="shared" ca="1" si="25"/>
        <v>1.2133718516114642</v>
      </c>
      <c r="D414" s="30">
        <f t="shared" ref="D414:D477" ca="1" si="29">$D$20+(C414*$D$21)</f>
        <v>5.3702365078401905E-2</v>
      </c>
      <c r="E414" s="56">
        <v>51259.05</v>
      </c>
      <c r="F414" s="56">
        <v>94061.95</v>
      </c>
      <c r="G414" s="56">
        <v>226228.71</v>
      </c>
      <c r="H414" s="34">
        <v>602648.56000000006</v>
      </c>
      <c r="I414" s="34">
        <v>1138301.8500000001</v>
      </c>
      <c r="J414" s="34">
        <v>1451792.62</v>
      </c>
      <c r="K414" s="34">
        <v>1695987.76</v>
      </c>
      <c r="L414" s="34">
        <v>3142432.62</v>
      </c>
      <c r="M414" s="46"/>
      <c r="O414" s="46"/>
    </row>
    <row r="415" spans="1:15" x14ac:dyDescent="0.2">
      <c r="A415" s="5">
        <v>387</v>
      </c>
      <c r="B415" s="28">
        <f t="shared" ca="1" si="28"/>
        <v>285900.98960748862</v>
      </c>
      <c r="C415" s="29">
        <f t="shared" ref="C415:C478" ca="1" si="30">NORMSINV(RAND())</f>
        <v>-0.32687849456429774</v>
      </c>
      <c r="D415" s="30">
        <f t="shared" ca="1" si="29"/>
        <v>-9.1780919928609039E-3</v>
      </c>
      <c r="E415" s="56">
        <v>65814.89</v>
      </c>
      <c r="F415" s="56">
        <v>161559.12</v>
      </c>
      <c r="G415" s="56">
        <v>115127.64</v>
      </c>
      <c r="H415" s="34">
        <v>275038.46000000002</v>
      </c>
      <c r="I415" s="34">
        <v>1036109.54</v>
      </c>
      <c r="J415" s="34">
        <v>2701431.72</v>
      </c>
      <c r="K415" s="34">
        <v>4835740.88</v>
      </c>
      <c r="L415" s="34">
        <v>10034168.300000001</v>
      </c>
      <c r="M415" s="46"/>
      <c r="O415" s="46"/>
    </row>
    <row r="416" spans="1:15" x14ac:dyDescent="0.2">
      <c r="A416" s="5">
        <v>388</v>
      </c>
      <c r="B416" s="28">
        <f t="shared" ca="1" si="28"/>
        <v>271860.09528751654</v>
      </c>
      <c r="C416" s="29">
        <f t="shared" ca="1" si="30"/>
        <v>-1.3522924024424809</v>
      </c>
      <c r="D416" s="30">
        <f t="shared" ca="1" si="29"/>
        <v>-5.1040439483774645E-2</v>
      </c>
      <c r="E416" s="56">
        <v>73633.570000000007</v>
      </c>
      <c r="F416" s="56">
        <v>222416.49</v>
      </c>
      <c r="G416" s="56">
        <v>502382.59</v>
      </c>
      <c r="H416" s="34">
        <v>950993.23</v>
      </c>
      <c r="I416" s="34">
        <v>1009229.02</v>
      </c>
      <c r="J416" s="34">
        <v>1046756.73</v>
      </c>
      <c r="K416" s="34">
        <v>1744517.26</v>
      </c>
      <c r="L416" s="34">
        <v>2425373.0099999998</v>
      </c>
      <c r="M416" s="46"/>
      <c r="O416" s="46"/>
    </row>
    <row r="417" spans="1:15" x14ac:dyDescent="0.2">
      <c r="A417" s="5">
        <v>389</v>
      </c>
      <c r="B417" s="28">
        <f t="shared" ca="1" si="28"/>
        <v>293343.69780763466</v>
      </c>
      <c r="C417" s="29">
        <f t="shared" ca="1" si="30"/>
        <v>1.7839330646857827</v>
      </c>
      <c r="D417" s="30">
        <f t="shared" ca="1" si="29"/>
        <v>7.6995429062659743E-2</v>
      </c>
      <c r="E417" s="56">
        <v>50875.33</v>
      </c>
      <c r="F417" s="56">
        <v>85970.29</v>
      </c>
      <c r="G417" s="56">
        <v>208207.66</v>
      </c>
      <c r="H417" s="34">
        <v>848373.38</v>
      </c>
      <c r="I417" s="34">
        <v>1108316.8999999999</v>
      </c>
      <c r="J417" s="34">
        <v>1257716.79</v>
      </c>
      <c r="K417" s="34">
        <v>2736021.92</v>
      </c>
      <c r="L417" s="34">
        <v>2567344.61</v>
      </c>
      <c r="M417" s="46"/>
      <c r="O417" s="46"/>
    </row>
    <row r="418" spans="1:15" x14ac:dyDescent="0.2">
      <c r="A418" s="5">
        <v>390</v>
      </c>
      <c r="B418" s="28">
        <f t="shared" ca="1" si="28"/>
        <v>292961.685211426</v>
      </c>
      <c r="C418" s="29">
        <f t="shared" ca="1" si="30"/>
        <v>-0.18002243755015271</v>
      </c>
      <c r="D418" s="30">
        <f t="shared" ca="1" si="29"/>
        <v>-3.1827185708320719E-3</v>
      </c>
      <c r="E418" s="56">
        <v>51443.53</v>
      </c>
      <c r="F418" s="56">
        <v>150293.24</v>
      </c>
      <c r="G418" s="56">
        <v>205166.47</v>
      </c>
      <c r="H418" s="34">
        <v>343653.07</v>
      </c>
      <c r="I418" s="34">
        <v>363093.8</v>
      </c>
      <c r="J418" s="34">
        <v>396517.71</v>
      </c>
      <c r="K418" s="34">
        <v>806469.37</v>
      </c>
      <c r="L418" s="34">
        <v>3106606.95</v>
      </c>
      <c r="M418" s="46"/>
      <c r="O418" s="46"/>
    </row>
    <row r="419" spans="1:15" x14ac:dyDescent="0.2">
      <c r="A419" s="5">
        <v>391</v>
      </c>
      <c r="B419" s="28">
        <f t="shared" ca="1" si="28"/>
        <v>294870.79290716455</v>
      </c>
      <c r="C419" s="29">
        <f t="shared" ca="1" si="30"/>
        <v>1.1439373110106102E-2</v>
      </c>
      <c r="D419" s="30">
        <f t="shared" ca="1" si="29"/>
        <v>4.6336771182845767E-3</v>
      </c>
      <c r="E419" s="56">
        <v>64244.2</v>
      </c>
      <c r="F419" s="56">
        <v>158568</v>
      </c>
      <c r="G419" s="56">
        <v>448648.48</v>
      </c>
      <c r="H419" s="34">
        <v>446237.33</v>
      </c>
      <c r="I419" s="34">
        <v>633294.81999999995</v>
      </c>
      <c r="J419" s="34">
        <v>1746777.89</v>
      </c>
      <c r="K419" s="34">
        <v>1897204.51</v>
      </c>
      <c r="L419" s="34">
        <v>2527761.9700000002</v>
      </c>
      <c r="M419" s="46"/>
      <c r="O419" s="46"/>
    </row>
    <row r="420" spans="1:15" x14ac:dyDescent="0.2">
      <c r="A420" s="5">
        <v>392</v>
      </c>
      <c r="B420" s="28">
        <f t="shared" ca="1" si="28"/>
        <v>292107.39140438323</v>
      </c>
      <c r="C420" s="29">
        <f t="shared" ca="1" si="30"/>
        <v>-0.3774405118772089</v>
      </c>
      <c r="D420" s="30">
        <f t="shared" ca="1" si="29"/>
        <v>-1.1242277705900926E-2</v>
      </c>
      <c r="E420" s="56">
        <v>46076.15</v>
      </c>
      <c r="F420" s="56">
        <v>141582.89000000001</v>
      </c>
      <c r="G420" s="56">
        <v>242431.62</v>
      </c>
      <c r="H420" s="34">
        <v>501833.98</v>
      </c>
      <c r="I420" s="34">
        <v>718003.85</v>
      </c>
      <c r="J420" s="34">
        <v>768667.78</v>
      </c>
      <c r="K420" s="34">
        <v>1002352.31</v>
      </c>
      <c r="L420" s="34">
        <v>1096271.19</v>
      </c>
      <c r="M420" s="46"/>
      <c r="O420" s="46"/>
    </row>
    <row r="421" spans="1:15" x14ac:dyDescent="0.2">
      <c r="A421" s="5">
        <v>393</v>
      </c>
      <c r="B421" s="28">
        <f t="shared" ca="1" si="28"/>
        <v>286234.95044785109</v>
      </c>
      <c r="C421" s="29">
        <f t="shared" ca="1" si="30"/>
        <v>-0.64075662771323583</v>
      </c>
      <c r="D421" s="30">
        <f t="shared" ca="1" si="29"/>
        <v>-2.1992113120065181E-2</v>
      </c>
      <c r="E421" s="56">
        <v>98617.13</v>
      </c>
      <c r="F421" s="56">
        <v>250704.14</v>
      </c>
      <c r="G421" s="56">
        <v>236600.62</v>
      </c>
      <c r="H421" s="34">
        <v>589730.94999999995</v>
      </c>
      <c r="I421" s="34">
        <v>496308.54</v>
      </c>
      <c r="J421" s="34">
        <v>1368579.2</v>
      </c>
      <c r="K421" s="34">
        <v>2791919.93</v>
      </c>
      <c r="L421" s="34">
        <v>4886935.0999999996</v>
      </c>
      <c r="M421" s="46"/>
      <c r="O421" s="46"/>
    </row>
    <row r="422" spans="1:15" x14ac:dyDescent="0.2">
      <c r="A422" s="5">
        <v>394</v>
      </c>
      <c r="B422" s="28">
        <f t="shared" ca="1" si="28"/>
        <v>272534.06854752894</v>
      </c>
      <c r="C422" s="29">
        <f t="shared" ca="1" si="30"/>
        <v>-1.3217367442273489</v>
      </c>
      <c r="D422" s="30">
        <f t="shared" ca="1" si="29"/>
        <v>-4.9793009960742075E-2</v>
      </c>
      <c r="E422" s="56">
        <v>49397.78</v>
      </c>
      <c r="F422" s="56">
        <v>132763.71</v>
      </c>
      <c r="G422" s="56">
        <v>386504.01</v>
      </c>
      <c r="H422" s="34">
        <v>689996.68</v>
      </c>
      <c r="I422" s="34">
        <v>891061.98</v>
      </c>
      <c r="J422" s="34">
        <v>1890149.91</v>
      </c>
      <c r="K422" s="34">
        <v>1509650.09</v>
      </c>
      <c r="L422" s="34">
        <v>880751.97</v>
      </c>
      <c r="M422" s="46"/>
      <c r="O422" s="46"/>
    </row>
    <row r="423" spans="1:15" x14ac:dyDescent="0.2">
      <c r="A423" s="5">
        <v>395</v>
      </c>
      <c r="B423" s="28">
        <f t="shared" ca="1" si="28"/>
        <v>291199.1110905151</v>
      </c>
      <c r="C423" s="29">
        <f t="shared" ca="1" si="30"/>
        <v>1.5259416575937466</v>
      </c>
      <c r="D423" s="30">
        <f t="shared" ca="1" si="29"/>
        <v>6.6462973972690714E-2</v>
      </c>
      <c r="E423" s="56">
        <v>48864.72</v>
      </c>
      <c r="F423" s="56">
        <v>102571.43</v>
      </c>
      <c r="G423" s="56">
        <v>469622.42</v>
      </c>
      <c r="H423" s="34">
        <v>435593.65</v>
      </c>
      <c r="I423" s="34">
        <v>2073973.97</v>
      </c>
      <c r="J423" s="34">
        <v>2613250.31</v>
      </c>
      <c r="K423" s="34">
        <v>2775170.82</v>
      </c>
      <c r="L423" s="34">
        <v>3590388.85</v>
      </c>
      <c r="M423" s="46"/>
      <c r="O423" s="46"/>
    </row>
    <row r="424" spans="1:15" x14ac:dyDescent="0.2">
      <c r="A424" s="5">
        <v>396</v>
      </c>
      <c r="B424" s="28">
        <f t="shared" ca="1" si="28"/>
        <v>301266.17712199572</v>
      </c>
      <c r="C424" s="29">
        <f t="shared" ca="1" si="30"/>
        <v>0.69835220954138211</v>
      </c>
      <c r="D424" s="30">
        <f t="shared" ca="1" si="29"/>
        <v>3.2676776235359736E-2</v>
      </c>
      <c r="E424" s="56">
        <v>98161.48</v>
      </c>
      <c r="F424" s="56">
        <v>161033.19</v>
      </c>
      <c r="G424" s="56">
        <v>342226.39</v>
      </c>
      <c r="H424" s="34">
        <v>513026.42</v>
      </c>
      <c r="I424" s="34">
        <v>602941.54</v>
      </c>
      <c r="J424" s="34">
        <v>1024972.41</v>
      </c>
      <c r="K424" s="34">
        <v>2167448.48</v>
      </c>
      <c r="L424" s="34">
        <v>3550657.01</v>
      </c>
      <c r="M424" s="46"/>
      <c r="O424" s="46"/>
    </row>
    <row r="425" spans="1:15" x14ac:dyDescent="0.2">
      <c r="A425" s="5">
        <v>397</v>
      </c>
      <c r="B425" s="28">
        <f t="shared" ca="1" si="28"/>
        <v>325971.14388039167</v>
      </c>
      <c r="C425" s="29">
        <f t="shared" ca="1" si="30"/>
        <v>1.8617621109842013</v>
      </c>
      <c r="D425" s="30">
        <f t="shared" ca="1" si="29"/>
        <v>8.0172786572635976E-2</v>
      </c>
      <c r="E425" s="56">
        <v>59722.57</v>
      </c>
      <c r="F425" s="56">
        <v>86612.56</v>
      </c>
      <c r="G425" s="56">
        <v>182546.03</v>
      </c>
      <c r="H425" s="34">
        <v>497364.68</v>
      </c>
      <c r="I425" s="34">
        <v>1258472.6399999999</v>
      </c>
      <c r="J425" s="34">
        <v>2476717.62</v>
      </c>
      <c r="K425" s="34">
        <v>2036802.73</v>
      </c>
      <c r="L425" s="34">
        <v>1656042.5</v>
      </c>
      <c r="M425" s="46"/>
      <c r="O425" s="46"/>
    </row>
    <row r="426" spans="1:15" x14ac:dyDescent="0.2">
      <c r="A426" s="5">
        <v>398</v>
      </c>
      <c r="B426" s="28">
        <f t="shared" ca="1" si="28"/>
        <v>323374.47158191976</v>
      </c>
      <c r="C426" s="29">
        <f t="shared" ca="1" si="30"/>
        <v>-0.33863836295476279</v>
      </c>
      <c r="D426" s="30">
        <f t="shared" ca="1" si="29"/>
        <v>-9.6581866095096398E-3</v>
      </c>
      <c r="E426" s="56">
        <v>45210.96</v>
      </c>
      <c r="F426" s="56">
        <v>97791.53</v>
      </c>
      <c r="G426" s="56">
        <v>291547.34999999998</v>
      </c>
      <c r="H426" s="34">
        <v>692989.33</v>
      </c>
      <c r="I426" s="34">
        <v>1061743.82</v>
      </c>
      <c r="J426" s="34">
        <v>1087724.07</v>
      </c>
      <c r="K426" s="34">
        <v>2773616.51</v>
      </c>
      <c r="L426" s="34">
        <v>3002360.73</v>
      </c>
      <c r="M426" s="46"/>
      <c r="O426" s="46"/>
    </row>
    <row r="427" spans="1:15" x14ac:dyDescent="0.2">
      <c r="A427" s="5">
        <v>399</v>
      </c>
      <c r="B427" s="28">
        <f t="shared" ca="1" si="28"/>
        <v>331156.8865206482</v>
      </c>
      <c r="C427" s="29">
        <f t="shared" ca="1" si="30"/>
        <v>0.44565473516597853</v>
      </c>
      <c r="D427" s="30">
        <f t="shared" ca="1" si="29"/>
        <v>2.2360445043530301E-2</v>
      </c>
      <c r="E427" s="56">
        <v>32888.92</v>
      </c>
      <c r="F427" s="56">
        <v>107075.32</v>
      </c>
      <c r="G427" s="56">
        <v>252187.38</v>
      </c>
      <c r="H427" s="34">
        <v>282319.55</v>
      </c>
      <c r="I427" s="34">
        <v>489527.94</v>
      </c>
      <c r="J427" s="34">
        <v>919199.05</v>
      </c>
      <c r="K427" s="34">
        <v>1540936.06</v>
      </c>
      <c r="L427" s="34">
        <v>4344883.22</v>
      </c>
      <c r="M427" s="46"/>
      <c r="O427" s="46"/>
    </row>
    <row r="428" spans="1:15" x14ac:dyDescent="0.2">
      <c r="A428" s="5">
        <v>400</v>
      </c>
      <c r="B428" s="28">
        <f t="shared" ca="1" si="28"/>
        <v>339246.99247092922</v>
      </c>
      <c r="C428" s="29">
        <f t="shared" ca="1" si="30"/>
        <v>0.45554219465617346</v>
      </c>
      <c r="D428" s="30">
        <f t="shared" ca="1" si="29"/>
        <v>2.2764098886920579E-2</v>
      </c>
      <c r="E428" s="56">
        <v>49916.98</v>
      </c>
      <c r="F428" s="56">
        <v>112907.47</v>
      </c>
      <c r="G428" s="56">
        <v>219192.32000000001</v>
      </c>
      <c r="H428" s="34">
        <v>496267.55</v>
      </c>
      <c r="I428" s="34">
        <v>832747.7</v>
      </c>
      <c r="J428" s="34">
        <v>2337912.13</v>
      </c>
      <c r="K428" s="34">
        <v>6248970.9800000004</v>
      </c>
      <c r="L428" s="34">
        <v>13095847.16</v>
      </c>
      <c r="M428" s="46"/>
      <c r="O428" s="46"/>
    </row>
    <row r="429" spans="1:15" x14ac:dyDescent="0.2">
      <c r="A429" s="5">
        <v>401</v>
      </c>
      <c r="B429" s="28">
        <f t="shared" ca="1" si="28"/>
        <v>360167.9932986811</v>
      </c>
      <c r="C429" s="29">
        <f t="shared" ca="1" si="30"/>
        <v>1.3686833077846146</v>
      </c>
      <c r="D429" s="30">
        <f t="shared" ca="1" si="29"/>
        <v>6.0042928725616083E-2</v>
      </c>
      <c r="E429" s="56">
        <v>80348.98</v>
      </c>
      <c r="F429" s="56">
        <v>347947.77</v>
      </c>
      <c r="G429" s="56">
        <v>422147</v>
      </c>
      <c r="H429" s="34">
        <v>1064382.04</v>
      </c>
      <c r="I429" s="34">
        <v>2055778.28</v>
      </c>
      <c r="J429" s="34">
        <v>2511556.94</v>
      </c>
      <c r="K429" s="34">
        <v>4218871.3099999996</v>
      </c>
      <c r="L429" s="34">
        <v>3157804.48</v>
      </c>
      <c r="M429" s="46"/>
      <c r="O429" s="46"/>
    </row>
    <row r="430" spans="1:15" x14ac:dyDescent="0.2">
      <c r="A430" s="5">
        <v>402</v>
      </c>
      <c r="B430" s="28">
        <f t="shared" ca="1" si="28"/>
        <v>369102.58459516044</v>
      </c>
      <c r="C430" s="29">
        <f t="shared" ca="1" si="30"/>
        <v>0.46806097778129696</v>
      </c>
      <c r="D430" s="30">
        <f t="shared" ca="1" si="29"/>
        <v>2.3275176067872532E-2</v>
      </c>
      <c r="E430" s="56">
        <v>55047.51</v>
      </c>
      <c r="F430" s="56">
        <v>170146.24</v>
      </c>
      <c r="G430" s="56">
        <v>236921.79</v>
      </c>
      <c r="H430" s="34">
        <v>716135.81</v>
      </c>
      <c r="I430" s="34">
        <v>2007736.69</v>
      </c>
      <c r="J430" s="34">
        <v>3904186.04</v>
      </c>
      <c r="K430" s="34">
        <v>3266235.49</v>
      </c>
      <c r="L430" s="34">
        <v>7596995.5199999996</v>
      </c>
      <c r="M430" s="46"/>
      <c r="O430" s="46"/>
    </row>
    <row r="431" spans="1:15" x14ac:dyDescent="0.2">
      <c r="A431" s="5">
        <v>403</v>
      </c>
      <c r="B431" s="28">
        <f t="shared" ca="1" si="28"/>
        <v>392279.01822004496</v>
      </c>
      <c r="C431" s="29">
        <f t="shared" ca="1" si="30"/>
        <v>1.399397318735609</v>
      </c>
      <c r="D431" s="30">
        <f t="shared" ca="1" si="29"/>
        <v>6.1296822972019271E-2</v>
      </c>
      <c r="E431" s="56">
        <v>61436.39</v>
      </c>
      <c r="F431" s="56">
        <v>120609.25</v>
      </c>
      <c r="G431" s="56">
        <v>136144.65</v>
      </c>
      <c r="H431" s="34">
        <v>234775.38</v>
      </c>
      <c r="I431" s="34">
        <v>967022.99</v>
      </c>
      <c r="J431" s="34">
        <v>890380.66</v>
      </c>
      <c r="K431" s="34">
        <v>575381.93000000005</v>
      </c>
      <c r="L431" s="34">
        <v>1168328.82</v>
      </c>
      <c r="M431" s="46"/>
      <c r="O431" s="46"/>
    </row>
    <row r="432" spans="1:15" x14ac:dyDescent="0.2">
      <c r="A432" s="5">
        <v>404</v>
      </c>
      <c r="B432" s="28">
        <f t="shared" ca="1" si="28"/>
        <v>398821.11120342294</v>
      </c>
      <c r="C432" s="29">
        <f t="shared" ca="1" si="30"/>
        <v>0.27199839813017834</v>
      </c>
      <c r="D432" s="30">
        <f t="shared" ca="1" si="29"/>
        <v>1.5270954771222117E-2</v>
      </c>
      <c r="E432" s="56">
        <v>79254.460000000006</v>
      </c>
      <c r="F432" s="56">
        <v>172533.2</v>
      </c>
      <c r="G432" s="56">
        <v>242826.69</v>
      </c>
      <c r="H432" s="34">
        <v>382010.83</v>
      </c>
      <c r="I432" s="34">
        <v>560766.68999999994</v>
      </c>
      <c r="J432" s="34">
        <v>606878.4</v>
      </c>
      <c r="K432" s="34">
        <v>1435582.48</v>
      </c>
      <c r="L432" s="34">
        <v>1866962.21</v>
      </c>
      <c r="M432" s="46"/>
      <c r="O432" s="46"/>
    </row>
    <row r="433" spans="1:15" x14ac:dyDescent="0.2">
      <c r="A433" s="5">
        <v>405</v>
      </c>
      <c r="B433" s="28">
        <f t="shared" ca="1" si="28"/>
        <v>408755.97939928272</v>
      </c>
      <c r="C433" s="29">
        <f t="shared" ca="1" si="30"/>
        <v>0.47424080751773878</v>
      </c>
      <c r="D433" s="30">
        <f t="shared" ca="1" si="29"/>
        <v>2.3527466560398544E-2</v>
      </c>
      <c r="E433" s="56">
        <v>58019.82</v>
      </c>
      <c r="F433" s="56">
        <v>197608.8</v>
      </c>
      <c r="G433" s="56">
        <v>359525.59</v>
      </c>
      <c r="H433" s="34">
        <v>807058.87</v>
      </c>
      <c r="I433" s="34">
        <v>1426560.66</v>
      </c>
      <c r="J433" s="34">
        <v>1640727.96</v>
      </c>
      <c r="K433" s="34">
        <v>2625893.88</v>
      </c>
      <c r="L433" s="34">
        <v>12532199.32</v>
      </c>
      <c r="M433" s="46"/>
      <c r="O433" s="46"/>
    </row>
    <row r="434" spans="1:15" x14ac:dyDescent="0.2">
      <c r="A434" s="5">
        <v>406</v>
      </c>
      <c r="B434" s="28">
        <f t="shared" ca="1" si="28"/>
        <v>410577.05953173642</v>
      </c>
      <c r="C434" s="29">
        <f t="shared" ca="1" si="30"/>
        <v>-2.5988937915752696E-2</v>
      </c>
      <c r="D434" s="30">
        <f t="shared" ca="1" si="29"/>
        <v>3.1056727191589159E-3</v>
      </c>
      <c r="E434" s="56">
        <v>55220.93</v>
      </c>
      <c r="F434" s="56">
        <v>169108.53</v>
      </c>
      <c r="G434" s="56">
        <v>193550.33</v>
      </c>
      <c r="H434" s="34">
        <v>304008.51</v>
      </c>
      <c r="I434" s="34">
        <v>452314.78</v>
      </c>
      <c r="J434" s="34">
        <v>863851.38</v>
      </c>
      <c r="K434" s="34">
        <v>1184383.3600000001</v>
      </c>
      <c r="L434" s="34">
        <v>1421659.06</v>
      </c>
      <c r="M434" s="46"/>
      <c r="O434" s="46"/>
    </row>
    <row r="435" spans="1:15" x14ac:dyDescent="0.2">
      <c r="A435" s="5">
        <v>407</v>
      </c>
      <c r="B435" s="28">
        <f t="shared" ca="1" si="28"/>
        <v>399497.56700319215</v>
      </c>
      <c r="C435" s="29">
        <f t="shared" ca="1" si="30"/>
        <v>-0.79597043597169637</v>
      </c>
      <c r="D435" s="30">
        <f t="shared" ca="1" si="29"/>
        <v>-2.8328690307855411E-2</v>
      </c>
      <c r="E435" s="56">
        <v>72763.47</v>
      </c>
      <c r="F435" s="56">
        <v>82730.509999999995</v>
      </c>
      <c r="G435" s="56">
        <v>157458.48000000001</v>
      </c>
      <c r="H435" s="34">
        <v>415371.52000000002</v>
      </c>
      <c r="I435" s="34">
        <v>707932.38</v>
      </c>
      <c r="J435" s="34">
        <v>1551051.23</v>
      </c>
      <c r="K435" s="34">
        <v>9308124.5899999999</v>
      </c>
      <c r="L435" s="34">
        <v>8450503.5399999991</v>
      </c>
      <c r="M435" s="46"/>
      <c r="O435" s="46"/>
    </row>
    <row r="436" spans="1:15" x14ac:dyDescent="0.2">
      <c r="A436" s="5">
        <v>408</v>
      </c>
      <c r="B436" s="28">
        <f t="shared" ca="1" si="28"/>
        <v>397812.66478800564</v>
      </c>
      <c r="C436" s="29">
        <f t="shared" ca="1" si="30"/>
        <v>-0.23919264319698244</v>
      </c>
      <c r="D436" s="30">
        <f t="shared" ca="1" si="29"/>
        <v>-5.5983321010034176E-3</v>
      </c>
      <c r="E436" s="56">
        <v>50442.81</v>
      </c>
      <c r="F436" s="56">
        <v>136835.01999999999</v>
      </c>
      <c r="G436" s="56">
        <v>209282.21</v>
      </c>
      <c r="H436" s="34">
        <v>192892.85</v>
      </c>
      <c r="I436" s="34">
        <v>470435.52</v>
      </c>
      <c r="J436" s="34">
        <v>738068.76</v>
      </c>
      <c r="K436" s="34">
        <v>1336666.58</v>
      </c>
      <c r="L436" s="34">
        <v>6973695.3499999996</v>
      </c>
      <c r="M436" s="46"/>
      <c r="O436" s="46"/>
    </row>
    <row r="437" spans="1:15" x14ac:dyDescent="0.2">
      <c r="A437" s="5">
        <v>409</v>
      </c>
      <c r="B437" s="28">
        <f t="shared" ref="B437:B460" ca="1" si="31">(B436*(1+D437))+($C$6*(1+$C$8)^17)</f>
        <v>409096.17069874448</v>
      </c>
      <c r="C437" s="29">
        <f t="shared" ca="1" si="30"/>
        <v>0.55772371627197148</v>
      </c>
      <c r="D437" s="30">
        <f t="shared" ca="1" si="29"/>
        <v>2.6935642038585162E-2</v>
      </c>
      <c r="E437" s="56">
        <v>40794.83</v>
      </c>
      <c r="F437" s="56">
        <v>108580.44</v>
      </c>
      <c r="G437" s="56">
        <v>246206.8</v>
      </c>
      <c r="H437" s="34">
        <v>314134.24</v>
      </c>
      <c r="I437" s="34">
        <v>373555.59</v>
      </c>
      <c r="J437" s="34">
        <v>543319.6</v>
      </c>
      <c r="K437" s="34">
        <v>830583.11</v>
      </c>
      <c r="L437" s="34">
        <v>1130692.24</v>
      </c>
      <c r="M437" s="46"/>
      <c r="O437" s="46"/>
    </row>
    <row r="438" spans="1:15" x14ac:dyDescent="0.2">
      <c r="A438" s="5">
        <v>410</v>
      </c>
      <c r="B438" s="28">
        <f t="shared" ca="1" si="31"/>
        <v>407312.25254095055</v>
      </c>
      <c r="C438" s="29">
        <f t="shared" ca="1" si="30"/>
        <v>-0.24289465298335697</v>
      </c>
      <c r="D438" s="30">
        <f t="shared" ca="1" si="29"/>
        <v>-5.7494660176602074E-3</v>
      </c>
      <c r="E438" s="56">
        <v>57546.89</v>
      </c>
      <c r="F438" s="56">
        <v>89011.73</v>
      </c>
      <c r="G438" s="56">
        <v>161489.06</v>
      </c>
      <c r="H438" s="34">
        <v>259119.77</v>
      </c>
      <c r="I438" s="34">
        <v>571575.42000000004</v>
      </c>
      <c r="J438" s="34">
        <v>745920.16</v>
      </c>
      <c r="K438" s="34">
        <v>468113.91</v>
      </c>
      <c r="L438" s="34">
        <v>1109470.94</v>
      </c>
      <c r="M438" s="46"/>
      <c r="O438" s="46"/>
    </row>
    <row r="439" spans="1:15" x14ac:dyDescent="0.2">
      <c r="A439" s="5">
        <v>411</v>
      </c>
      <c r="B439" s="28">
        <f t="shared" ca="1" si="31"/>
        <v>410386.62340669276</v>
      </c>
      <c r="C439" s="29">
        <f t="shared" ca="1" si="30"/>
        <v>4.8655765075853119E-2</v>
      </c>
      <c r="D439" s="30">
        <f t="shared" ca="1" si="29"/>
        <v>6.1530299580095033E-3</v>
      </c>
      <c r="E439" s="56">
        <v>68439.47</v>
      </c>
      <c r="F439" s="56">
        <v>121897.7</v>
      </c>
      <c r="G439" s="56">
        <v>235108.82</v>
      </c>
      <c r="H439" s="34">
        <v>212358.04</v>
      </c>
      <c r="I439" s="34">
        <v>378029.5</v>
      </c>
      <c r="J439" s="34">
        <v>786595.96</v>
      </c>
      <c r="K439" s="34">
        <v>1928187.72</v>
      </c>
      <c r="L439" s="34">
        <v>2891129.07</v>
      </c>
      <c r="M439" s="46"/>
      <c r="O439" s="46"/>
    </row>
    <row r="440" spans="1:15" x14ac:dyDescent="0.2">
      <c r="A440" s="5">
        <v>412</v>
      </c>
      <c r="B440" s="28">
        <f t="shared" ca="1" si="31"/>
        <v>425446.41284342058</v>
      </c>
      <c r="C440" s="29">
        <f t="shared" ca="1" si="30"/>
        <v>0.76290476657484951</v>
      </c>
      <c r="D440" s="30">
        <f t="shared" ca="1" si="29"/>
        <v>3.5312123340758145E-2</v>
      </c>
      <c r="E440" s="56">
        <v>59978.07</v>
      </c>
      <c r="F440" s="56">
        <v>122392.21</v>
      </c>
      <c r="G440" s="56">
        <v>308456.71000000002</v>
      </c>
      <c r="H440" s="34">
        <v>288240.58</v>
      </c>
      <c r="I440" s="34">
        <v>314553.14</v>
      </c>
      <c r="J440" s="34">
        <v>872811.22</v>
      </c>
      <c r="K440" s="34">
        <v>3162106.14</v>
      </c>
      <c r="L440" s="34">
        <v>4915833.6900000004</v>
      </c>
      <c r="M440" s="46"/>
      <c r="O440" s="46"/>
    </row>
    <row r="441" spans="1:15" x14ac:dyDescent="0.2">
      <c r="A441" s="5">
        <v>413</v>
      </c>
      <c r="B441" s="28">
        <f t="shared" ca="1" si="31"/>
        <v>418667.67604758666</v>
      </c>
      <c r="C441" s="29">
        <f t="shared" ca="1" si="30"/>
        <v>-0.52505691782945174</v>
      </c>
      <c r="D441" s="30">
        <f t="shared" ca="1" si="29"/>
        <v>-1.7268692243343202E-2</v>
      </c>
      <c r="E441" s="56">
        <v>39131.22</v>
      </c>
      <c r="F441" s="56">
        <v>124631.83</v>
      </c>
      <c r="G441" s="56">
        <v>289466.87</v>
      </c>
      <c r="H441" s="34">
        <v>376853.78</v>
      </c>
      <c r="I441" s="34">
        <v>944842.81</v>
      </c>
      <c r="J441" s="34">
        <v>1876301.75</v>
      </c>
      <c r="K441" s="34">
        <v>2070245.13</v>
      </c>
      <c r="L441" s="34">
        <v>2580996.08</v>
      </c>
      <c r="M441" s="46"/>
      <c r="O441" s="46"/>
    </row>
    <row r="442" spans="1:15" x14ac:dyDescent="0.2">
      <c r="A442" s="5">
        <v>414</v>
      </c>
      <c r="B442" s="28">
        <f t="shared" ca="1" si="31"/>
        <v>431317.51688680804</v>
      </c>
      <c r="C442" s="29">
        <f t="shared" ca="1" si="30"/>
        <v>0.60479779195684513</v>
      </c>
      <c r="D442" s="30">
        <f t="shared" ca="1" si="29"/>
        <v>2.8857433130936777E-2</v>
      </c>
      <c r="E442" s="56">
        <v>40726.69</v>
      </c>
      <c r="F442" s="56">
        <v>85167.71</v>
      </c>
      <c r="G442" s="56">
        <v>247895.77</v>
      </c>
      <c r="H442" s="34">
        <v>608172.74</v>
      </c>
      <c r="I442" s="34">
        <v>1390165.74</v>
      </c>
      <c r="J442" s="34">
        <v>3718502.13</v>
      </c>
      <c r="K442" s="34">
        <v>1907106.8</v>
      </c>
      <c r="L442" s="34">
        <v>3859644.55</v>
      </c>
      <c r="M442" s="46"/>
      <c r="O442" s="46"/>
    </row>
    <row r="443" spans="1:15" x14ac:dyDescent="0.2">
      <c r="A443" s="5">
        <v>415</v>
      </c>
      <c r="B443" s="28">
        <f t="shared" ca="1" si="31"/>
        <v>424541.19934389042</v>
      </c>
      <c r="C443" s="29">
        <f t="shared" ca="1" si="30"/>
        <v>-0.5191617107058123</v>
      </c>
      <c r="D443" s="30">
        <f t="shared" ca="1" si="29"/>
        <v>-1.7028021420327583E-2</v>
      </c>
      <c r="E443" s="56">
        <v>81357.86</v>
      </c>
      <c r="F443" s="56">
        <v>139734.98000000001</v>
      </c>
      <c r="G443" s="56">
        <v>325296.17</v>
      </c>
      <c r="H443" s="34">
        <v>295130.81</v>
      </c>
      <c r="I443" s="34">
        <v>429304.62</v>
      </c>
      <c r="J443" s="34">
        <v>582643.32999999996</v>
      </c>
      <c r="K443" s="34">
        <v>741161.5</v>
      </c>
      <c r="L443" s="34">
        <v>1284348</v>
      </c>
      <c r="M443" s="46"/>
      <c r="O443" s="46"/>
    </row>
    <row r="444" spans="1:15" x14ac:dyDescent="0.2">
      <c r="A444" s="5">
        <v>416</v>
      </c>
      <c r="B444" s="28">
        <f t="shared" ca="1" si="31"/>
        <v>426155.23136749421</v>
      </c>
      <c r="C444" s="29">
        <f t="shared" ca="1" si="30"/>
        <v>-4.1718407831747115E-2</v>
      </c>
      <c r="D444" s="30">
        <f t="shared" ca="1" si="29"/>
        <v>2.4635197988481673E-3</v>
      </c>
      <c r="E444" s="56">
        <v>47932.61</v>
      </c>
      <c r="F444" s="56">
        <v>181816.46</v>
      </c>
      <c r="G444" s="56">
        <v>303594.53000000003</v>
      </c>
      <c r="H444" s="34">
        <v>832903.31</v>
      </c>
      <c r="I444" s="34">
        <v>722212.76</v>
      </c>
      <c r="J444" s="34">
        <v>1829349.67</v>
      </c>
      <c r="K444" s="34">
        <v>1944844.64</v>
      </c>
      <c r="L444" s="34">
        <v>1427664.39</v>
      </c>
      <c r="M444" s="46"/>
      <c r="O444" s="46"/>
    </row>
    <row r="445" spans="1:15" x14ac:dyDescent="0.2">
      <c r="A445" s="5">
        <v>417</v>
      </c>
      <c r="B445" s="28">
        <f t="shared" ca="1" si="31"/>
        <v>460494.45791008783</v>
      </c>
      <c r="C445" s="29">
        <f t="shared" ca="1" si="30"/>
        <v>1.8390584252231066</v>
      </c>
      <c r="D445" s="30">
        <f t="shared" ca="1" si="29"/>
        <v>7.9245912482716396E-2</v>
      </c>
      <c r="E445" s="56">
        <v>54202.79</v>
      </c>
      <c r="F445" s="56">
        <v>149453.9</v>
      </c>
      <c r="G445" s="56">
        <v>274837.64</v>
      </c>
      <c r="H445" s="34">
        <v>495757.75</v>
      </c>
      <c r="I445" s="34">
        <v>701902.03</v>
      </c>
      <c r="J445" s="34">
        <v>974092.33</v>
      </c>
      <c r="K445" s="34">
        <v>2460195.62</v>
      </c>
      <c r="L445" s="34">
        <v>2330917.79</v>
      </c>
      <c r="M445" s="46"/>
      <c r="O445" s="46"/>
    </row>
    <row r="446" spans="1:15" x14ac:dyDescent="0.2">
      <c r="A446" s="5">
        <v>418</v>
      </c>
      <c r="B446" s="28">
        <f t="shared" ca="1" si="31"/>
        <v>466557.19003417151</v>
      </c>
      <c r="C446" s="29">
        <f t="shared" ca="1" si="30"/>
        <v>0.19020816464064469</v>
      </c>
      <c r="D446" s="30">
        <f t="shared" ca="1" si="29"/>
        <v>1.1931882471347886E-2</v>
      </c>
      <c r="E446" s="56">
        <v>38755.99</v>
      </c>
      <c r="F446" s="56">
        <v>182204.27</v>
      </c>
      <c r="G446" s="56">
        <v>412576.67</v>
      </c>
      <c r="H446" s="34">
        <v>532344.15</v>
      </c>
      <c r="I446" s="34">
        <v>835709.38</v>
      </c>
      <c r="J446" s="34">
        <v>1107402.9099999999</v>
      </c>
      <c r="K446" s="34">
        <v>1762218.94</v>
      </c>
      <c r="L446" s="34">
        <v>2969312.03</v>
      </c>
      <c r="M446" s="46"/>
      <c r="O446" s="46"/>
    </row>
    <row r="447" spans="1:15" x14ac:dyDescent="0.2">
      <c r="A447" s="5">
        <v>419</v>
      </c>
      <c r="B447" s="28">
        <f t="shared" ca="1" si="31"/>
        <v>487199.28401635936</v>
      </c>
      <c r="C447" s="29">
        <f t="shared" ca="1" si="30"/>
        <v>0.95184687627457887</v>
      </c>
      <c r="D447" s="30">
        <f t="shared" ca="1" si="29"/>
        <v>4.3025652668913165E-2</v>
      </c>
      <c r="E447" s="56">
        <v>63242.65</v>
      </c>
      <c r="F447" s="56">
        <v>104468.74</v>
      </c>
      <c r="G447" s="56">
        <v>155948.06</v>
      </c>
      <c r="H447" s="34">
        <v>438198.75</v>
      </c>
      <c r="I447" s="34">
        <v>865976.75</v>
      </c>
      <c r="J447" s="34">
        <v>1237055.04</v>
      </c>
      <c r="K447" s="34">
        <v>3502239.28</v>
      </c>
      <c r="L447" s="34">
        <v>7682696.6799999997</v>
      </c>
      <c r="M447" s="46"/>
      <c r="O447" s="46"/>
    </row>
    <row r="448" spans="1:15" x14ac:dyDescent="0.2">
      <c r="A448" s="5">
        <v>420</v>
      </c>
      <c r="B448" s="28">
        <f t="shared" ca="1" si="31"/>
        <v>464878.74199457123</v>
      </c>
      <c r="C448" s="29">
        <f t="shared" ca="1" si="30"/>
        <v>-1.2528366792173931</v>
      </c>
      <c r="D448" s="30">
        <f t="shared" ca="1" si="29"/>
        <v>-4.698017658542572E-2</v>
      </c>
      <c r="E448" s="56">
        <v>37513.019999999997</v>
      </c>
      <c r="F448" s="56">
        <v>93990.59</v>
      </c>
      <c r="G448" s="56">
        <v>259935.61</v>
      </c>
      <c r="H448" s="34">
        <v>406628.48</v>
      </c>
      <c r="I448" s="34">
        <v>1658785.39</v>
      </c>
      <c r="J448" s="34">
        <v>2000074.92</v>
      </c>
      <c r="K448" s="34">
        <v>6232331</v>
      </c>
      <c r="L448" s="34">
        <v>5460463.6100000003</v>
      </c>
      <c r="M448" s="46"/>
      <c r="O448" s="46"/>
    </row>
    <row r="449" spans="1:15" x14ac:dyDescent="0.2">
      <c r="A449" s="5">
        <v>421</v>
      </c>
      <c r="B449" s="28">
        <f t="shared" ca="1" si="31"/>
        <v>464689.18736293563</v>
      </c>
      <c r="C449" s="29">
        <f t="shared" ca="1" si="30"/>
        <v>-0.14198710386683855</v>
      </c>
      <c r="D449" s="30">
        <f t="shared" ca="1" si="29"/>
        <v>-1.6299325754885133E-3</v>
      </c>
      <c r="E449" s="56">
        <v>63872</v>
      </c>
      <c r="F449" s="56">
        <v>116379.12</v>
      </c>
      <c r="G449" s="56">
        <v>221125.88</v>
      </c>
      <c r="H449" s="34">
        <v>343376.88</v>
      </c>
      <c r="I449" s="34">
        <v>548022.47</v>
      </c>
      <c r="J449" s="34">
        <v>738161.43</v>
      </c>
      <c r="K449" s="34">
        <v>1555085.05</v>
      </c>
      <c r="L449" s="34">
        <v>1583536.72</v>
      </c>
      <c r="M449" s="46"/>
      <c r="O449" s="46"/>
    </row>
    <row r="450" spans="1:15" x14ac:dyDescent="0.2">
      <c r="A450" s="5">
        <v>422</v>
      </c>
      <c r="B450" s="28">
        <f t="shared" ca="1" si="31"/>
        <v>442630.23855202459</v>
      </c>
      <c r="C450" s="29">
        <f t="shared" ca="1" si="30"/>
        <v>-1.2947923547158782</v>
      </c>
      <c r="D450" s="30">
        <f t="shared" ca="1" si="29"/>
        <v>-4.8693009865177037E-2</v>
      </c>
      <c r="E450" s="56">
        <v>45707.06</v>
      </c>
      <c r="F450" s="56">
        <v>245718.45</v>
      </c>
      <c r="G450" s="56">
        <v>693711.96</v>
      </c>
      <c r="H450" s="34">
        <v>2083630.72</v>
      </c>
      <c r="I450" s="34">
        <v>4410774.32</v>
      </c>
      <c r="J450" s="34">
        <v>7790359.0199999996</v>
      </c>
      <c r="K450" s="34">
        <v>8865017.7400000002</v>
      </c>
      <c r="L450" s="34">
        <v>9276772.0299999993</v>
      </c>
      <c r="M450" s="46"/>
      <c r="O450" s="46"/>
    </row>
    <row r="451" spans="1:15" x14ac:dyDescent="0.2">
      <c r="A451" s="5">
        <v>423</v>
      </c>
      <c r="B451" s="28">
        <f t="shared" ca="1" si="31"/>
        <v>446264.06640023482</v>
      </c>
      <c r="C451" s="29">
        <f t="shared" ca="1" si="30"/>
        <v>6.7589832809303918E-2</v>
      </c>
      <c r="D451" s="30">
        <f t="shared" ca="1" si="29"/>
        <v>6.9260100363803308E-3</v>
      </c>
      <c r="E451" s="56">
        <v>57617.1</v>
      </c>
      <c r="F451" s="56">
        <v>268613.94</v>
      </c>
      <c r="G451" s="56">
        <v>294769.78000000003</v>
      </c>
      <c r="H451" s="34">
        <v>738222.91</v>
      </c>
      <c r="I451" s="34">
        <v>1392323.25</v>
      </c>
      <c r="J451" s="34">
        <v>3152628.2</v>
      </c>
      <c r="K451" s="34">
        <v>6491586.96</v>
      </c>
      <c r="L451" s="34">
        <v>18429748.890000001</v>
      </c>
      <c r="M451" s="46"/>
      <c r="O451" s="46"/>
    </row>
    <row r="452" spans="1:15" x14ac:dyDescent="0.2">
      <c r="A452" s="5">
        <v>424</v>
      </c>
      <c r="B452" s="28">
        <f t="shared" ca="1" si="31"/>
        <v>442769.74993944139</v>
      </c>
      <c r="C452" s="29">
        <f t="shared" ca="1" si="30"/>
        <v>-0.32504686530458038</v>
      </c>
      <c r="D452" s="30">
        <f t="shared" ca="1" si="29"/>
        <v>-9.1033160414565849E-3</v>
      </c>
      <c r="E452" s="56">
        <v>62648.63</v>
      </c>
      <c r="F452" s="56">
        <v>95656.78</v>
      </c>
      <c r="G452" s="56">
        <v>144807.9</v>
      </c>
      <c r="H452" s="34">
        <v>276706.34999999998</v>
      </c>
      <c r="I452" s="34">
        <v>277317.95</v>
      </c>
      <c r="J452" s="34">
        <v>355686.84</v>
      </c>
      <c r="K452" s="34">
        <v>824100.76</v>
      </c>
      <c r="L452" s="34">
        <v>777303.45</v>
      </c>
      <c r="M452" s="46"/>
      <c r="O452" s="46"/>
    </row>
    <row r="453" spans="1:15" x14ac:dyDescent="0.2">
      <c r="A453" s="5">
        <v>425</v>
      </c>
      <c r="B453" s="28">
        <f t="shared" ca="1" si="31"/>
        <v>460633.59755946504</v>
      </c>
      <c r="C453" s="29">
        <f t="shared" ca="1" si="30"/>
        <v>0.85476918817754011</v>
      </c>
      <c r="D453" s="30">
        <f t="shared" ca="1" si="29"/>
        <v>3.9062472648133145E-2</v>
      </c>
      <c r="E453" s="56">
        <v>41239.230000000003</v>
      </c>
      <c r="F453" s="56">
        <v>70520.84</v>
      </c>
      <c r="G453" s="56">
        <v>166344.95999999999</v>
      </c>
      <c r="H453" s="34">
        <v>374887.32</v>
      </c>
      <c r="I453" s="34">
        <v>621749.31000000006</v>
      </c>
      <c r="J453" s="34">
        <v>1288183.5</v>
      </c>
      <c r="K453" s="34">
        <v>3059274.21</v>
      </c>
      <c r="L453" s="34">
        <v>8407058.7899999991</v>
      </c>
      <c r="M453" s="46"/>
      <c r="O453" s="46"/>
    </row>
    <row r="454" spans="1:15" x14ac:dyDescent="0.2">
      <c r="A454" s="5">
        <v>426</v>
      </c>
      <c r="B454" s="28">
        <f t="shared" ca="1" si="31"/>
        <v>456625.47412090219</v>
      </c>
      <c r="C454" s="29">
        <f t="shared" ca="1" si="30"/>
        <v>-0.34541329611053284</v>
      </c>
      <c r="D454" s="30">
        <f t="shared" ca="1" si="29"/>
        <v>-9.9347720973946493E-3</v>
      </c>
      <c r="E454" s="56">
        <v>61214.35</v>
      </c>
      <c r="F454" s="56">
        <v>114304.01</v>
      </c>
      <c r="G454" s="56">
        <v>204737.33</v>
      </c>
      <c r="H454" s="34">
        <v>241076.2</v>
      </c>
      <c r="I454" s="34">
        <v>252952.39</v>
      </c>
      <c r="J454" s="34">
        <v>345014.24</v>
      </c>
      <c r="K454" s="34">
        <v>916809.57</v>
      </c>
      <c r="L454" s="34">
        <v>2421320.77</v>
      </c>
      <c r="M454" s="46"/>
      <c r="O454" s="46"/>
    </row>
    <row r="455" spans="1:15" x14ac:dyDescent="0.2">
      <c r="A455" s="5">
        <v>427</v>
      </c>
      <c r="B455" s="28">
        <f t="shared" ca="1" si="31"/>
        <v>477160.91428898199</v>
      </c>
      <c r="C455" s="29">
        <f t="shared" ca="1" si="30"/>
        <v>0.96904839149247535</v>
      </c>
      <c r="D455" s="30">
        <f t="shared" ca="1" si="29"/>
        <v>4.3727901587022604E-2</v>
      </c>
      <c r="E455" s="56">
        <v>79199.34</v>
      </c>
      <c r="F455" s="56">
        <v>200230.44</v>
      </c>
      <c r="G455" s="56">
        <v>277048.08</v>
      </c>
      <c r="H455" s="34">
        <v>341399.01</v>
      </c>
      <c r="I455" s="34">
        <v>733930.83</v>
      </c>
      <c r="J455" s="34">
        <v>1190698.49</v>
      </c>
      <c r="K455" s="34">
        <v>1350461.81</v>
      </c>
      <c r="L455" s="34">
        <v>3524516.76</v>
      </c>
      <c r="M455" s="46"/>
      <c r="O455" s="46"/>
    </row>
    <row r="456" spans="1:15" x14ac:dyDescent="0.2">
      <c r="A456" s="5">
        <v>428</v>
      </c>
      <c r="B456" s="28">
        <f t="shared" ca="1" si="31"/>
        <v>470407.75325829338</v>
      </c>
      <c r="C456" s="29">
        <f t="shared" ca="1" si="30"/>
        <v>-0.4778999889941134</v>
      </c>
      <c r="D456" s="30">
        <f t="shared" ca="1" si="29"/>
        <v>-1.534351868528791E-2</v>
      </c>
      <c r="E456" s="56">
        <v>80749.34</v>
      </c>
      <c r="F456" s="56">
        <v>132387.65</v>
      </c>
      <c r="G456" s="56">
        <v>188820.3</v>
      </c>
      <c r="H456" s="34">
        <v>293049.42</v>
      </c>
      <c r="I456" s="34">
        <v>661369.35</v>
      </c>
      <c r="J456" s="34">
        <v>1507655.24</v>
      </c>
      <c r="K456" s="34">
        <v>2557231.4900000002</v>
      </c>
      <c r="L456" s="34">
        <v>7468392.0199999996</v>
      </c>
      <c r="M456" s="46"/>
      <c r="O456" s="46"/>
    </row>
    <row r="457" spans="1:15" x14ac:dyDescent="0.2">
      <c r="A457" s="5">
        <v>429</v>
      </c>
      <c r="B457" s="28">
        <f t="shared" ca="1" si="31"/>
        <v>478705.0735144983</v>
      </c>
      <c r="C457" s="29">
        <f t="shared" ca="1" si="30"/>
        <v>0.30040755133715252</v>
      </c>
      <c r="D457" s="30">
        <f t="shared" ca="1" si="29"/>
        <v>1.6430753594249437E-2</v>
      </c>
      <c r="E457" s="56">
        <v>45463.42</v>
      </c>
      <c r="F457" s="56">
        <v>146106.34</v>
      </c>
      <c r="G457" s="56">
        <v>250455.06</v>
      </c>
      <c r="H457" s="34">
        <v>445574.8</v>
      </c>
      <c r="I457" s="34">
        <v>1177691.3700000001</v>
      </c>
      <c r="J457" s="34">
        <v>1090160.56</v>
      </c>
      <c r="K457" s="34">
        <v>1501485.21</v>
      </c>
      <c r="L457" s="34">
        <v>2743625.65</v>
      </c>
      <c r="M457" s="46"/>
      <c r="O457" s="46"/>
    </row>
    <row r="458" spans="1:15" x14ac:dyDescent="0.2">
      <c r="A458" s="5">
        <v>430</v>
      </c>
      <c r="B458" s="28">
        <f t="shared" ca="1" si="31"/>
        <v>472628.11335624551</v>
      </c>
      <c r="C458" s="29">
        <f t="shared" ca="1" si="30"/>
        <v>-0.44208707297269939</v>
      </c>
      <c r="D458" s="30">
        <f t="shared" ca="1" si="29"/>
        <v>-1.3881462511061093E-2</v>
      </c>
      <c r="E458" s="56">
        <v>81359.64</v>
      </c>
      <c r="F458" s="56">
        <v>210196.4</v>
      </c>
      <c r="G458" s="56">
        <v>319342.08000000002</v>
      </c>
      <c r="H458" s="34">
        <v>492036.1</v>
      </c>
      <c r="I458" s="34">
        <v>365454.74</v>
      </c>
      <c r="J458" s="34">
        <v>814544.41</v>
      </c>
      <c r="K458" s="34">
        <v>998727.41</v>
      </c>
      <c r="L458" s="34">
        <v>1606739.63</v>
      </c>
      <c r="M458" s="46"/>
      <c r="O458" s="46"/>
    </row>
    <row r="459" spans="1:15" x14ac:dyDescent="0.2">
      <c r="A459" s="5">
        <v>431</v>
      </c>
      <c r="B459" s="28">
        <f t="shared" ca="1" si="31"/>
        <v>494125.37972943357</v>
      </c>
      <c r="C459" s="29">
        <f t="shared" ca="1" si="30"/>
        <v>0.98263040178300709</v>
      </c>
      <c r="D459" s="30">
        <f t="shared" ca="1" si="29"/>
        <v>4.4282384835239816E-2</v>
      </c>
      <c r="E459" s="56">
        <v>67103.13</v>
      </c>
      <c r="F459" s="56">
        <v>137574.32</v>
      </c>
      <c r="G459" s="56">
        <v>334776.86</v>
      </c>
      <c r="H459" s="34">
        <v>703102.76</v>
      </c>
      <c r="I459" s="34">
        <v>1011935.7</v>
      </c>
      <c r="J459" s="34">
        <v>915807.58</v>
      </c>
      <c r="K459" s="34">
        <v>1741269.48</v>
      </c>
      <c r="L459" s="34">
        <v>7000947.6699999999</v>
      </c>
      <c r="M459" s="46"/>
      <c r="O459" s="46"/>
    </row>
    <row r="460" spans="1:15" x14ac:dyDescent="0.2">
      <c r="A460" s="5">
        <v>432</v>
      </c>
      <c r="B460" s="28">
        <f t="shared" ca="1" si="31"/>
        <v>527269.73546818132</v>
      </c>
      <c r="C460" s="29">
        <f t="shared" ca="1" si="30"/>
        <v>1.5128123091168832</v>
      </c>
      <c r="D460" s="30">
        <f t="shared" ca="1" si="29"/>
        <v>6.5926970565632348E-2</v>
      </c>
      <c r="E460" s="56">
        <v>61417.62</v>
      </c>
      <c r="F460" s="56">
        <v>245833.11</v>
      </c>
      <c r="G460" s="56">
        <v>292067.51</v>
      </c>
      <c r="H460" s="34">
        <v>964682.86</v>
      </c>
      <c r="I460" s="34">
        <v>1059821.6599999999</v>
      </c>
      <c r="J460" s="34">
        <v>1595050.16</v>
      </c>
      <c r="K460" s="34">
        <v>3185327.55</v>
      </c>
      <c r="L460" s="34">
        <v>3721436.01</v>
      </c>
      <c r="M460" s="46"/>
      <c r="O460" s="46"/>
    </row>
    <row r="461" spans="1:15" x14ac:dyDescent="0.2">
      <c r="A461" s="5">
        <v>433</v>
      </c>
      <c r="B461" s="28">
        <f t="shared" ref="B461:B484" ca="1" si="32">(B460*(1+D461))+($C$6*(1+$C$8)^18)</f>
        <v>502540.36545361829</v>
      </c>
      <c r="C461" s="29">
        <f t="shared" ca="1" si="30"/>
        <v>-1.2780788864113548</v>
      </c>
      <c r="D461" s="30">
        <f t="shared" ca="1" si="29"/>
        <v>-4.8010685378872674E-2</v>
      </c>
      <c r="E461" s="56">
        <v>69032.960000000006</v>
      </c>
      <c r="F461" s="56">
        <v>165746.37</v>
      </c>
      <c r="G461" s="56">
        <v>166395.72</v>
      </c>
      <c r="H461" s="34">
        <v>286909.82</v>
      </c>
      <c r="I461" s="34">
        <v>463721.64</v>
      </c>
      <c r="J461" s="34">
        <v>758530.91</v>
      </c>
      <c r="K461" s="34">
        <v>1662520.91</v>
      </c>
      <c r="L461" s="34">
        <v>4669796.5599999996</v>
      </c>
      <c r="M461" s="46"/>
      <c r="O461" s="46"/>
    </row>
    <row r="462" spans="1:15" x14ac:dyDescent="0.2">
      <c r="A462" s="5">
        <v>434</v>
      </c>
      <c r="B462" s="28">
        <f t="shared" ca="1" si="32"/>
        <v>514357.79513400327</v>
      </c>
      <c r="C462" s="29">
        <f t="shared" ca="1" si="30"/>
        <v>0.44542038738282391</v>
      </c>
      <c r="D462" s="30">
        <f t="shared" ca="1" si="29"/>
        <v>2.2350877835345614E-2</v>
      </c>
      <c r="E462" s="56">
        <v>47389.22</v>
      </c>
      <c r="F462" s="56">
        <v>105199.16</v>
      </c>
      <c r="G462" s="56">
        <v>236532.69</v>
      </c>
      <c r="H462" s="34">
        <v>514771.61</v>
      </c>
      <c r="I462" s="34">
        <v>520577.88</v>
      </c>
      <c r="J462" s="34">
        <v>837712.44</v>
      </c>
      <c r="K462" s="34">
        <v>1594602.59</v>
      </c>
      <c r="L462" s="34">
        <v>3289244.39</v>
      </c>
      <c r="M462" s="46"/>
      <c r="O462" s="46"/>
    </row>
    <row r="463" spans="1:15" x14ac:dyDescent="0.2">
      <c r="A463" s="5">
        <v>435</v>
      </c>
      <c r="B463" s="28">
        <f t="shared" ca="1" si="32"/>
        <v>504367.29997015686</v>
      </c>
      <c r="C463" s="29">
        <f t="shared" ca="1" si="30"/>
        <v>-0.60570146351619503</v>
      </c>
      <c r="D463" s="30">
        <f t="shared" ca="1" si="29"/>
        <v>-2.0560992034527988E-2</v>
      </c>
      <c r="E463" s="56">
        <v>48005.35</v>
      </c>
      <c r="F463" s="56">
        <v>102108.72</v>
      </c>
      <c r="G463" s="56">
        <v>206356.8</v>
      </c>
      <c r="H463" s="34">
        <v>326492.23</v>
      </c>
      <c r="I463" s="34">
        <v>556233.54</v>
      </c>
      <c r="J463" s="34">
        <v>519176.71</v>
      </c>
      <c r="K463" s="34">
        <v>2011267.83</v>
      </c>
      <c r="L463" s="34">
        <v>2939534.42</v>
      </c>
      <c r="M463" s="46"/>
      <c r="O463" s="46"/>
    </row>
    <row r="464" spans="1:15" x14ac:dyDescent="0.2">
      <c r="A464" s="5">
        <v>436</v>
      </c>
      <c r="B464" s="28">
        <f t="shared" ca="1" si="32"/>
        <v>479067.83506628295</v>
      </c>
      <c r="C464" s="29">
        <f t="shared" ca="1" si="30"/>
        <v>-1.3591667465140247</v>
      </c>
      <c r="D464" s="30">
        <f t="shared" ca="1" si="29"/>
        <v>-5.1321083405301463E-2</v>
      </c>
      <c r="E464" s="56">
        <v>48196.46</v>
      </c>
      <c r="F464" s="56">
        <v>120165.35</v>
      </c>
      <c r="G464" s="56">
        <v>138326.49</v>
      </c>
      <c r="H464" s="34">
        <v>341934.63</v>
      </c>
      <c r="I464" s="34">
        <v>392038.6</v>
      </c>
      <c r="J464" s="34">
        <v>710748.51</v>
      </c>
      <c r="K464" s="34">
        <v>903911.81</v>
      </c>
      <c r="L464" s="34">
        <v>998402.13</v>
      </c>
      <c r="M464" s="46"/>
      <c r="O464" s="46"/>
    </row>
    <row r="465" spans="1:15" x14ac:dyDescent="0.2">
      <c r="A465" s="5">
        <v>437</v>
      </c>
      <c r="B465" s="28">
        <f t="shared" ca="1" si="32"/>
        <v>484630.17063217371</v>
      </c>
      <c r="C465" s="29">
        <f t="shared" ca="1" si="30"/>
        <v>0.15241993988316319</v>
      </c>
      <c r="D465" s="30">
        <f t="shared" ca="1" si="29"/>
        <v>1.0389184655657281E-2</v>
      </c>
      <c r="E465" s="56">
        <v>73319.89</v>
      </c>
      <c r="F465" s="56">
        <v>190074.44</v>
      </c>
      <c r="G465" s="56">
        <v>288991.46999999997</v>
      </c>
      <c r="H465" s="34">
        <v>476850.31</v>
      </c>
      <c r="I465" s="34">
        <v>964068.66</v>
      </c>
      <c r="J465" s="34">
        <v>3198588.6</v>
      </c>
      <c r="K465" s="34">
        <v>8867647.1799999997</v>
      </c>
      <c r="L465" s="34">
        <v>9079458.3100000005</v>
      </c>
      <c r="M465" s="46"/>
      <c r="O465" s="46"/>
    </row>
    <row r="466" spans="1:15" x14ac:dyDescent="0.2">
      <c r="A466" s="5">
        <v>438</v>
      </c>
      <c r="B466" s="28">
        <f t="shared" ca="1" si="32"/>
        <v>459993.14993024344</v>
      </c>
      <c r="C466" s="29">
        <f t="shared" ca="1" si="30"/>
        <v>-1.3768815634653491</v>
      </c>
      <c r="D466" s="30">
        <f t="shared" ca="1" si="29"/>
        <v>-5.2044287778927306E-2</v>
      </c>
      <c r="E466" s="56">
        <v>45652.33</v>
      </c>
      <c r="F466" s="56">
        <v>85868.29</v>
      </c>
      <c r="G466" s="56">
        <v>120674.42</v>
      </c>
      <c r="H466" s="34">
        <v>125622.28</v>
      </c>
      <c r="I466" s="34">
        <v>325883.46000000002</v>
      </c>
      <c r="J466" s="34">
        <v>473385.56</v>
      </c>
      <c r="K466" s="34">
        <v>781105.73</v>
      </c>
      <c r="L466" s="34">
        <v>1338937.48</v>
      </c>
      <c r="M466" s="46"/>
      <c r="O466" s="46"/>
    </row>
    <row r="467" spans="1:15" x14ac:dyDescent="0.2">
      <c r="A467" s="5">
        <v>439</v>
      </c>
      <c r="B467" s="28">
        <f t="shared" ca="1" si="32"/>
        <v>470738.90207066428</v>
      </c>
      <c r="C467" s="29">
        <f t="shared" ca="1" si="30"/>
        <v>0.43899251514875892</v>
      </c>
      <c r="D467" s="30">
        <f t="shared" ca="1" si="29"/>
        <v>2.2088461050257899E-2</v>
      </c>
      <c r="E467" s="56">
        <v>49986.39</v>
      </c>
      <c r="F467" s="56">
        <v>77287.05</v>
      </c>
      <c r="G467" s="56">
        <v>115825.43</v>
      </c>
      <c r="H467" s="34">
        <v>225473.59</v>
      </c>
      <c r="I467" s="34">
        <v>909279.17</v>
      </c>
      <c r="J467" s="34">
        <v>1645146.16</v>
      </c>
      <c r="K467" s="34">
        <v>3146953.84</v>
      </c>
      <c r="L467" s="34">
        <v>10462346.16</v>
      </c>
      <c r="M467" s="46"/>
      <c r="O467" s="46"/>
    </row>
    <row r="468" spans="1:15" x14ac:dyDescent="0.2">
      <c r="A468" s="5">
        <v>440</v>
      </c>
      <c r="B468" s="28">
        <f t="shared" ca="1" si="32"/>
        <v>474310.40314913756</v>
      </c>
      <c r="C468" s="29">
        <f t="shared" ca="1" si="30"/>
        <v>5.3329504125241352E-2</v>
      </c>
      <c r="D468" s="30">
        <f t="shared" ca="1" si="29"/>
        <v>6.3438345557081978E-3</v>
      </c>
      <c r="E468" s="56">
        <v>45085.72</v>
      </c>
      <c r="F468" s="56">
        <v>172459.51</v>
      </c>
      <c r="G468" s="56">
        <v>294803.96999999997</v>
      </c>
      <c r="H468" s="34">
        <v>540045.38</v>
      </c>
      <c r="I468" s="34">
        <v>1132837.75</v>
      </c>
      <c r="J468" s="34">
        <v>1246678.99</v>
      </c>
      <c r="K468" s="34">
        <v>941026.98</v>
      </c>
      <c r="L468" s="34">
        <v>1509818.56</v>
      </c>
      <c r="M468" s="46"/>
      <c r="O468" s="46"/>
    </row>
    <row r="469" spans="1:15" x14ac:dyDescent="0.2">
      <c r="A469" s="5">
        <v>441</v>
      </c>
      <c r="B469" s="28">
        <f t="shared" ca="1" si="32"/>
        <v>495202.6495059586</v>
      </c>
      <c r="C469" s="29">
        <f t="shared" ca="1" si="30"/>
        <v>0.94665778655295096</v>
      </c>
      <c r="D469" s="30">
        <f t="shared" ca="1" si="29"/>
        <v>4.2813808968121342E-2</v>
      </c>
      <c r="E469" s="56">
        <v>78337.69</v>
      </c>
      <c r="F469" s="56">
        <v>205378.7</v>
      </c>
      <c r="G469" s="56">
        <v>311687.06</v>
      </c>
      <c r="H469" s="34">
        <v>398138.4</v>
      </c>
      <c r="I469" s="34">
        <v>782975.99</v>
      </c>
      <c r="J469" s="34">
        <v>1136766.02</v>
      </c>
      <c r="K469" s="34">
        <v>797170.38</v>
      </c>
      <c r="L469" s="34">
        <v>1624138.03</v>
      </c>
      <c r="M469" s="46"/>
      <c r="O469" s="46"/>
    </row>
    <row r="470" spans="1:15" x14ac:dyDescent="0.2">
      <c r="A470" s="5">
        <v>442</v>
      </c>
      <c r="B470" s="28">
        <f t="shared" ca="1" si="32"/>
        <v>477735.1480431424</v>
      </c>
      <c r="C470" s="29">
        <f t="shared" ca="1" si="30"/>
        <v>-0.99502851665206615</v>
      </c>
      <c r="D470" s="30">
        <f t="shared" ca="1" si="29"/>
        <v>-3.6455202421933286E-2</v>
      </c>
      <c r="E470" s="56">
        <v>35430.43</v>
      </c>
      <c r="F470" s="56">
        <v>186837.32</v>
      </c>
      <c r="G470" s="56">
        <v>279836.57</v>
      </c>
      <c r="H470" s="34">
        <v>624595.56000000006</v>
      </c>
      <c r="I470" s="34">
        <v>507812.5</v>
      </c>
      <c r="J470" s="34">
        <v>611861.65</v>
      </c>
      <c r="K470" s="34">
        <v>1074839.21</v>
      </c>
      <c r="L470" s="34">
        <v>2262132.16</v>
      </c>
      <c r="M470" s="46"/>
      <c r="O470" s="46"/>
    </row>
    <row r="471" spans="1:15" x14ac:dyDescent="0.2">
      <c r="A471" s="5">
        <v>443</v>
      </c>
      <c r="B471" s="28">
        <f t="shared" ca="1" si="32"/>
        <v>484118.53243831225</v>
      </c>
      <c r="C471" s="29">
        <f t="shared" ca="1" si="30"/>
        <v>0.19522744905614142</v>
      </c>
      <c r="D471" s="30">
        <f t="shared" ca="1" si="29"/>
        <v>1.2136793899545733E-2</v>
      </c>
      <c r="E471" s="56">
        <v>56189.2</v>
      </c>
      <c r="F471" s="56">
        <v>228197.02</v>
      </c>
      <c r="G471" s="56">
        <v>260101.5</v>
      </c>
      <c r="H471" s="34">
        <v>390622.71</v>
      </c>
      <c r="I471" s="34">
        <v>490610.61</v>
      </c>
      <c r="J471" s="34">
        <v>1458406.83</v>
      </c>
      <c r="K471" s="34">
        <v>2188780.92</v>
      </c>
      <c r="L471" s="34">
        <v>2454183.92</v>
      </c>
      <c r="M471" s="46"/>
      <c r="O471" s="46"/>
    </row>
    <row r="472" spans="1:15" x14ac:dyDescent="0.2">
      <c r="A472" s="5">
        <v>444</v>
      </c>
      <c r="B472" s="28">
        <f t="shared" ca="1" si="32"/>
        <v>453148.18077500875</v>
      </c>
      <c r="C472" s="29">
        <f t="shared" ca="1" si="30"/>
        <v>-1.6986757691787948</v>
      </c>
      <c r="D472" s="30">
        <f t="shared" ca="1" si="29"/>
        <v>-6.5181481215296391E-2</v>
      </c>
      <c r="E472" s="56">
        <v>82588.490000000005</v>
      </c>
      <c r="F472" s="56">
        <v>216464.57</v>
      </c>
      <c r="G472" s="56">
        <v>260427.85</v>
      </c>
      <c r="H472" s="34">
        <v>511075.08</v>
      </c>
      <c r="I472" s="34">
        <v>1066346.8799999999</v>
      </c>
      <c r="J472" s="34">
        <v>1984319.35</v>
      </c>
      <c r="K472" s="34">
        <v>3243371.09</v>
      </c>
      <c r="L472" s="34">
        <v>5449863.8099999996</v>
      </c>
      <c r="M472" s="46"/>
      <c r="O472" s="46"/>
    </row>
    <row r="473" spans="1:15" x14ac:dyDescent="0.2">
      <c r="A473" s="5">
        <v>445</v>
      </c>
      <c r="B473" s="28">
        <f t="shared" ca="1" si="32"/>
        <v>450925.81320000056</v>
      </c>
      <c r="C473" s="29">
        <f t="shared" ca="1" si="30"/>
        <v>-0.25382558192445454</v>
      </c>
      <c r="D473" s="30">
        <f t="shared" ca="1" si="29"/>
        <v>-6.1957193229987108E-3</v>
      </c>
      <c r="E473" s="56">
        <v>94381.03</v>
      </c>
      <c r="F473" s="56">
        <v>119884.83</v>
      </c>
      <c r="G473" s="56">
        <v>251132.28</v>
      </c>
      <c r="H473" s="34">
        <v>333459.92</v>
      </c>
      <c r="I473" s="34">
        <v>550811.91</v>
      </c>
      <c r="J473" s="34">
        <v>336053.69</v>
      </c>
      <c r="K473" s="34">
        <v>513092.59</v>
      </c>
      <c r="L473" s="34">
        <v>981859.99</v>
      </c>
      <c r="M473" s="46"/>
      <c r="O473" s="46"/>
    </row>
    <row r="474" spans="1:15" x14ac:dyDescent="0.2">
      <c r="A474" s="5">
        <v>446</v>
      </c>
      <c r="B474" s="28">
        <f t="shared" ca="1" si="32"/>
        <v>463183.32946245628</v>
      </c>
      <c r="C474" s="29">
        <f t="shared" ca="1" si="30"/>
        <v>0.53199324833682782</v>
      </c>
      <c r="D474" s="30">
        <f t="shared" ca="1" si="29"/>
        <v>2.5885200083849397E-2</v>
      </c>
      <c r="E474" s="56">
        <v>58999.74</v>
      </c>
      <c r="F474" s="56">
        <v>128135.98</v>
      </c>
      <c r="G474" s="56">
        <v>398696.74</v>
      </c>
      <c r="H474" s="34">
        <v>469340.68</v>
      </c>
      <c r="I474" s="34">
        <v>368701.78</v>
      </c>
      <c r="J474" s="34">
        <v>1035241.12</v>
      </c>
      <c r="K474" s="34">
        <v>1209987.1200000001</v>
      </c>
      <c r="L474" s="34">
        <v>2116303.63</v>
      </c>
      <c r="M474" s="46"/>
      <c r="O474" s="46"/>
    </row>
    <row r="475" spans="1:15" x14ac:dyDescent="0.2">
      <c r="A475" s="5">
        <v>447</v>
      </c>
      <c r="B475" s="28">
        <f t="shared" ca="1" si="32"/>
        <v>489492.39737985114</v>
      </c>
      <c r="C475" s="29">
        <f t="shared" ca="1" si="30"/>
        <v>1.2583133718874047</v>
      </c>
      <c r="D475" s="30">
        <f t="shared" ca="1" si="29"/>
        <v>5.5537094960751876E-2</v>
      </c>
      <c r="E475" s="56">
        <v>59421.63</v>
      </c>
      <c r="F475" s="56">
        <v>84381.35</v>
      </c>
      <c r="G475" s="56">
        <v>127472.4</v>
      </c>
      <c r="H475" s="34">
        <v>151746.89000000001</v>
      </c>
      <c r="I475" s="34">
        <v>827497.4</v>
      </c>
      <c r="J475" s="34">
        <v>852763.58</v>
      </c>
      <c r="K475" s="34">
        <v>1034197.95</v>
      </c>
      <c r="L475" s="34">
        <v>8023467.79</v>
      </c>
      <c r="M475" s="46"/>
      <c r="O475" s="46"/>
    </row>
    <row r="476" spans="1:15" x14ac:dyDescent="0.2">
      <c r="A476" s="5">
        <v>448</v>
      </c>
      <c r="B476" s="28">
        <f t="shared" ca="1" si="32"/>
        <v>498809.71401195176</v>
      </c>
      <c r="C476" s="29">
        <f t="shared" ca="1" si="30"/>
        <v>0.33490492420859652</v>
      </c>
      <c r="D476" s="30">
        <f t="shared" ca="1" si="29"/>
        <v>1.783910294427558E-2</v>
      </c>
      <c r="E476" s="56">
        <v>51257.7</v>
      </c>
      <c r="F476" s="56">
        <v>213322.33</v>
      </c>
      <c r="G476" s="56">
        <v>325761.81</v>
      </c>
      <c r="H476" s="34">
        <v>549511.59</v>
      </c>
      <c r="I476" s="34">
        <v>798296.38</v>
      </c>
      <c r="J476" s="34">
        <v>946811.87</v>
      </c>
      <c r="K476" s="34">
        <v>1364160.69</v>
      </c>
      <c r="L476" s="34">
        <v>1520960.31</v>
      </c>
      <c r="M476" s="46"/>
      <c r="O476" s="46"/>
    </row>
    <row r="477" spans="1:15" x14ac:dyDescent="0.2">
      <c r="A477" s="5">
        <v>449</v>
      </c>
      <c r="B477" s="28">
        <f t="shared" ca="1" si="32"/>
        <v>514752.86002928915</v>
      </c>
      <c r="C477" s="29">
        <f t="shared" ca="1" si="30"/>
        <v>0.65211536910122747</v>
      </c>
      <c r="D477" s="30">
        <f t="shared" ca="1" si="29"/>
        <v>3.0789165128745383E-2</v>
      </c>
      <c r="E477" s="56">
        <v>55523.82</v>
      </c>
      <c r="F477" s="56">
        <v>215080.55</v>
      </c>
      <c r="G477" s="56">
        <v>392066.62</v>
      </c>
      <c r="H477" s="34">
        <v>699272.16</v>
      </c>
      <c r="I477" s="34">
        <v>786455.74</v>
      </c>
      <c r="J477" s="34">
        <v>1393738.91</v>
      </c>
      <c r="K477" s="34">
        <v>2214887.0699999998</v>
      </c>
      <c r="L477" s="34">
        <v>4673058.34</v>
      </c>
      <c r="M477" s="46"/>
      <c r="O477" s="46"/>
    </row>
    <row r="478" spans="1:15" x14ac:dyDescent="0.2">
      <c r="A478" s="5">
        <v>450</v>
      </c>
      <c r="B478" s="28">
        <f t="shared" ca="1" si="32"/>
        <v>484263.03411297908</v>
      </c>
      <c r="C478" s="29">
        <f t="shared" ca="1" si="30"/>
        <v>-1.580790817753114</v>
      </c>
      <c r="D478" s="30">
        <f t="shared" ref="D478:D508" ca="1" si="33">$D$20+(C478*$D$21)</f>
        <v>-6.0368848226201421E-2</v>
      </c>
      <c r="E478" s="56">
        <v>40756.85</v>
      </c>
      <c r="F478" s="56">
        <v>94350.93</v>
      </c>
      <c r="G478" s="56">
        <v>229046.06</v>
      </c>
      <c r="H478" s="34">
        <v>356654.18</v>
      </c>
      <c r="I478" s="34">
        <v>471129.52</v>
      </c>
      <c r="J478" s="34">
        <v>339454.07</v>
      </c>
      <c r="K478" s="34">
        <v>675764.79</v>
      </c>
      <c r="L478" s="34">
        <v>605290.66</v>
      </c>
      <c r="M478" s="46"/>
      <c r="O478" s="46"/>
    </row>
    <row r="479" spans="1:15" x14ac:dyDescent="0.2">
      <c r="A479" s="5">
        <v>451</v>
      </c>
      <c r="B479" s="28">
        <f t="shared" ca="1" si="32"/>
        <v>487740.78953378252</v>
      </c>
      <c r="C479" s="29">
        <f t="shared" ref="C479:C542" ca="1" si="34">NORMSINV(RAND())</f>
        <v>4.4248021209465409E-2</v>
      </c>
      <c r="D479" s="30">
        <f t="shared" ca="1" si="33"/>
        <v>5.9730845681839669E-3</v>
      </c>
      <c r="E479" s="56">
        <v>55766.720000000001</v>
      </c>
      <c r="F479" s="56">
        <v>77626.7</v>
      </c>
      <c r="G479" s="56">
        <v>179039.83</v>
      </c>
      <c r="H479" s="34">
        <v>346605.95</v>
      </c>
      <c r="I479" s="34">
        <v>766843.25</v>
      </c>
      <c r="J479" s="34">
        <v>1024997.04</v>
      </c>
      <c r="K479" s="34">
        <v>1578115.05</v>
      </c>
      <c r="L479" s="34">
        <v>2081379.68</v>
      </c>
      <c r="M479" s="46"/>
      <c r="O479" s="46"/>
    </row>
    <row r="480" spans="1:15" x14ac:dyDescent="0.2">
      <c r="A480" s="5">
        <v>452</v>
      </c>
      <c r="B480" s="28">
        <f t="shared" ca="1" si="32"/>
        <v>478251.94261339214</v>
      </c>
      <c r="C480" s="29">
        <f t="shared" ca="1" si="34"/>
        <v>-0.60799274249830493</v>
      </c>
      <c r="D480" s="30">
        <f t="shared" ca="1" si="33"/>
        <v>-2.0654533107270202E-2</v>
      </c>
      <c r="E480" s="56">
        <v>83332.55</v>
      </c>
      <c r="F480" s="56">
        <v>183518.54</v>
      </c>
      <c r="G480" s="56">
        <v>298650.07</v>
      </c>
      <c r="H480" s="34">
        <v>615892.35</v>
      </c>
      <c r="I480" s="34">
        <v>1650431.28</v>
      </c>
      <c r="J480" s="34">
        <v>2168972.46</v>
      </c>
      <c r="K480" s="34">
        <v>3421394.63</v>
      </c>
      <c r="L480" s="34">
        <v>9709877.5299999993</v>
      </c>
      <c r="M480" s="46"/>
      <c r="O480" s="46"/>
    </row>
    <row r="481" spans="1:15" x14ac:dyDescent="0.2">
      <c r="A481" s="5">
        <v>453</v>
      </c>
      <c r="B481" s="28">
        <f t="shared" ca="1" si="32"/>
        <v>474193.25440751656</v>
      </c>
      <c r="C481" s="29">
        <f t="shared" ca="1" si="34"/>
        <v>-0.33991127617024097</v>
      </c>
      <c r="D481" s="30">
        <f t="shared" ca="1" si="33"/>
        <v>-9.7101530739224229E-3</v>
      </c>
      <c r="E481" s="56">
        <v>31180.6</v>
      </c>
      <c r="F481" s="56">
        <v>105777.95</v>
      </c>
      <c r="G481" s="56">
        <v>540527.63</v>
      </c>
      <c r="H481" s="34">
        <v>863285.87</v>
      </c>
      <c r="I481" s="34">
        <v>931151.96</v>
      </c>
      <c r="J481" s="34">
        <v>1039958.22</v>
      </c>
      <c r="K481" s="34">
        <v>1514622.46</v>
      </c>
      <c r="L481" s="34">
        <v>4059411.79</v>
      </c>
      <c r="M481" s="46"/>
      <c r="O481" s="46"/>
    </row>
    <row r="482" spans="1:15" x14ac:dyDescent="0.2">
      <c r="A482" s="5">
        <v>454</v>
      </c>
      <c r="B482" s="28">
        <f t="shared" ca="1" si="32"/>
        <v>504792.74943127664</v>
      </c>
      <c r="C482" s="29">
        <f t="shared" ca="1" si="34"/>
        <v>1.4483539081314625</v>
      </c>
      <c r="D482" s="30">
        <f t="shared" ca="1" si="33"/>
        <v>6.3295467364799116E-2</v>
      </c>
      <c r="E482" s="56">
        <v>85565.04</v>
      </c>
      <c r="F482" s="56">
        <v>280870.14</v>
      </c>
      <c r="G482" s="56">
        <v>362954.03</v>
      </c>
      <c r="H482" s="34">
        <v>809038.31</v>
      </c>
      <c r="I482" s="34">
        <v>1774284.45</v>
      </c>
      <c r="J482" s="34">
        <v>1870493.61</v>
      </c>
      <c r="K482" s="34">
        <v>3354766.84</v>
      </c>
      <c r="L482" s="34">
        <v>2819904.16</v>
      </c>
      <c r="M482" s="46"/>
      <c r="O482" s="46"/>
    </row>
    <row r="483" spans="1:15" x14ac:dyDescent="0.2">
      <c r="A483" s="5">
        <v>455</v>
      </c>
      <c r="B483" s="28">
        <f t="shared" ca="1" si="32"/>
        <v>470469.22504161246</v>
      </c>
      <c r="C483" s="29">
        <f t="shared" ca="1" si="34"/>
        <v>-1.7959966677627739</v>
      </c>
      <c r="D483" s="30">
        <f t="shared" ca="1" si="33"/>
        <v>-6.9154590262628032E-2</v>
      </c>
      <c r="E483" s="56">
        <v>51574.28</v>
      </c>
      <c r="F483" s="56">
        <v>124206.74</v>
      </c>
      <c r="G483" s="56">
        <v>440454.49</v>
      </c>
      <c r="H483" s="34">
        <v>977579.24</v>
      </c>
      <c r="I483" s="34">
        <v>1292657.58</v>
      </c>
      <c r="J483" s="34">
        <v>3331732.29</v>
      </c>
      <c r="K483" s="34">
        <v>3386820.14</v>
      </c>
      <c r="L483" s="34">
        <v>5583402.3200000003</v>
      </c>
      <c r="M483" s="46"/>
      <c r="O483" s="46"/>
    </row>
    <row r="484" spans="1:15" x14ac:dyDescent="0.2">
      <c r="A484" s="5">
        <v>456</v>
      </c>
      <c r="B484" s="28">
        <f t="shared" ca="1" si="32"/>
        <v>513752.23681554827</v>
      </c>
      <c r="C484" s="29">
        <f t="shared" ca="1" si="34"/>
        <v>2.1209913934705305</v>
      </c>
      <c r="D484" s="30">
        <f t="shared" ca="1" si="33"/>
        <v>9.0755777713957736E-2</v>
      </c>
      <c r="E484" s="56">
        <v>30579.19</v>
      </c>
      <c r="F484" s="56">
        <v>92828.99</v>
      </c>
      <c r="G484" s="56">
        <v>285964.53999999998</v>
      </c>
      <c r="H484" s="34">
        <v>212190.35</v>
      </c>
      <c r="I484" s="34">
        <v>495792.47</v>
      </c>
      <c r="J484" s="34">
        <v>1226344.6299999999</v>
      </c>
      <c r="K484" s="34">
        <v>1896540.28</v>
      </c>
      <c r="L484" s="34">
        <v>3425891.55</v>
      </c>
      <c r="M484" s="46"/>
      <c r="O484" s="46"/>
    </row>
    <row r="485" spans="1:15" x14ac:dyDescent="0.2">
      <c r="A485" s="5">
        <v>457</v>
      </c>
      <c r="B485" s="28">
        <f t="shared" ref="B485:B548" ca="1" si="35">(B484*(1+D485))+($C$6*(1+$C$8)^19)</f>
        <v>508280.93830174359</v>
      </c>
      <c r="C485" s="29">
        <f t="shared" ca="1" si="34"/>
        <v>-0.39166398255597024</v>
      </c>
      <c r="D485" s="30">
        <f t="shared" ca="1" si="33"/>
        <v>-1.1822948464807647E-2</v>
      </c>
      <c r="E485" s="56">
        <v>51040.66</v>
      </c>
      <c r="F485" s="56">
        <v>217759.74</v>
      </c>
      <c r="G485" s="56">
        <v>246062.52</v>
      </c>
      <c r="H485" s="34">
        <v>298642.45</v>
      </c>
      <c r="I485" s="34">
        <v>528299.79</v>
      </c>
      <c r="J485" s="34">
        <v>1332811.2</v>
      </c>
      <c r="K485" s="34">
        <v>877224.52</v>
      </c>
      <c r="L485" s="34">
        <v>2030612.15</v>
      </c>
      <c r="M485" s="46"/>
      <c r="O485" s="46"/>
    </row>
    <row r="486" spans="1:15" x14ac:dyDescent="0.2">
      <c r="A486" s="5">
        <v>458</v>
      </c>
      <c r="B486" s="28">
        <f t="shared" ca="1" si="35"/>
        <v>506310.06194689503</v>
      </c>
      <c r="C486" s="29">
        <f t="shared" ca="1" si="34"/>
        <v>-0.22609022816833579</v>
      </c>
      <c r="D486" s="30">
        <f t="shared" ca="1" si="33"/>
        <v>-5.0634282473641162E-3</v>
      </c>
      <c r="E486" s="56">
        <v>56376.9</v>
      </c>
      <c r="F486" s="56">
        <v>138016.74</v>
      </c>
      <c r="G486" s="56">
        <v>406019.24</v>
      </c>
      <c r="H486" s="34">
        <v>703456.59</v>
      </c>
      <c r="I486" s="34">
        <v>1300630.58</v>
      </c>
      <c r="J486" s="34">
        <v>3076148.62</v>
      </c>
      <c r="K486" s="34">
        <v>4457593.0199999996</v>
      </c>
      <c r="L486" s="34">
        <v>9024570.1199999992</v>
      </c>
      <c r="M486" s="46"/>
      <c r="O486" s="46"/>
    </row>
    <row r="487" spans="1:15" x14ac:dyDescent="0.2">
      <c r="A487" s="5">
        <v>459</v>
      </c>
      <c r="B487" s="28">
        <f t="shared" ca="1" si="35"/>
        <v>486596.44573316915</v>
      </c>
      <c r="C487" s="29">
        <f t="shared" ca="1" si="34"/>
        <v>-1.0849533434279863</v>
      </c>
      <c r="D487" s="30">
        <f t="shared" ca="1" si="33"/>
        <v>-4.0126368102086127E-2</v>
      </c>
      <c r="E487" s="56">
        <v>33329.599999999999</v>
      </c>
      <c r="F487" s="56">
        <v>147831.03</v>
      </c>
      <c r="G487" s="56">
        <v>456772.06</v>
      </c>
      <c r="H487" s="34">
        <v>831875.63</v>
      </c>
      <c r="I487" s="34">
        <v>1876569.4</v>
      </c>
      <c r="J487" s="34">
        <v>5703848.7300000004</v>
      </c>
      <c r="K487" s="34">
        <v>17060284.010000002</v>
      </c>
      <c r="L487" s="34">
        <v>9949848.5</v>
      </c>
      <c r="M487" s="46"/>
      <c r="O487" s="46"/>
    </row>
    <row r="488" spans="1:15" x14ac:dyDescent="0.2">
      <c r="A488" s="5">
        <v>460</v>
      </c>
      <c r="B488" s="28">
        <f t="shared" ca="1" si="35"/>
        <v>511588.43642880127</v>
      </c>
      <c r="C488" s="29">
        <f t="shared" ca="1" si="34"/>
        <v>1.1256729852956435</v>
      </c>
      <c r="D488" s="30">
        <f t="shared" ca="1" si="33"/>
        <v>5.0122073853496638E-2</v>
      </c>
      <c r="E488" s="56">
        <v>43699.9</v>
      </c>
      <c r="F488" s="56">
        <v>163321.99</v>
      </c>
      <c r="G488" s="56">
        <v>208365</v>
      </c>
      <c r="H488" s="34">
        <v>243337.05</v>
      </c>
      <c r="I488" s="34">
        <v>610254.55000000005</v>
      </c>
      <c r="J488" s="34">
        <v>674305.99</v>
      </c>
      <c r="K488" s="34">
        <v>927578.95</v>
      </c>
      <c r="L488" s="34">
        <v>638071.55000000005</v>
      </c>
      <c r="M488" s="46"/>
      <c r="O488" s="46"/>
    </row>
    <row r="489" spans="1:15" x14ac:dyDescent="0.2">
      <c r="A489" s="5">
        <v>461</v>
      </c>
      <c r="B489" s="28">
        <f t="shared" ca="1" si="35"/>
        <v>492058.54398861725</v>
      </c>
      <c r="C489" s="29">
        <f t="shared" ca="1" si="34"/>
        <v>-1.0660155361977512</v>
      </c>
      <c r="D489" s="30">
        <f t="shared" ca="1" si="33"/>
        <v>-3.9353235359398359E-2</v>
      </c>
      <c r="E489" s="56">
        <v>62880.58</v>
      </c>
      <c r="F489" s="56">
        <v>86222.38</v>
      </c>
      <c r="G489" s="56">
        <v>332919.21999999997</v>
      </c>
      <c r="H489" s="34">
        <v>1184620.6000000001</v>
      </c>
      <c r="I489" s="34">
        <v>907197.91</v>
      </c>
      <c r="J489" s="34">
        <v>1604493.32</v>
      </c>
      <c r="K489" s="34">
        <v>2347575.09</v>
      </c>
      <c r="L489" s="34">
        <v>4739999.18</v>
      </c>
      <c r="M489" s="46"/>
      <c r="O489" s="46"/>
    </row>
    <row r="490" spans="1:15" x14ac:dyDescent="0.2">
      <c r="A490" s="5">
        <v>462</v>
      </c>
      <c r="B490" s="28">
        <f t="shared" ca="1" si="35"/>
        <v>471835.46431243001</v>
      </c>
      <c r="C490" s="29">
        <f t="shared" ca="1" si="34"/>
        <v>-1.1387821980974482</v>
      </c>
      <c r="D490" s="30">
        <f t="shared" ca="1" si="33"/>
        <v>-4.2323921891729677E-2</v>
      </c>
      <c r="E490" s="56">
        <v>58943.75</v>
      </c>
      <c r="F490" s="56">
        <v>129291.85</v>
      </c>
      <c r="G490" s="56">
        <v>223120.4</v>
      </c>
      <c r="H490" s="34">
        <v>441659.73</v>
      </c>
      <c r="I490" s="34">
        <v>729666.96</v>
      </c>
      <c r="J490" s="34">
        <v>979393.55</v>
      </c>
      <c r="K490" s="34">
        <v>1476083.44</v>
      </c>
      <c r="L490" s="34">
        <v>2248943.58</v>
      </c>
      <c r="M490" s="46"/>
      <c r="O490" s="46"/>
    </row>
    <row r="491" spans="1:15" x14ac:dyDescent="0.2">
      <c r="A491" s="5">
        <v>463</v>
      </c>
      <c r="B491" s="28">
        <f t="shared" ca="1" si="35"/>
        <v>441613.3907473124</v>
      </c>
      <c r="C491" s="29">
        <f t="shared" ca="1" si="34"/>
        <v>-1.7023049162929678</v>
      </c>
      <c r="D491" s="30">
        <f t="shared" ca="1" si="33"/>
        <v>-6.532964052581669E-2</v>
      </c>
      <c r="E491" s="56">
        <v>49985.09</v>
      </c>
      <c r="F491" s="56">
        <v>149319.65</v>
      </c>
      <c r="G491" s="56">
        <v>483578.55</v>
      </c>
      <c r="H491" s="34">
        <v>1033315.64</v>
      </c>
      <c r="I491" s="34">
        <v>1371519.78</v>
      </c>
      <c r="J491" s="34">
        <v>1636980.28</v>
      </c>
      <c r="K491" s="34">
        <v>1961567.29</v>
      </c>
      <c r="L491" s="34">
        <v>1069603.83</v>
      </c>
      <c r="M491" s="46"/>
      <c r="O491" s="46"/>
    </row>
    <row r="492" spans="1:15" x14ac:dyDescent="0.2">
      <c r="A492" s="5">
        <v>464</v>
      </c>
      <c r="B492" s="28">
        <f t="shared" ca="1" si="35"/>
        <v>436614.27379464003</v>
      </c>
      <c r="C492" s="29">
        <f t="shared" ca="1" si="34"/>
        <v>-0.41278088908636451</v>
      </c>
      <c r="D492" s="30">
        <f t="shared" ca="1" si="33"/>
        <v>-1.2685042563899511E-2</v>
      </c>
      <c r="E492" s="56">
        <v>45535.3</v>
      </c>
      <c r="F492" s="56">
        <v>132978.09</v>
      </c>
      <c r="G492" s="56">
        <v>334189.11</v>
      </c>
      <c r="H492" s="34">
        <v>626090.97</v>
      </c>
      <c r="I492" s="34">
        <v>983989.01</v>
      </c>
      <c r="J492" s="34">
        <v>1586724.83</v>
      </c>
      <c r="K492" s="34">
        <v>2922438.72</v>
      </c>
      <c r="L492" s="34">
        <v>2000749.17</v>
      </c>
      <c r="M492" s="46"/>
      <c r="O492" s="46"/>
    </row>
    <row r="493" spans="1:15" x14ac:dyDescent="0.2">
      <c r="A493" s="5">
        <v>465</v>
      </c>
      <c r="B493" s="28">
        <f t="shared" ca="1" si="35"/>
        <v>452942.59235768777</v>
      </c>
      <c r="C493" s="29">
        <f t="shared" ca="1" si="34"/>
        <v>0.78017146477624488</v>
      </c>
      <c r="D493" s="30">
        <f t="shared" ca="1" si="33"/>
        <v>3.601703334302566E-2</v>
      </c>
      <c r="E493" s="56">
        <v>61483.88</v>
      </c>
      <c r="F493" s="56">
        <v>103210.14</v>
      </c>
      <c r="G493" s="56">
        <v>389773.37</v>
      </c>
      <c r="H493" s="34">
        <v>618333.34</v>
      </c>
      <c r="I493" s="34">
        <v>485745.97</v>
      </c>
      <c r="J493" s="34">
        <v>560576.4</v>
      </c>
      <c r="K493" s="34">
        <v>907394.16</v>
      </c>
      <c r="L493" s="34">
        <v>2362212.9900000002</v>
      </c>
      <c r="M493" s="46"/>
      <c r="O493" s="46"/>
    </row>
    <row r="494" spans="1:15" x14ac:dyDescent="0.2">
      <c r="A494" s="5">
        <v>466</v>
      </c>
      <c r="B494" s="28">
        <f t="shared" ca="1" si="35"/>
        <v>477700.74118685152</v>
      </c>
      <c r="C494" s="29">
        <f t="shared" ca="1" si="34"/>
        <v>1.2042482477900913</v>
      </c>
      <c r="D494" s="30">
        <f t="shared" ca="1" si="33"/>
        <v>5.33298955121074E-2</v>
      </c>
      <c r="E494" s="56">
        <v>47821.97</v>
      </c>
      <c r="F494" s="56">
        <v>103340.18</v>
      </c>
      <c r="G494" s="56">
        <v>229479.67</v>
      </c>
      <c r="H494" s="34">
        <v>454769.11</v>
      </c>
      <c r="I494" s="34">
        <v>749811.42</v>
      </c>
      <c r="J494" s="34">
        <v>2097927.7200000002</v>
      </c>
      <c r="K494" s="34">
        <v>5031464.72</v>
      </c>
      <c r="L494" s="34">
        <v>16224929.130000001</v>
      </c>
      <c r="M494" s="46"/>
      <c r="O494" s="46"/>
    </row>
    <row r="495" spans="1:15" x14ac:dyDescent="0.2">
      <c r="A495" s="5">
        <v>467</v>
      </c>
      <c r="B495" s="28">
        <f t="shared" ca="1" si="35"/>
        <v>457316.91531700658</v>
      </c>
      <c r="C495" s="29">
        <f t="shared" ca="1" si="34"/>
        <v>-1.1781844493920157</v>
      </c>
      <c r="D495" s="30">
        <f t="shared" ca="1" si="33"/>
        <v>-4.3932512064873155E-2</v>
      </c>
      <c r="E495" s="56">
        <v>73693.17</v>
      </c>
      <c r="F495" s="56">
        <v>247038.62</v>
      </c>
      <c r="G495" s="56">
        <v>254918</v>
      </c>
      <c r="H495" s="34">
        <v>255222.16</v>
      </c>
      <c r="I495" s="34">
        <v>429724.77</v>
      </c>
      <c r="J495" s="34">
        <v>362660.86</v>
      </c>
      <c r="K495" s="34">
        <v>701156.79</v>
      </c>
      <c r="L495" s="34">
        <v>3255835.79</v>
      </c>
      <c r="M495" s="46"/>
      <c r="O495" s="46"/>
    </row>
    <row r="496" spans="1:15" x14ac:dyDescent="0.2">
      <c r="A496" s="5">
        <v>468</v>
      </c>
      <c r="B496" s="28">
        <f t="shared" ca="1" si="35"/>
        <v>457003.95016667747</v>
      </c>
      <c r="C496" s="29">
        <f t="shared" ca="1" si="34"/>
        <v>-0.151110733685692</v>
      </c>
      <c r="D496" s="30">
        <f t="shared" ca="1" si="33"/>
        <v>-2.0024032031257175E-3</v>
      </c>
      <c r="E496" s="56">
        <v>42993.39</v>
      </c>
      <c r="F496" s="56">
        <v>130305.3</v>
      </c>
      <c r="G496" s="56">
        <v>318273.23</v>
      </c>
      <c r="H496" s="34">
        <v>390242.67</v>
      </c>
      <c r="I496" s="34">
        <v>954359.23</v>
      </c>
      <c r="J496" s="34">
        <v>3392094.45</v>
      </c>
      <c r="K496" s="34">
        <v>7846301.6200000001</v>
      </c>
      <c r="L496" s="34">
        <v>11290300.109999999</v>
      </c>
      <c r="M496" s="46"/>
      <c r="O496" s="46"/>
    </row>
    <row r="497" spans="1:15" x14ac:dyDescent="0.2">
      <c r="A497" s="5">
        <v>469</v>
      </c>
      <c r="B497" s="28">
        <f t="shared" ca="1" si="35"/>
        <v>443520.20601455</v>
      </c>
      <c r="C497" s="29">
        <f t="shared" ca="1" si="34"/>
        <v>-0.85708325558097886</v>
      </c>
      <c r="D497" s="30">
        <f t="shared" ca="1" si="33"/>
        <v>-3.0823610720947019E-2</v>
      </c>
      <c r="E497" s="56">
        <v>58948.71</v>
      </c>
      <c r="F497" s="56">
        <v>151176.12</v>
      </c>
      <c r="G497" s="56">
        <v>299165.51</v>
      </c>
      <c r="H497" s="34">
        <v>752599.38</v>
      </c>
      <c r="I497" s="34">
        <v>1304916.0900000001</v>
      </c>
      <c r="J497" s="34">
        <v>1322952.6499999999</v>
      </c>
      <c r="K497" s="34">
        <v>2625047.4900000002</v>
      </c>
      <c r="L497" s="34">
        <v>2266252.4900000002</v>
      </c>
      <c r="M497" s="46"/>
      <c r="O497" s="46"/>
    </row>
    <row r="498" spans="1:15" x14ac:dyDescent="0.2">
      <c r="A498" s="5">
        <v>470</v>
      </c>
      <c r="B498" s="28">
        <f t="shared" ca="1" si="35"/>
        <v>457858.16317076294</v>
      </c>
      <c r="C498" s="29">
        <f t="shared" ca="1" si="34"/>
        <v>0.65651003340890812</v>
      </c>
      <c r="D498" s="30">
        <f t="shared" ca="1" si="33"/>
        <v>3.0968576547822702E-2</v>
      </c>
      <c r="E498" s="56">
        <v>43361.95</v>
      </c>
      <c r="F498" s="56">
        <v>142931.84</v>
      </c>
      <c r="G498" s="56">
        <v>259952.35</v>
      </c>
      <c r="H498" s="34">
        <v>484671.7</v>
      </c>
      <c r="I498" s="34">
        <v>696400.04</v>
      </c>
      <c r="J498" s="34">
        <v>2106912.71</v>
      </c>
      <c r="K498" s="34">
        <v>1703652.35</v>
      </c>
      <c r="L498" s="34">
        <v>1705945.26</v>
      </c>
      <c r="M498" s="46"/>
      <c r="O498" s="46"/>
    </row>
    <row r="499" spans="1:15" x14ac:dyDescent="0.2">
      <c r="A499" s="5">
        <v>471</v>
      </c>
      <c r="B499" s="28">
        <f t="shared" ca="1" si="35"/>
        <v>466925.195659397</v>
      </c>
      <c r="C499" s="29">
        <f t="shared" ca="1" si="34"/>
        <v>0.35076658554982559</v>
      </c>
      <c r="D499" s="30">
        <f t="shared" ca="1" si="33"/>
        <v>1.8486652556922934E-2</v>
      </c>
      <c r="E499" s="56">
        <v>70249.14</v>
      </c>
      <c r="F499" s="56">
        <v>156355.26999999999</v>
      </c>
      <c r="G499" s="56">
        <v>354928.74</v>
      </c>
      <c r="H499" s="34">
        <v>428314.39</v>
      </c>
      <c r="I499" s="34">
        <v>405311.94</v>
      </c>
      <c r="J499" s="34">
        <v>555098.84</v>
      </c>
      <c r="K499" s="34">
        <v>1085449.72</v>
      </c>
      <c r="L499" s="34">
        <v>1623959.3</v>
      </c>
      <c r="M499" s="46"/>
      <c r="O499" s="46"/>
    </row>
    <row r="500" spans="1:15" x14ac:dyDescent="0.2">
      <c r="A500" s="5">
        <v>472</v>
      </c>
      <c r="B500" s="28">
        <f t="shared" ca="1" si="35"/>
        <v>477187.18348962453</v>
      </c>
      <c r="C500" s="29">
        <f t="shared" ca="1" si="34"/>
        <v>0.40466064952780317</v>
      </c>
      <c r="D500" s="30">
        <f t="shared" ca="1" si="33"/>
        <v>2.0686868505438872E-2</v>
      </c>
      <c r="E500" s="56">
        <v>40004.49</v>
      </c>
      <c r="F500" s="56">
        <v>130136.66</v>
      </c>
      <c r="G500" s="56">
        <v>205721.2</v>
      </c>
      <c r="H500" s="34">
        <v>388525.53</v>
      </c>
      <c r="I500" s="34">
        <v>977427.05</v>
      </c>
      <c r="J500" s="34">
        <v>2165001.33</v>
      </c>
      <c r="K500" s="34">
        <v>1854933.94</v>
      </c>
      <c r="L500" s="34">
        <v>2683635.02</v>
      </c>
      <c r="M500" s="46"/>
      <c r="O500" s="46"/>
    </row>
    <row r="501" spans="1:15" x14ac:dyDescent="0.2">
      <c r="A501" s="5">
        <v>473</v>
      </c>
      <c r="B501" s="28">
        <f t="shared" ca="1" si="35"/>
        <v>469931.06443522306</v>
      </c>
      <c r="C501" s="29">
        <f t="shared" ca="1" si="34"/>
        <v>-0.50547321136236867</v>
      </c>
      <c r="D501" s="30">
        <f t="shared" ca="1" si="33"/>
        <v>-1.6469190774729928E-2</v>
      </c>
      <c r="E501" s="56">
        <v>74840.350000000006</v>
      </c>
      <c r="F501" s="56">
        <v>173319.83</v>
      </c>
      <c r="G501" s="56">
        <v>477816.79</v>
      </c>
      <c r="H501" s="34">
        <v>720652.51</v>
      </c>
      <c r="I501" s="34">
        <v>643810.46</v>
      </c>
      <c r="J501" s="34">
        <v>434077.27</v>
      </c>
      <c r="K501" s="34">
        <v>926871.61</v>
      </c>
      <c r="L501" s="34">
        <v>2066806.31</v>
      </c>
      <c r="M501" s="46"/>
      <c r="O501" s="46"/>
    </row>
    <row r="502" spans="1:15" x14ac:dyDescent="0.2">
      <c r="A502" s="5">
        <v>474</v>
      </c>
      <c r="B502" s="28">
        <f t="shared" ca="1" si="35"/>
        <v>434816.069194799</v>
      </c>
      <c r="C502" s="29">
        <f t="shared" ca="1" si="34"/>
        <v>-1.9638307572836027</v>
      </c>
      <c r="D502" s="30">
        <f t="shared" ca="1" si="33"/>
        <v>-7.6006388275471765E-2</v>
      </c>
      <c r="E502" s="56">
        <v>90941.56</v>
      </c>
      <c r="F502" s="56">
        <v>177734.03</v>
      </c>
      <c r="G502" s="56">
        <v>463368.51</v>
      </c>
      <c r="H502" s="34">
        <v>408717.8</v>
      </c>
      <c r="I502" s="34">
        <v>1067897.6499999999</v>
      </c>
      <c r="J502" s="34">
        <v>2750903.89</v>
      </c>
      <c r="K502" s="34">
        <v>3270162.91</v>
      </c>
      <c r="L502" s="34">
        <v>10890781.24</v>
      </c>
      <c r="M502" s="46"/>
      <c r="O502" s="46"/>
    </row>
    <row r="503" spans="1:15" x14ac:dyDescent="0.2">
      <c r="A503" s="5">
        <v>475</v>
      </c>
      <c r="B503" s="28">
        <f t="shared" ca="1" si="35"/>
        <v>436592.66350151168</v>
      </c>
      <c r="C503" s="29">
        <f t="shared" ca="1" si="34"/>
        <v>-3.5935808602761125E-2</v>
      </c>
      <c r="D503" s="30">
        <f t="shared" ca="1" si="33"/>
        <v>2.6995934238152851E-3</v>
      </c>
      <c r="E503" s="56">
        <v>51725.97</v>
      </c>
      <c r="F503" s="56">
        <v>118894.96</v>
      </c>
      <c r="G503" s="56">
        <v>192534.96</v>
      </c>
      <c r="H503" s="34">
        <v>285906.51</v>
      </c>
      <c r="I503" s="34">
        <v>678905.86</v>
      </c>
      <c r="J503" s="34">
        <v>1224616.6299999999</v>
      </c>
      <c r="K503" s="34">
        <v>2448157.02</v>
      </c>
      <c r="L503" s="34">
        <v>2120967.36</v>
      </c>
      <c r="M503" s="46"/>
      <c r="O503" s="46"/>
    </row>
    <row r="504" spans="1:15" x14ac:dyDescent="0.2">
      <c r="A504" s="5">
        <v>476</v>
      </c>
      <c r="B504" s="28">
        <f t="shared" ca="1" si="35"/>
        <v>474254.59530071286</v>
      </c>
      <c r="C504" s="29">
        <f t="shared" ca="1" si="34"/>
        <v>1.9771309581373913</v>
      </c>
      <c r="D504" s="30">
        <f t="shared" ca="1" si="33"/>
        <v>8.4882700034943623E-2</v>
      </c>
      <c r="E504" s="56">
        <v>37788.75</v>
      </c>
      <c r="F504" s="56">
        <v>97697.7</v>
      </c>
      <c r="G504" s="56">
        <v>294644.62</v>
      </c>
      <c r="H504" s="34">
        <v>923863.13</v>
      </c>
      <c r="I504" s="34">
        <v>1041820.83</v>
      </c>
      <c r="J504" s="34">
        <v>1020897.32</v>
      </c>
      <c r="K504" s="34">
        <v>861014.72</v>
      </c>
      <c r="L504" s="34">
        <v>3959644.1600000001</v>
      </c>
      <c r="M504" s="46"/>
      <c r="O504" s="46"/>
    </row>
    <row r="505" spans="1:15" x14ac:dyDescent="0.2">
      <c r="A505" s="5">
        <v>477</v>
      </c>
      <c r="B505" s="28">
        <f t="shared" ca="1" si="35"/>
        <v>476855.63437067915</v>
      </c>
      <c r="C505" s="29">
        <f t="shared" ca="1" si="34"/>
        <v>1.1471584269799101E-3</v>
      </c>
      <c r="D505" s="30">
        <f t="shared" ca="1" si="33"/>
        <v>4.2134992133372427E-3</v>
      </c>
      <c r="E505" s="56">
        <v>39808.01</v>
      </c>
      <c r="F505" s="56">
        <v>61781.88</v>
      </c>
      <c r="G505" s="56">
        <v>92565.04</v>
      </c>
      <c r="H505" s="34">
        <v>226910.17</v>
      </c>
      <c r="I505" s="34">
        <v>452306.05</v>
      </c>
      <c r="J505" s="34">
        <v>473187.41</v>
      </c>
      <c r="K505" s="34">
        <v>875723.63</v>
      </c>
      <c r="L505" s="34">
        <v>1055155.28</v>
      </c>
      <c r="M505" s="46"/>
      <c r="O505" s="46"/>
    </row>
    <row r="506" spans="1:15" x14ac:dyDescent="0.2">
      <c r="A506" s="5">
        <v>478</v>
      </c>
      <c r="B506" s="28">
        <f t="shared" ca="1" si="35"/>
        <v>454530.54506785009</v>
      </c>
      <c r="C506" s="29">
        <f t="shared" ca="1" si="34"/>
        <v>-1.2798095189813672</v>
      </c>
      <c r="D506" s="30">
        <f t="shared" ca="1" si="33"/>
        <v>-4.8081338157685539E-2</v>
      </c>
      <c r="E506" s="56">
        <v>51749.88</v>
      </c>
      <c r="F506" s="56">
        <v>156320.54</v>
      </c>
      <c r="G506" s="56">
        <v>289341.59999999998</v>
      </c>
      <c r="H506" s="34">
        <v>908698.56</v>
      </c>
      <c r="I506" s="34">
        <v>1011651.99</v>
      </c>
      <c r="J506" s="34">
        <v>4917209.63</v>
      </c>
      <c r="K506" s="34">
        <v>2868002.94</v>
      </c>
      <c r="L506" s="34">
        <v>2564592.84</v>
      </c>
      <c r="M506" s="46"/>
      <c r="O506" s="46"/>
    </row>
    <row r="507" spans="1:15" x14ac:dyDescent="0.2">
      <c r="A507" s="5">
        <v>479</v>
      </c>
      <c r="B507" s="28">
        <f t="shared" ca="1" si="35"/>
        <v>470455.85948577872</v>
      </c>
      <c r="C507" s="29">
        <f t="shared" ca="1" si="34"/>
        <v>0.72367827447570743</v>
      </c>
      <c r="D507" s="30">
        <f t="shared" ca="1" si="33"/>
        <v>3.3710708506721247E-2</v>
      </c>
      <c r="E507" s="56">
        <v>63573.01</v>
      </c>
      <c r="F507" s="56">
        <v>172629.36</v>
      </c>
      <c r="G507" s="56">
        <v>259637.66</v>
      </c>
      <c r="H507" s="34">
        <v>413568.33</v>
      </c>
      <c r="I507" s="34">
        <v>599400.32999999996</v>
      </c>
      <c r="J507" s="34">
        <v>835429.82</v>
      </c>
      <c r="K507" s="34">
        <v>1179174.3600000001</v>
      </c>
      <c r="L507" s="34">
        <v>1366465.87</v>
      </c>
      <c r="M507" s="46"/>
      <c r="O507" s="46"/>
    </row>
    <row r="508" spans="1:15" x14ac:dyDescent="0.2">
      <c r="A508" s="5">
        <v>480</v>
      </c>
      <c r="B508" s="28">
        <f t="shared" ca="1" si="35"/>
        <v>492566.03124189231</v>
      </c>
      <c r="C508" s="29">
        <f t="shared" ca="1" si="34"/>
        <v>1.0177489479727386</v>
      </c>
      <c r="D508" s="30">
        <f t="shared" ca="1" si="33"/>
        <v>4.5716093479793232E-2</v>
      </c>
      <c r="E508" s="56">
        <v>37099.81</v>
      </c>
      <c r="F508" s="56">
        <v>79388.62</v>
      </c>
      <c r="G508" s="56">
        <v>190085.34</v>
      </c>
      <c r="H508" s="34">
        <v>573671.30000000005</v>
      </c>
      <c r="I508" s="34">
        <v>1795550.28</v>
      </c>
      <c r="J508" s="34">
        <v>6227403.1299999999</v>
      </c>
      <c r="K508" s="34">
        <v>18857460.73</v>
      </c>
      <c r="L508" s="34">
        <v>19154184.050000001</v>
      </c>
      <c r="M508" s="46"/>
      <c r="O508" s="46"/>
    </row>
    <row r="509" spans="1:15" x14ac:dyDescent="0.2">
      <c r="A509" s="5">
        <v>481</v>
      </c>
      <c r="B509" s="28">
        <f t="shared" ca="1" si="35"/>
        <v>538019.32211637346</v>
      </c>
      <c r="C509" s="29">
        <f t="shared" ca="1" si="34"/>
        <v>2.1283169931772763</v>
      </c>
      <c r="D509" s="30">
        <f t="shared" ref="D509:D572" ca="1" si="36">$D$20+(C509*$D$21)</f>
        <v>9.1054844069647894E-2</v>
      </c>
      <c r="E509" s="56">
        <v>38792.01</v>
      </c>
      <c r="F509" s="56">
        <v>85711.3</v>
      </c>
      <c r="G509" s="56">
        <v>196976.96</v>
      </c>
      <c r="H509" s="34">
        <v>199276.19</v>
      </c>
      <c r="I509" s="34">
        <v>354223.25</v>
      </c>
      <c r="J509" s="34">
        <v>397183.26</v>
      </c>
      <c r="K509" s="34">
        <v>979777.7</v>
      </c>
      <c r="L509" s="34">
        <v>2079897.42</v>
      </c>
      <c r="M509" s="46"/>
      <c r="O509" s="46"/>
    </row>
    <row r="510" spans="1:15" x14ac:dyDescent="0.2">
      <c r="A510" s="5">
        <v>482</v>
      </c>
      <c r="B510" s="28">
        <f t="shared" ca="1" si="35"/>
        <v>517117.85094092181</v>
      </c>
      <c r="C510" s="29">
        <f t="shared" ca="1" si="34"/>
        <v>-1.0811052110417168</v>
      </c>
      <c r="D510" s="30">
        <f t="shared" ca="1" si="36"/>
        <v>-3.9969268755268808E-2</v>
      </c>
      <c r="E510" s="56">
        <v>53997.66</v>
      </c>
      <c r="F510" s="56">
        <v>96646.95</v>
      </c>
      <c r="G510" s="56">
        <v>201808.55</v>
      </c>
      <c r="H510" s="34">
        <v>446599.58</v>
      </c>
      <c r="I510" s="34">
        <v>2281429.9500000002</v>
      </c>
      <c r="J510" s="34">
        <v>3430590.42</v>
      </c>
      <c r="K510" s="34">
        <v>2335772.25</v>
      </c>
      <c r="L510" s="34">
        <v>3711852.69</v>
      </c>
      <c r="M510" s="46"/>
      <c r="O510" s="46"/>
    </row>
    <row r="511" spans="1:15" x14ac:dyDescent="0.2">
      <c r="A511" s="5">
        <v>483</v>
      </c>
      <c r="B511" s="28">
        <f t="shared" ca="1" si="35"/>
        <v>515382.51865835546</v>
      </c>
      <c r="C511" s="29">
        <f t="shared" ca="1" si="34"/>
        <v>-0.21281345991674977</v>
      </c>
      <c r="D511" s="30">
        <f t="shared" ca="1" si="36"/>
        <v>-4.5214064532046261E-3</v>
      </c>
      <c r="E511" s="56">
        <v>48931.71</v>
      </c>
      <c r="F511" s="56">
        <v>84122.01</v>
      </c>
      <c r="G511" s="56">
        <v>111532.27</v>
      </c>
      <c r="H511" s="34">
        <v>202238.5</v>
      </c>
      <c r="I511" s="34">
        <v>506295.75</v>
      </c>
      <c r="J511" s="34">
        <v>1379642.47</v>
      </c>
      <c r="K511" s="34">
        <v>795287.8</v>
      </c>
      <c r="L511" s="34">
        <v>1853498.3</v>
      </c>
      <c r="M511" s="46"/>
      <c r="O511" s="46"/>
    </row>
    <row r="512" spans="1:15" x14ac:dyDescent="0.2">
      <c r="A512" s="5">
        <v>484</v>
      </c>
      <c r="B512" s="28">
        <f t="shared" ca="1" si="35"/>
        <v>463254.34802472545</v>
      </c>
      <c r="C512" s="29">
        <f t="shared" ca="1" si="34"/>
        <v>-2.6082373485231036</v>
      </c>
      <c r="D512" s="30">
        <f t="shared" ca="1" si="36"/>
        <v>-0.10231417719918894</v>
      </c>
      <c r="E512" s="56">
        <v>44726.41</v>
      </c>
      <c r="F512" s="56">
        <v>76209.16</v>
      </c>
      <c r="G512" s="56">
        <v>151721.49</v>
      </c>
      <c r="H512" s="34">
        <v>533193.43000000005</v>
      </c>
      <c r="I512" s="34">
        <v>1153817.8</v>
      </c>
      <c r="J512" s="34">
        <v>1930207.91</v>
      </c>
      <c r="K512" s="34">
        <v>3686115.29</v>
      </c>
      <c r="L512" s="34">
        <v>7518364.3600000003</v>
      </c>
      <c r="M512" s="46"/>
      <c r="O512" s="46"/>
    </row>
    <row r="513" spans="1:15" x14ac:dyDescent="0.2">
      <c r="A513" s="5">
        <v>485</v>
      </c>
      <c r="B513" s="28">
        <f t="shared" ca="1" si="35"/>
        <v>501728.75563201692</v>
      </c>
      <c r="C513" s="29">
        <f t="shared" ca="1" si="34"/>
        <v>1.9004273562855067</v>
      </c>
      <c r="D513" s="30">
        <f t="shared" ca="1" si="36"/>
        <v>8.1751288602098363E-2</v>
      </c>
      <c r="E513" s="56">
        <v>53601</v>
      </c>
      <c r="F513" s="56">
        <v>124370.54</v>
      </c>
      <c r="G513" s="56">
        <v>228579.74</v>
      </c>
      <c r="H513" s="34">
        <v>549346.49</v>
      </c>
      <c r="I513" s="34">
        <v>843076.67</v>
      </c>
      <c r="J513" s="34">
        <v>1336315.8999999999</v>
      </c>
      <c r="K513" s="34">
        <v>4069515.32</v>
      </c>
      <c r="L513" s="34">
        <v>9097081.0600000005</v>
      </c>
      <c r="M513" s="46"/>
      <c r="O513" s="46"/>
    </row>
    <row r="514" spans="1:15" x14ac:dyDescent="0.2">
      <c r="A514" s="5">
        <v>486</v>
      </c>
      <c r="B514" s="28">
        <f t="shared" ca="1" si="35"/>
        <v>492033.69597262581</v>
      </c>
      <c r="C514" s="29">
        <f t="shared" ca="1" si="34"/>
        <v>-0.60481225826316309</v>
      </c>
      <c r="D514" s="30">
        <f t="shared" ca="1" si="36"/>
        <v>-2.0524690382085809E-2</v>
      </c>
      <c r="E514" s="56">
        <v>51260.37</v>
      </c>
      <c r="F514" s="56">
        <v>126356.06</v>
      </c>
      <c r="G514" s="56">
        <v>118115.61</v>
      </c>
      <c r="H514" s="34">
        <v>196846.45</v>
      </c>
      <c r="I514" s="34">
        <v>357044.71</v>
      </c>
      <c r="J514" s="34">
        <v>663907.38</v>
      </c>
      <c r="K514" s="34">
        <v>586324.98</v>
      </c>
      <c r="L514" s="34">
        <v>721431.77</v>
      </c>
      <c r="M514" s="46"/>
      <c r="O514" s="46"/>
    </row>
    <row r="515" spans="1:15" x14ac:dyDescent="0.2">
      <c r="A515" s="5">
        <v>487</v>
      </c>
      <c r="B515" s="28">
        <f t="shared" ca="1" si="35"/>
        <v>508053.25377765176</v>
      </c>
      <c r="C515" s="29">
        <f t="shared" ca="1" si="34"/>
        <v>0.66543148573029942</v>
      </c>
      <c r="D515" s="30">
        <f t="shared" ca="1" si="36"/>
        <v>3.1332793313688989E-2</v>
      </c>
      <c r="E515" s="56">
        <v>33195.089999999997</v>
      </c>
      <c r="F515" s="56">
        <v>123061.95</v>
      </c>
      <c r="G515" s="56">
        <v>307165.86</v>
      </c>
      <c r="H515" s="34">
        <v>646519.92000000004</v>
      </c>
      <c r="I515" s="34">
        <v>648841.55000000005</v>
      </c>
      <c r="J515" s="34">
        <v>1428815.13</v>
      </c>
      <c r="K515" s="34">
        <v>1207208.99</v>
      </c>
      <c r="L515" s="34">
        <v>1258184.05</v>
      </c>
      <c r="M515" s="46"/>
      <c r="O515" s="46"/>
    </row>
    <row r="516" spans="1:15" x14ac:dyDescent="0.2">
      <c r="A516" s="5">
        <v>488</v>
      </c>
      <c r="B516" s="28">
        <f t="shared" ca="1" si="35"/>
        <v>496381.69948747399</v>
      </c>
      <c r="C516" s="29">
        <f t="shared" ca="1" si="34"/>
        <v>-0.69384700077212957</v>
      </c>
      <c r="D516" s="30">
        <f t="shared" ca="1" si="36"/>
        <v>-2.415951852420339E-2</v>
      </c>
      <c r="E516" s="56">
        <v>69899.47</v>
      </c>
      <c r="F516" s="56">
        <v>169560.03</v>
      </c>
      <c r="G516" s="56">
        <v>345772.28</v>
      </c>
      <c r="H516" s="34">
        <v>1018724.33</v>
      </c>
      <c r="I516" s="34">
        <v>1669050.06</v>
      </c>
      <c r="J516" s="34">
        <v>4588552.1500000004</v>
      </c>
      <c r="K516" s="34">
        <v>5805630.4000000004</v>
      </c>
      <c r="L516" s="34">
        <v>6611488.8700000001</v>
      </c>
      <c r="M516" s="46"/>
      <c r="O516" s="46"/>
    </row>
    <row r="517" spans="1:15" x14ac:dyDescent="0.2">
      <c r="A517" s="5">
        <v>489</v>
      </c>
      <c r="B517" s="28">
        <f t="shared" ca="1" si="35"/>
        <v>499203.86101752031</v>
      </c>
      <c r="C517" s="29">
        <f t="shared" ca="1" si="34"/>
        <v>7.4581295477129514E-3</v>
      </c>
      <c r="D517" s="30">
        <f t="shared" ca="1" si="36"/>
        <v>4.4711435304578499E-3</v>
      </c>
      <c r="E517" s="56">
        <v>42202.49</v>
      </c>
      <c r="F517" s="56">
        <v>113860.37</v>
      </c>
      <c r="G517" s="56">
        <v>230466.97</v>
      </c>
      <c r="H517" s="34">
        <v>505962.86</v>
      </c>
      <c r="I517" s="34">
        <v>981233.28</v>
      </c>
      <c r="J517" s="34">
        <v>1301366.24</v>
      </c>
      <c r="K517" s="34">
        <v>1982968.63</v>
      </c>
      <c r="L517" s="34">
        <v>3811663.02</v>
      </c>
      <c r="M517" s="46"/>
      <c r="O517" s="46"/>
    </row>
    <row r="518" spans="1:15" x14ac:dyDescent="0.2">
      <c r="A518" s="5">
        <v>490</v>
      </c>
      <c r="B518" s="28">
        <f t="shared" ca="1" si="35"/>
        <v>534753.93189780973</v>
      </c>
      <c r="C518" s="29">
        <f t="shared" ca="1" si="34"/>
        <v>1.6127295656036684</v>
      </c>
      <c r="D518" s="30">
        <f t="shared" ca="1" si="36"/>
        <v>7.0006075480489274E-2</v>
      </c>
      <c r="E518" s="56">
        <v>42989.03</v>
      </c>
      <c r="F518" s="56">
        <v>186689.85</v>
      </c>
      <c r="G518" s="56">
        <v>892522.76</v>
      </c>
      <c r="H518" s="34">
        <v>1805036.48</v>
      </c>
      <c r="I518" s="34">
        <v>2893324.01</v>
      </c>
      <c r="J518" s="34">
        <v>13997419.380000001</v>
      </c>
      <c r="K518" s="34">
        <v>36398976.119999997</v>
      </c>
      <c r="L518" s="34">
        <v>27926446.91</v>
      </c>
      <c r="M518" s="46"/>
      <c r="O518" s="46"/>
    </row>
    <row r="519" spans="1:15" x14ac:dyDescent="0.2">
      <c r="A519" s="5">
        <v>491</v>
      </c>
      <c r="B519" s="28">
        <f t="shared" ca="1" si="35"/>
        <v>509863.34229290159</v>
      </c>
      <c r="C519" s="29">
        <f t="shared" ca="1" si="34"/>
        <v>-1.2698088345693737</v>
      </c>
      <c r="D519" s="30">
        <f t="shared" ca="1" si="36"/>
        <v>-4.7673061926219042E-2</v>
      </c>
      <c r="E519" s="56">
        <v>50897.94</v>
      </c>
      <c r="F519" s="56">
        <v>189651.15</v>
      </c>
      <c r="G519" s="56">
        <v>342565.21</v>
      </c>
      <c r="H519" s="34">
        <v>1182703.6399999999</v>
      </c>
      <c r="I519" s="34">
        <v>974826.12</v>
      </c>
      <c r="J519" s="34">
        <v>1994077.04</v>
      </c>
      <c r="K519" s="34">
        <v>7507371.9000000004</v>
      </c>
      <c r="L519" s="34">
        <v>19714109.780000001</v>
      </c>
      <c r="M519" s="46"/>
      <c r="O519" s="46"/>
    </row>
    <row r="520" spans="1:15" x14ac:dyDescent="0.2">
      <c r="A520" s="5">
        <v>492</v>
      </c>
      <c r="B520" s="28">
        <f t="shared" ca="1" si="35"/>
        <v>507127.16418177728</v>
      </c>
      <c r="C520" s="29">
        <f t="shared" ca="1" si="34"/>
        <v>-0.262471987424714</v>
      </c>
      <c r="D520" s="30">
        <f t="shared" ca="1" si="36"/>
        <v>-6.5487073494125388E-3</v>
      </c>
      <c r="E520" s="56">
        <v>68113.03</v>
      </c>
      <c r="F520" s="56">
        <v>284657.69</v>
      </c>
      <c r="G520" s="56">
        <v>378447.41</v>
      </c>
      <c r="H520" s="34">
        <v>459688.95</v>
      </c>
      <c r="I520" s="34">
        <v>922086.49</v>
      </c>
      <c r="J520" s="34">
        <v>3219065.27</v>
      </c>
      <c r="K520" s="34">
        <v>3191020.56</v>
      </c>
      <c r="L520" s="34">
        <v>4615911.05</v>
      </c>
      <c r="M520" s="46"/>
      <c r="O520" s="46"/>
    </row>
    <row r="521" spans="1:15" x14ac:dyDescent="0.2">
      <c r="A521" s="5">
        <v>493</v>
      </c>
      <c r="B521" s="28">
        <f t="shared" ca="1" si="35"/>
        <v>490669.1535169257</v>
      </c>
      <c r="C521" s="29">
        <f t="shared" ca="1" si="34"/>
        <v>-0.92611971681848715</v>
      </c>
      <c r="D521" s="30">
        <f t="shared" ca="1" si="36"/>
        <v>-3.3642012448935769E-2</v>
      </c>
      <c r="E521" s="56">
        <v>52010.58</v>
      </c>
      <c r="F521" s="56">
        <v>102838.71</v>
      </c>
      <c r="G521" s="56">
        <v>187622.78</v>
      </c>
      <c r="H521" s="34">
        <v>451535.53</v>
      </c>
      <c r="I521" s="34">
        <v>1507291</v>
      </c>
      <c r="J521" s="34">
        <v>2418408.39</v>
      </c>
      <c r="K521" s="34">
        <v>1868734.3</v>
      </c>
      <c r="L521" s="34">
        <v>1586152.9</v>
      </c>
      <c r="M521" s="46"/>
      <c r="O521" s="46"/>
    </row>
    <row r="522" spans="1:15" x14ac:dyDescent="0.2">
      <c r="A522" s="5">
        <v>494</v>
      </c>
      <c r="B522" s="28">
        <f t="shared" ca="1" si="35"/>
        <v>509029.70036120788</v>
      </c>
      <c r="C522" s="29">
        <f t="shared" ca="1" si="34"/>
        <v>0.78443135259085972</v>
      </c>
      <c r="D522" s="30">
        <f t="shared" ca="1" si="36"/>
        <v>3.6190942534814093E-2</v>
      </c>
      <c r="E522" s="56">
        <v>86807.95</v>
      </c>
      <c r="F522" s="56">
        <v>240933.04</v>
      </c>
      <c r="G522" s="56">
        <v>422356.83</v>
      </c>
      <c r="H522" s="34">
        <v>747407.39</v>
      </c>
      <c r="I522" s="34">
        <v>999621.15</v>
      </c>
      <c r="J522" s="34">
        <v>1883291.03</v>
      </c>
      <c r="K522" s="34">
        <v>3631953.85</v>
      </c>
      <c r="L522" s="34">
        <v>8113143.3700000001</v>
      </c>
      <c r="M522" s="46"/>
      <c r="O522" s="46"/>
    </row>
    <row r="523" spans="1:15" x14ac:dyDescent="0.2">
      <c r="A523" s="5">
        <v>495</v>
      </c>
      <c r="B523" s="28">
        <f t="shared" ca="1" si="35"/>
        <v>486928.70126140933</v>
      </c>
      <c r="C523" s="29">
        <f t="shared" ca="1" si="34"/>
        <v>-1.1945846478853066</v>
      </c>
      <c r="D523" s="30">
        <f t="shared" ca="1" si="36"/>
        <v>-4.4602047364688556E-2</v>
      </c>
      <c r="E523" s="56">
        <v>53020.42</v>
      </c>
      <c r="F523" s="56">
        <v>150601.82999999999</v>
      </c>
      <c r="G523" s="56">
        <v>251990.98</v>
      </c>
      <c r="H523" s="34">
        <v>677344.07</v>
      </c>
      <c r="I523" s="34">
        <v>2047922.27</v>
      </c>
      <c r="J523" s="34">
        <v>3567636.25</v>
      </c>
      <c r="K523" s="34">
        <v>10631982.369999999</v>
      </c>
      <c r="L523" s="34">
        <v>17850501.059999999</v>
      </c>
      <c r="M523" s="46"/>
      <c r="O523" s="46"/>
    </row>
    <row r="524" spans="1:15" x14ac:dyDescent="0.2">
      <c r="A524" s="5">
        <v>496</v>
      </c>
      <c r="B524" s="28">
        <f t="shared" ca="1" si="35"/>
        <v>452747.86470941122</v>
      </c>
      <c r="C524" s="29">
        <f t="shared" ca="1" si="34"/>
        <v>-1.8518476495526286</v>
      </c>
      <c r="D524" s="30">
        <f t="shared" ca="1" si="36"/>
        <v>-7.1434697046271686E-2</v>
      </c>
      <c r="E524" s="56">
        <v>43053.14</v>
      </c>
      <c r="F524" s="56">
        <v>89513.35</v>
      </c>
      <c r="G524" s="56">
        <v>206045.45</v>
      </c>
      <c r="H524" s="34">
        <v>300304.63</v>
      </c>
      <c r="I524" s="34">
        <v>653517.99</v>
      </c>
      <c r="J524" s="34">
        <v>903802.24</v>
      </c>
      <c r="K524" s="34">
        <v>846192.27</v>
      </c>
      <c r="L524" s="34">
        <v>2366968.33</v>
      </c>
      <c r="M524" s="46"/>
      <c r="O524" s="46"/>
    </row>
    <row r="525" spans="1:15" x14ac:dyDescent="0.2">
      <c r="A525" s="5">
        <v>497</v>
      </c>
      <c r="B525" s="28">
        <f t="shared" ca="1" si="35"/>
        <v>471478.42307696701</v>
      </c>
      <c r="C525" s="29">
        <f t="shared" ca="1" si="34"/>
        <v>0.87870096894857919</v>
      </c>
      <c r="D525" s="30">
        <f t="shared" ca="1" si="36"/>
        <v>4.0039483506886409E-2</v>
      </c>
      <c r="E525" s="56">
        <v>73251.19</v>
      </c>
      <c r="F525" s="56">
        <v>209683.39</v>
      </c>
      <c r="G525" s="56">
        <v>128258.91</v>
      </c>
      <c r="H525" s="34">
        <v>88801.82</v>
      </c>
      <c r="I525" s="34">
        <v>186461.65</v>
      </c>
      <c r="J525" s="34">
        <v>327599.26</v>
      </c>
      <c r="K525" s="34">
        <v>519621.39</v>
      </c>
      <c r="L525" s="34">
        <v>520636.38</v>
      </c>
      <c r="M525" s="46"/>
      <c r="O525" s="46"/>
    </row>
    <row r="526" spans="1:15" x14ac:dyDescent="0.2">
      <c r="A526" s="5">
        <v>498</v>
      </c>
      <c r="B526" s="28">
        <f t="shared" ca="1" si="35"/>
        <v>478541.07851582672</v>
      </c>
      <c r="C526" s="29">
        <f t="shared" ca="1" si="34"/>
        <v>0.23355092614074877</v>
      </c>
      <c r="D526" s="30">
        <f t="shared" ca="1" si="36"/>
        <v>1.3701343299987928E-2</v>
      </c>
      <c r="E526" s="56">
        <v>78462.25</v>
      </c>
      <c r="F526" s="56">
        <v>196560.91</v>
      </c>
      <c r="G526" s="56">
        <v>492814.95</v>
      </c>
      <c r="H526" s="34">
        <v>829971.16</v>
      </c>
      <c r="I526" s="34">
        <v>1436739.73</v>
      </c>
      <c r="J526" s="34">
        <v>1454720.39</v>
      </c>
      <c r="K526" s="34">
        <v>4206096.8</v>
      </c>
      <c r="L526" s="34">
        <v>7565194.9100000001</v>
      </c>
      <c r="M526" s="46"/>
      <c r="O526" s="46"/>
    </row>
    <row r="527" spans="1:15" x14ac:dyDescent="0.2">
      <c r="A527" s="5">
        <v>499</v>
      </c>
      <c r="B527" s="28">
        <f t="shared" ca="1" si="35"/>
        <v>489388.20101143094</v>
      </c>
      <c r="C527" s="29">
        <f t="shared" ca="1" si="34"/>
        <v>0.42231176080743488</v>
      </c>
      <c r="D527" s="30">
        <f t="shared" ca="1" si="36"/>
        <v>2.1407472105908577E-2</v>
      </c>
      <c r="E527" s="56">
        <v>61190.15</v>
      </c>
      <c r="F527" s="56">
        <v>154167.20000000001</v>
      </c>
      <c r="G527" s="56">
        <v>474869.91</v>
      </c>
      <c r="H527" s="46">
        <v>681460.66</v>
      </c>
      <c r="I527" s="46">
        <v>1369441.42</v>
      </c>
      <c r="J527" s="46">
        <v>4482510.8899999997</v>
      </c>
      <c r="K527" s="46">
        <v>6099845.3600000003</v>
      </c>
      <c r="L527" s="46">
        <v>17870316.559999999</v>
      </c>
      <c r="M527" s="46"/>
      <c r="O527" s="46"/>
    </row>
    <row r="528" spans="1:15" x14ac:dyDescent="0.2">
      <c r="A528" s="5">
        <v>500</v>
      </c>
      <c r="B528" s="28">
        <f t="shared" ca="1" si="35"/>
        <v>467856.22524044319</v>
      </c>
      <c r="C528" s="29">
        <f t="shared" ca="1" si="34"/>
        <v>-1.2099520256908249</v>
      </c>
      <c r="D528" s="30">
        <f t="shared" ca="1" si="36"/>
        <v>-4.5229417936490074E-2</v>
      </c>
      <c r="E528" s="56">
        <v>50069.2</v>
      </c>
      <c r="F528" s="56">
        <v>106375.99</v>
      </c>
      <c r="G528" s="56">
        <v>257734.92</v>
      </c>
      <c r="H528" s="46">
        <v>397545.85</v>
      </c>
      <c r="I528" s="46">
        <v>633465.56000000006</v>
      </c>
      <c r="J528" s="46">
        <v>1251933.25</v>
      </c>
      <c r="K528" s="46">
        <v>1057744</v>
      </c>
      <c r="L528" s="46">
        <v>1767478.89</v>
      </c>
      <c r="M528" s="46"/>
      <c r="O528" s="46"/>
    </row>
    <row r="529" spans="1:15" x14ac:dyDescent="0.2">
      <c r="A529" s="5">
        <v>501</v>
      </c>
      <c r="B529" s="28">
        <f t="shared" ca="1" si="35"/>
        <v>452992.97247149324</v>
      </c>
      <c r="C529" s="29">
        <f t="shared" ca="1" si="34"/>
        <v>-0.91179498778602874</v>
      </c>
      <c r="D529" s="30">
        <f t="shared" ca="1" si="36"/>
        <v>-3.3057207835049847E-2</v>
      </c>
      <c r="E529" s="56">
        <v>57144.62</v>
      </c>
      <c r="F529" s="56">
        <v>221043.78</v>
      </c>
      <c r="G529" s="56">
        <v>659715.83999999997</v>
      </c>
      <c r="H529" s="46">
        <v>1166168.56</v>
      </c>
      <c r="I529" s="46">
        <v>1832671.02</v>
      </c>
      <c r="J529" s="46">
        <v>5462564.2999999998</v>
      </c>
      <c r="K529" s="46">
        <v>13484171.26</v>
      </c>
      <c r="L529" s="46">
        <v>16891675.109999999</v>
      </c>
      <c r="M529" s="46"/>
      <c r="O529" s="46"/>
    </row>
    <row r="530" spans="1:15" x14ac:dyDescent="0.2">
      <c r="A530" s="5">
        <v>502</v>
      </c>
      <c r="B530" s="28">
        <f t="shared" ca="1" si="35"/>
        <v>458305.93639315089</v>
      </c>
      <c r="C530" s="29">
        <f t="shared" ca="1" si="34"/>
        <v>0.15263453458359816</v>
      </c>
      <c r="D530" s="30">
        <f t="shared" ca="1" si="36"/>
        <v>1.03979454476168E-2</v>
      </c>
      <c r="E530" s="56">
        <v>50307.09</v>
      </c>
      <c r="F530" s="56">
        <v>114540.44</v>
      </c>
      <c r="G530" s="56">
        <v>289465.02</v>
      </c>
      <c r="H530" s="46">
        <v>831802.15</v>
      </c>
      <c r="I530" s="46">
        <v>747368.54</v>
      </c>
      <c r="J530" s="46">
        <v>1014410.99</v>
      </c>
      <c r="K530" s="46">
        <v>2102429.9900000002</v>
      </c>
      <c r="L530" s="46">
        <v>2424519.98</v>
      </c>
      <c r="M530" s="46"/>
      <c r="O530" s="46"/>
    </row>
    <row r="531" spans="1:15" x14ac:dyDescent="0.2">
      <c r="A531" s="5">
        <v>503</v>
      </c>
      <c r="B531" s="28">
        <f t="shared" ca="1" si="35"/>
        <v>463315.27762362146</v>
      </c>
      <c r="C531" s="29">
        <f t="shared" ca="1" si="34"/>
        <v>0.13345433231175413</v>
      </c>
      <c r="D531" s="30">
        <f t="shared" ca="1" si="36"/>
        <v>9.6149169687936575E-3</v>
      </c>
      <c r="E531" s="56">
        <v>53823.68</v>
      </c>
      <c r="F531" s="56">
        <v>134728.32000000001</v>
      </c>
      <c r="G531" s="56">
        <v>211431.36</v>
      </c>
      <c r="H531" s="46">
        <v>627141.82999999996</v>
      </c>
      <c r="I531" s="46">
        <v>1798879.55</v>
      </c>
      <c r="J531" s="46">
        <v>1471921.77</v>
      </c>
      <c r="K531" s="46">
        <v>1896689.66</v>
      </c>
      <c r="L531" s="46">
        <v>6588674.0199999996</v>
      </c>
      <c r="M531" s="46"/>
      <c r="O531" s="46"/>
    </row>
    <row r="532" spans="1:15" x14ac:dyDescent="0.2">
      <c r="A532" s="5">
        <v>504</v>
      </c>
      <c r="B532" s="28">
        <f t="shared" ca="1" si="35"/>
        <v>455689.65803459106</v>
      </c>
      <c r="C532" s="29">
        <f t="shared" ca="1" si="34"/>
        <v>-0.53708658511593488</v>
      </c>
      <c r="D532" s="30">
        <f t="shared" ca="1" si="36"/>
        <v>-1.7759801353798784E-2</v>
      </c>
      <c r="E532" s="56">
        <v>41393.629999999997</v>
      </c>
      <c r="F532" s="56">
        <v>139170.82</v>
      </c>
      <c r="G532" s="56">
        <v>178505.92</v>
      </c>
      <c r="H532" s="46">
        <v>251168.38</v>
      </c>
      <c r="I532" s="46">
        <v>334078</v>
      </c>
      <c r="J532" s="46">
        <v>1452490.16</v>
      </c>
      <c r="K532" s="46">
        <v>3072514.59</v>
      </c>
      <c r="L532" s="46">
        <v>1905471.52</v>
      </c>
      <c r="M532" s="46"/>
      <c r="O532" s="46"/>
    </row>
    <row r="533" spans="1:15" x14ac:dyDescent="0.2">
      <c r="A533" s="5">
        <v>505</v>
      </c>
      <c r="B533" s="28">
        <f t="shared" ca="1" si="35"/>
        <v>448861.61586691625</v>
      </c>
      <c r="C533" s="29">
        <f t="shared" ca="1" si="34"/>
        <v>-0.50149384036814759</v>
      </c>
      <c r="D533" s="30">
        <f t="shared" ca="1" si="36"/>
        <v>-1.6306733634178703E-2</v>
      </c>
      <c r="E533" s="56">
        <v>40180.49</v>
      </c>
      <c r="F533" s="56">
        <v>82541.48</v>
      </c>
      <c r="G533" s="56">
        <v>444770.48</v>
      </c>
      <c r="H533" s="46">
        <v>686122.71</v>
      </c>
      <c r="I533" s="46">
        <v>1282243.06</v>
      </c>
      <c r="J533" s="46">
        <v>713711.9</v>
      </c>
      <c r="K533" s="46">
        <v>1095149.06</v>
      </c>
      <c r="L533" s="46">
        <v>1403988.94</v>
      </c>
      <c r="M533" s="46"/>
      <c r="O533" s="46"/>
    </row>
    <row r="534" spans="1:15" x14ac:dyDescent="0.2">
      <c r="A534" s="5">
        <v>506</v>
      </c>
      <c r="B534" s="28">
        <f t="shared" ca="1" si="35"/>
        <v>465723.55966025707</v>
      </c>
      <c r="C534" s="29">
        <f t="shared" ca="1" si="34"/>
        <v>0.78521996810277506</v>
      </c>
      <c r="D534" s="30">
        <f t="shared" ca="1" si="36"/>
        <v>3.6223137628271361E-2</v>
      </c>
      <c r="E534" s="56">
        <v>43354.11</v>
      </c>
      <c r="F534" s="56">
        <v>103102.98</v>
      </c>
      <c r="G534" s="56">
        <v>270344.15999999997</v>
      </c>
      <c r="H534" s="46">
        <v>445089.31</v>
      </c>
      <c r="I534" s="46">
        <v>657636.54</v>
      </c>
      <c r="J534" s="46">
        <v>1067514.92</v>
      </c>
      <c r="K534" s="46">
        <v>1668164.08</v>
      </c>
      <c r="L534" s="46">
        <v>1649353.82</v>
      </c>
      <c r="M534" s="46"/>
      <c r="O534" s="46"/>
    </row>
    <row r="535" spans="1:15" x14ac:dyDescent="0.2">
      <c r="A535" s="5">
        <v>507</v>
      </c>
      <c r="B535" s="28">
        <f t="shared" ca="1" si="35"/>
        <v>484415.56694859965</v>
      </c>
      <c r="C535" s="29">
        <f t="shared" ca="1" si="34"/>
        <v>0.84934796222622977</v>
      </c>
      <c r="D535" s="30">
        <f t="shared" ca="1" si="36"/>
        <v>3.884115202544907E-2</v>
      </c>
      <c r="E535" s="56">
        <v>73020.490000000005</v>
      </c>
      <c r="F535" s="56">
        <v>105444.17</v>
      </c>
      <c r="G535" s="56">
        <v>567447.66</v>
      </c>
      <c r="H535" s="46">
        <v>1518010.4</v>
      </c>
      <c r="I535" s="46">
        <v>4673864.05</v>
      </c>
      <c r="J535" s="46">
        <v>9346080.4000000004</v>
      </c>
      <c r="K535" s="46">
        <v>20916099.690000001</v>
      </c>
      <c r="L535" s="46">
        <v>21379171.710000001</v>
      </c>
      <c r="M535" s="46"/>
      <c r="O535" s="46"/>
    </row>
    <row r="536" spans="1:15" x14ac:dyDescent="0.2">
      <c r="A536" s="5">
        <v>508</v>
      </c>
      <c r="B536" s="28">
        <f t="shared" ca="1" si="35"/>
        <v>448494.49477248057</v>
      </c>
      <c r="C536" s="29">
        <f t="shared" ca="1" si="34"/>
        <v>-1.948922026379069</v>
      </c>
      <c r="D536" s="30">
        <f t="shared" ca="1" si="36"/>
        <v>-7.5397741884995609E-2</v>
      </c>
      <c r="E536" s="56">
        <v>60529.2</v>
      </c>
      <c r="F536" s="56">
        <v>175709.17</v>
      </c>
      <c r="G536" s="56">
        <v>201515.4</v>
      </c>
      <c r="H536" s="46">
        <v>441690.54</v>
      </c>
      <c r="I536" s="46">
        <v>901820.43</v>
      </c>
      <c r="J536" s="46">
        <v>1494100.55</v>
      </c>
      <c r="K536" s="46">
        <v>3086237.74</v>
      </c>
      <c r="L536" s="46">
        <v>6271149.1900000004</v>
      </c>
      <c r="M536" s="46"/>
      <c r="O536" s="46"/>
    </row>
    <row r="537" spans="1:15" x14ac:dyDescent="0.2">
      <c r="A537" s="5">
        <v>509</v>
      </c>
      <c r="B537" s="28">
        <f t="shared" ca="1" si="35"/>
        <v>465938.61213469889</v>
      </c>
      <c r="C537" s="29">
        <f t="shared" ca="1" si="34"/>
        <v>0.81774215506096692</v>
      </c>
      <c r="D537" s="30">
        <f t="shared" ca="1" si="36"/>
        <v>3.7550850351054162E-2</v>
      </c>
      <c r="E537" s="56">
        <v>39979.11</v>
      </c>
      <c r="F537" s="56">
        <v>81525.08</v>
      </c>
      <c r="G537" s="56">
        <v>111190.36</v>
      </c>
      <c r="H537" s="46">
        <v>152297.38</v>
      </c>
      <c r="I537" s="46">
        <v>346381.66</v>
      </c>
      <c r="J537" s="46">
        <v>497403.94</v>
      </c>
      <c r="K537" s="46">
        <v>1913227.03</v>
      </c>
      <c r="L537" s="46">
        <v>2618359.96</v>
      </c>
      <c r="M537" s="46"/>
      <c r="O537" s="46"/>
    </row>
    <row r="538" spans="1:15" x14ac:dyDescent="0.2">
      <c r="A538" s="5">
        <v>510</v>
      </c>
      <c r="B538" s="28">
        <f t="shared" ca="1" si="35"/>
        <v>463681.25479652995</v>
      </c>
      <c r="C538" s="29">
        <f t="shared" ca="1" si="34"/>
        <v>-0.25242194354505088</v>
      </c>
      <c r="D538" s="30">
        <f t="shared" ca="1" si="36"/>
        <v>-6.1384160261166104E-3</v>
      </c>
      <c r="E538" s="56">
        <v>33555.15</v>
      </c>
      <c r="F538" s="56">
        <v>145657.35999999999</v>
      </c>
      <c r="G538" s="56">
        <v>190763.67</v>
      </c>
      <c r="H538" s="46">
        <v>308925.59000000003</v>
      </c>
      <c r="I538" s="46">
        <v>554888.68999999994</v>
      </c>
      <c r="J538" s="46">
        <v>1127681.4099999999</v>
      </c>
      <c r="K538" s="46">
        <v>3307461.4</v>
      </c>
      <c r="L538" s="46">
        <v>4144629.84</v>
      </c>
      <c r="M538" s="46"/>
      <c r="O538" s="46"/>
    </row>
    <row r="539" spans="1:15" x14ac:dyDescent="0.2">
      <c r="A539" s="5">
        <v>511</v>
      </c>
      <c r="B539" s="28">
        <f t="shared" ca="1" si="35"/>
        <v>508194.20780115196</v>
      </c>
      <c r="C539" s="29">
        <f t="shared" ca="1" si="34"/>
        <v>2.2175820229924543</v>
      </c>
      <c r="D539" s="30">
        <f t="shared" ca="1" si="36"/>
        <v>9.4699073651673113E-2</v>
      </c>
      <c r="E539" s="56">
        <v>38315.22</v>
      </c>
      <c r="F539" s="56">
        <v>118687.67</v>
      </c>
      <c r="G539" s="56">
        <v>197504.75</v>
      </c>
      <c r="H539" s="46">
        <v>200476.87</v>
      </c>
      <c r="I539" s="46">
        <v>207926.8</v>
      </c>
      <c r="J539" s="46">
        <v>377036.15</v>
      </c>
      <c r="K539" s="46">
        <v>600942.71</v>
      </c>
      <c r="L539" s="46">
        <v>969689.63</v>
      </c>
      <c r="M539" s="46"/>
      <c r="O539" s="46"/>
    </row>
    <row r="540" spans="1:15" x14ac:dyDescent="0.2">
      <c r="A540" s="5">
        <v>512</v>
      </c>
      <c r="B540" s="28">
        <f t="shared" ca="1" si="35"/>
        <v>501948.71893517085</v>
      </c>
      <c r="C540" s="29">
        <f t="shared" ca="1" si="34"/>
        <v>-0.43214718517503797</v>
      </c>
      <c r="D540" s="30">
        <f t="shared" ca="1" si="36"/>
        <v>-1.3475668290981305E-2</v>
      </c>
      <c r="E540" s="56">
        <v>92756.58</v>
      </c>
      <c r="F540" s="56">
        <v>242081.52</v>
      </c>
      <c r="G540" s="56">
        <v>287068.56</v>
      </c>
      <c r="H540" s="46">
        <v>430134.67</v>
      </c>
      <c r="I540" s="46">
        <v>476167.63</v>
      </c>
      <c r="J540" s="46">
        <v>731506.76</v>
      </c>
      <c r="K540" s="46">
        <v>1257603.53</v>
      </c>
      <c r="L540" s="46">
        <v>2573291.94</v>
      </c>
      <c r="M540" s="46"/>
      <c r="O540" s="46"/>
    </row>
    <row r="541" spans="1:15" x14ac:dyDescent="0.2">
      <c r="A541" s="5">
        <v>513</v>
      </c>
      <c r="B541" s="28">
        <f t="shared" ca="1" si="35"/>
        <v>529616.65696851758</v>
      </c>
      <c r="C541" s="29">
        <f t="shared" ca="1" si="34"/>
        <v>1.2187074523024073</v>
      </c>
      <c r="D541" s="30">
        <f t="shared" ca="1" si="36"/>
        <v>5.3920190064469437E-2</v>
      </c>
      <c r="E541" s="56">
        <v>53960.77</v>
      </c>
      <c r="F541" s="56">
        <v>81475.789999999994</v>
      </c>
      <c r="G541" s="56">
        <v>98607.74</v>
      </c>
      <c r="H541" s="46">
        <v>222005.47</v>
      </c>
      <c r="I541" s="46">
        <v>453443.44</v>
      </c>
      <c r="J541" s="46">
        <v>1617762.08</v>
      </c>
      <c r="K541" s="46">
        <v>1464163.03</v>
      </c>
      <c r="L541" s="46">
        <v>3184764.15</v>
      </c>
      <c r="M541" s="46"/>
      <c r="O541" s="46"/>
    </row>
    <row r="542" spans="1:15" x14ac:dyDescent="0.2">
      <c r="A542" s="5">
        <v>514</v>
      </c>
      <c r="B542" s="28">
        <f t="shared" ca="1" si="35"/>
        <v>522532.28170380596</v>
      </c>
      <c r="C542" s="29">
        <f t="shared" ca="1" si="34"/>
        <v>-0.45759427897104621</v>
      </c>
      <c r="D542" s="30">
        <f t="shared" ca="1" si="36"/>
        <v>-1.45145415449307E-2</v>
      </c>
      <c r="E542" s="56">
        <v>41000.31</v>
      </c>
      <c r="F542" s="56">
        <v>98727.84</v>
      </c>
      <c r="G542" s="56">
        <v>230285.08</v>
      </c>
      <c r="H542" s="46">
        <v>265372.58</v>
      </c>
      <c r="I542" s="46">
        <v>426860.35</v>
      </c>
      <c r="J542" s="46">
        <v>796397.13</v>
      </c>
      <c r="K542" s="46">
        <v>1302182.3</v>
      </c>
      <c r="L542" s="46">
        <v>3382998.5</v>
      </c>
      <c r="M542" s="46"/>
      <c r="O542" s="46"/>
    </row>
    <row r="543" spans="1:15" x14ac:dyDescent="0.2">
      <c r="A543" s="5">
        <v>515</v>
      </c>
      <c r="B543" s="28">
        <f t="shared" ca="1" si="35"/>
        <v>507235.85036958498</v>
      </c>
      <c r="C543" s="29">
        <f t="shared" ref="C543:C606" ca="1" si="37">NORMSINV(RAND())</f>
        <v>-0.84737344055439856</v>
      </c>
      <c r="D543" s="30">
        <f t="shared" ca="1" si="36"/>
        <v>-3.0427209182414844E-2</v>
      </c>
      <c r="E543" s="56">
        <v>71114.55</v>
      </c>
      <c r="F543" s="56">
        <v>98395.22</v>
      </c>
      <c r="G543" s="56">
        <v>187525.33</v>
      </c>
      <c r="H543" s="46">
        <v>237471.49</v>
      </c>
      <c r="I543" s="46">
        <v>409181.56</v>
      </c>
      <c r="J543" s="46">
        <v>300260.26</v>
      </c>
      <c r="K543" s="46">
        <v>479400.85</v>
      </c>
      <c r="L543" s="46">
        <v>659084.89</v>
      </c>
      <c r="M543" s="46"/>
      <c r="O543" s="46"/>
    </row>
    <row r="544" spans="1:15" x14ac:dyDescent="0.2">
      <c r="A544" s="5">
        <v>516</v>
      </c>
      <c r="B544" s="28">
        <f t="shared" ca="1" si="35"/>
        <v>552243.29772787646</v>
      </c>
      <c r="C544" s="29">
        <f t="shared" ca="1" si="37"/>
        <v>2.0422817717955231</v>
      </c>
      <c r="D544" s="30">
        <f t="shared" ca="1" si="36"/>
        <v>8.7542470864769822E-2</v>
      </c>
      <c r="E544" s="56">
        <v>72637.399999999994</v>
      </c>
      <c r="F544" s="56">
        <v>124009.16</v>
      </c>
      <c r="G544" s="56">
        <v>183619.47</v>
      </c>
      <c r="H544" s="46">
        <v>206254.8</v>
      </c>
      <c r="I544" s="46">
        <v>330586.86</v>
      </c>
      <c r="J544" s="46">
        <v>403176.8</v>
      </c>
      <c r="K544" s="46">
        <v>485886.23</v>
      </c>
      <c r="L544" s="46">
        <v>712845.28</v>
      </c>
      <c r="M544" s="46"/>
      <c r="O544" s="46"/>
    </row>
    <row r="545" spans="1:15" x14ac:dyDescent="0.2">
      <c r="A545" s="5">
        <v>517</v>
      </c>
      <c r="B545" s="28">
        <f t="shared" ca="1" si="35"/>
        <v>573388.89788913028</v>
      </c>
      <c r="C545" s="29">
        <f t="shared" ca="1" si="37"/>
        <v>0.80912069038927592</v>
      </c>
      <c r="D545" s="30">
        <f t="shared" ca="1" si="36"/>
        <v>3.7198880529702917E-2</v>
      </c>
      <c r="E545" s="56">
        <v>44941.1</v>
      </c>
      <c r="F545" s="56">
        <v>146878.67000000001</v>
      </c>
      <c r="G545" s="56">
        <v>331272.93</v>
      </c>
      <c r="H545" s="46">
        <v>383119.35999999999</v>
      </c>
      <c r="I545" s="46">
        <v>690380.21</v>
      </c>
      <c r="J545" s="46">
        <v>707077.54</v>
      </c>
      <c r="K545" s="46">
        <v>1398165.57</v>
      </c>
      <c r="L545" s="46">
        <v>1873291.4</v>
      </c>
      <c r="M545" s="46"/>
      <c r="O545" s="46"/>
    </row>
    <row r="546" spans="1:15" x14ac:dyDescent="0.2">
      <c r="A546" s="5">
        <v>518</v>
      </c>
      <c r="B546" s="28">
        <f t="shared" ca="1" si="35"/>
        <v>604835.21711883147</v>
      </c>
      <c r="C546" s="29">
        <f t="shared" ca="1" si="37"/>
        <v>1.2155595863848829</v>
      </c>
      <c r="D546" s="30">
        <f t="shared" ca="1" si="36"/>
        <v>5.3791678976525557E-2</v>
      </c>
      <c r="E546" s="56">
        <v>70830.87</v>
      </c>
      <c r="F546" s="56">
        <v>163143.96</v>
      </c>
      <c r="G546" s="56">
        <v>249490.49</v>
      </c>
      <c r="H546" s="46">
        <v>656495.47</v>
      </c>
      <c r="I546" s="46">
        <v>502281.02</v>
      </c>
      <c r="J546" s="46">
        <v>917077.66</v>
      </c>
      <c r="K546" s="46">
        <v>1115694.6100000001</v>
      </c>
      <c r="L546" s="46">
        <v>2995622.39</v>
      </c>
      <c r="M546" s="46"/>
      <c r="O546" s="46"/>
    </row>
    <row r="547" spans="1:15" x14ac:dyDescent="0.2">
      <c r="A547" s="5">
        <v>519</v>
      </c>
      <c r="B547" s="28">
        <f t="shared" ca="1" si="35"/>
        <v>580357.79412348033</v>
      </c>
      <c r="C547" s="29">
        <f t="shared" ca="1" si="37"/>
        <v>-1.1177712795306152</v>
      </c>
      <c r="D547" s="30">
        <f t="shared" ca="1" si="36"/>
        <v>-4.1466154733131179E-2</v>
      </c>
      <c r="E547" s="56">
        <v>30594.22</v>
      </c>
      <c r="F547" s="56">
        <v>122125.99</v>
      </c>
      <c r="G547" s="56">
        <v>366522.21</v>
      </c>
      <c r="H547" s="46">
        <v>1002374.31</v>
      </c>
      <c r="I547" s="46">
        <v>1694344.45</v>
      </c>
      <c r="J547" s="46">
        <v>3225475.5</v>
      </c>
      <c r="K547" s="46">
        <v>4768496.83</v>
      </c>
      <c r="L547" s="46">
        <v>4617674.1399999997</v>
      </c>
      <c r="M547" s="46"/>
      <c r="O547" s="46"/>
    </row>
    <row r="548" spans="1:15" x14ac:dyDescent="0.2">
      <c r="A548" s="5">
        <v>520</v>
      </c>
      <c r="B548" s="28">
        <f t="shared" ca="1" si="35"/>
        <v>579744.15483673243</v>
      </c>
      <c r="C548" s="29">
        <f t="shared" ca="1" si="37"/>
        <v>-0.15340240923816831</v>
      </c>
      <c r="D548" s="30">
        <f t="shared" ca="1" si="36"/>
        <v>-2.0959604657853461E-3</v>
      </c>
      <c r="E548" s="56">
        <v>64135.64</v>
      </c>
      <c r="F548" s="56">
        <v>224594.87</v>
      </c>
      <c r="G548" s="56">
        <v>650847.79</v>
      </c>
      <c r="H548" s="46">
        <v>1223639.94</v>
      </c>
      <c r="I548" s="46">
        <v>1197612.03</v>
      </c>
      <c r="J548" s="46">
        <v>2757702.83</v>
      </c>
      <c r="K548" s="46">
        <v>3729892.8</v>
      </c>
      <c r="L548" s="46">
        <v>3390529.67</v>
      </c>
      <c r="M548" s="46"/>
      <c r="O548" s="46"/>
    </row>
    <row r="549" spans="1:15" x14ac:dyDescent="0.2">
      <c r="A549" s="5">
        <v>521</v>
      </c>
      <c r="B549" s="28">
        <f t="shared" ref="B549:B612" ca="1" si="38">(B548*(1+D549))+($C$6*(1+$C$8)^19)</f>
        <v>604559.89832490834</v>
      </c>
      <c r="C549" s="29">
        <f t="shared" ca="1" si="37"/>
        <v>0.92096567723731604</v>
      </c>
      <c r="D549" s="30">
        <f t="shared" ca="1" si="36"/>
        <v>4.176493299746948E-2</v>
      </c>
      <c r="E549" s="56">
        <v>71561.259999999995</v>
      </c>
      <c r="F549" s="56">
        <v>123901.8</v>
      </c>
      <c r="G549" s="56">
        <v>334377.65000000002</v>
      </c>
      <c r="H549" s="46">
        <v>639145.1</v>
      </c>
      <c r="I549" s="46">
        <v>496518.04</v>
      </c>
      <c r="J549" s="46">
        <v>1007262.89</v>
      </c>
      <c r="K549" s="46">
        <v>1129414.48</v>
      </c>
      <c r="L549" s="46">
        <v>1628954.53</v>
      </c>
      <c r="M549" s="46"/>
      <c r="O549" s="46"/>
    </row>
    <row r="550" spans="1:15" x14ac:dyDescent="0.2">
      <c r="A550" s="5">
        <v>522</v>
      </c>
      <c r="B550" s="28">
        <f t="shared" ca="1" si="38"/>
        <v>628163.22314394545</v>
      </c>
      <c r="C550" s="29">
        <f t="shared" ca="1" si="37"/>
        <v>0.82984937045875229</v>
      </c>
      <c r="D550" s="30">
        <f t="shared" ca="1" si="36"/>
        <v>3.8045125349896528E-2</v>
      </c>
      <c r="E550" s="56">
        <v>69271.199999999997</v>
      </c>
      <c r="F550" s="56">
        <v>197039.98</v>
      </c>
      <c r="G550" s="56">
        <v>253295.94</v>
      </c>
      <c r="H550" s="46">
        <v>331747.96999999997</v>
      </c>
      <c r="I550" s="46">
        <v>346453.51</v>
      </c>
      <c r="J550" s="46">
        <v>888873.43</v>
      </c>
      <c r="K550" s="46">
        <v>1534761.32</v>
      </c>
      <c r="L550" s="46">
        <v>2189029.2599999998</v>
      </c>
      <c r="M550" s="46"/>
      <c r="O550" s="46"/>
    </row>
    <row r="551" spans="1:15" x14ac:dyDescent="0.2">
      <c r="A551" s="5">
        <v>523</v>
      </c>
      <c r="B551" s="28">
        <f t="shared" ca="1" si="38"/>
        <v>593458.16797324969</v>
      </c>
      <c r="C551" s="29">
        <f t="shared" ca="1" si="37"/>
        <v>-1.47887221987333</v>
      </c>
      <c r="D551" s="30">
        <f t="shared" ca="1" si="36"/>
        <v>-5.6208038891111846E-2</v>
      </c>
      <c r="E551" s="56">
        <v>40963.72</v>
      </c>
      <c r="F551" s="56">
        <v>101123.9</v>
      </c>
      <c r="G551" s="56">
        <v>193854</v>
      </c>
      <c r="H551" s="46">
        <v>1018711.31</v>
      </c>
      <c r="I551" s="46">
        <v>2314148.7599999998</v>
      </c>
      <c r="J551" s="46">
        <v>4928473.92</v>
      </c>
      <c r="K551" s="46">
        <v>4915620.57</v>
      </c>
      <c r="L551" s="46">
        <v>8413877.6600000001</v>
      </c>
      <c r="M551" s="46"/>
      <c r="O551" s="46"/>
    </row>
    <row r="552" spans="1:15" x14ac:dyDescent="0.2">
      <c r="A552" s="5">
        <v>524</v>
      </c>
      <c r="B552" s="28">
        <f t="shared" ca="1" si="38"/>
        <v>606425.48647794535</v>
      </c>
      <c r="C552" s="29">
        <f t="shared" ca="1" si="37"/>
        <v>0.40828291866765615</v>
      </c>
      <c r="D552" s="30">
        <f t="shared" ca="1" si="36"/>
        <v>2.083474702383337E-2</v>
      </c>
      <c r="E552" s="56">
        <v>42991.65</v>
      </c>
      <c r="F552" s="56">
        <v>55647.78</v>
      </c>
      <c r="G552" s="56">
        <v>161720.85999999999</v>
      </c>
      <c r="H552" s="46">
        <v>544784.31999999995</v>
      </c>
      <c r="I552" s="46">
        <v>994518.37</v>
      </c>
      <c r="J552" s="46">
        <v>1679507.08</v>
      </c>
      <c r="K552" s="46">
        <v>4860955.01</v>
      </c>
      <c r="L552" s="46">
        <v>11404305.57</v>
      </c>
      <c r="M552" s="46"/>
      <c r="O552" s="46"/>
    </row>
    <row r="553" spans="1:15" x14ac:dyDescent="0.2">
      <c r="A553" s="5">
        <v>525</v>
      </c>
      <c r="B553" s="28">
        <f t="shared" ca="1" si="38"/>
        <v>621139.66397072084</v>
      </c>
      <c r="C553" s="29">
        <f t="shared" ca="1" si="37"/>
        <v>0.46792969554494745</v>
      </c>
      <c r="D553" s="30">
        <f t="shared" ca="1" si="36"/>
        <v>2.3269816493016737E-2</v>
      </c>
      <c r="E553" s="56">
        <v>53586.45</v>
      </c>
      <c r="F553" s="56">
        <v>97397.15</v>
      </c>
      <c r="G553" s="56">
        <v>168420.43</v>
      </c>
      <c r="H553" s="46">
        <v>351797.57</v>
      </c>
      <c r="I553" s="46">
        <v>243086.55</v>
      </c>
      <c r="J553" s="46">
        <v>585433.57999999996</v>
      </c>
      <c r="K553" s="46">
        <v>922073.88</v>
      </c>
      <c r="L553" s="46">
        <v>2805655.92</v>
      </c>
      <c r="M553" s="46"/>
      <c r="O553" s="46"/>
    </row>
    <row r="554" spans="1:15" x14ac:dyDescent="0.2">
      <c r="A554" s="5">
        <v>526</v>
      </c>
      <c r="B554" s="28">
        <f t="shared" ca="1" si="38"/>
        <v>624778.63375011494</v>
      </c>
      <c r="C554" s="29">
        <f t="shared" ca="1" si="37"/>
        <v>1.7671801548126496E-2</v>
      </c>
      <c r="D554" s="30">
        <f t="shared" ca="1" si="36"/>
        <v>4.8881149438105955E-3</v>
      </c>
      <c r="E554" s="56">
        <v>56430.98</v>
      </c>
      <c r="F554" s="56">
        <v>109805.06</v>
      </c>
      <c r="G554" s="56">
        <v>172386.69</v>
      </c>
      <c r="H554" s="46">
        <v>217772.34</v>
      </c>
      <c r="I554" s="46">
        <v>600327.54</v>
      </c>
      <c r="J554" s="46">
        <v>1022877.3</v>
      </c>
      <c r="K554" s="46">
        <v>1512575.71</v>
      </c>
      <c r="L554" s="46">
        <v>3019836.84</v>
      </c>
      <c r="M554" s="46"/>
      <c r="O554" s="46"/>
    </row>
    <row r="555" spans="1:15" x14ac:dyDescent="0.2">
      <c r="A555" s="5">
        <v>527</v>
      </c>
      <c r="B555" s="28">
        <f t="shared" ca="1" si="38"/>
        <v>643140.90093191213</v>
      </c>
      <c r="C555" s="29">
        <f t="shared" ca="1" si="37"/>
        <v>0.594211926743484</v>
      </c>
      <c r="D555" s="30">
        <f t="shared" ca="1" si="36"/>
        <v>2.8425266993293223E-2</v>
      </c>
      <c r="E555" s="56">
        <v>47395.5</v>
      </c>
      <c r="F555" s="56">
        <v>113859.73</v>
      </c>
      <c r="G555" s="56">
        <v>380519.76</v>
      </c>
      <c r="H555" s="46">
        <v>1252225.42</v>
      </c>
      <c r="I555" s="46">
        <v>1725278.23</v>
      </c>
      <c r="J555" s="46">
        <v>2789479.74</v>
      </c>
      <c r="K555" s="46">
        <v>3596756.85</v>
      </c>
      <c r="L555" s="46">
        <v>5006889.4400000004</v>
      </c>
      <c r="M555" s="46"/>
      <c r="O555" s="46"/>
    </row>
    <row r="556" spans="1:15" x14ac:dyDescent="0.2">
      <c r="A556" s="5">
        <v>528</v>
      </c>
      <c r="B556" s="28">
        <f t="shared" ca="1" si="38"/>
        <v>657445.67264729179</v>
      </c>
      <c r="C556" s="29">
        <f t="shared" ca="1" si="37"/>
        <v>0.41979741771563567</v>
      </c>
      <c r="D556" s="30">
        <f t="shared" ca="1" si="36"/>
        <v>2.1304824479021912E-2</v>
      </c>
      <c r="E556" s="56">
        <v>43634.1</v>
      </c>
      <c r="F556" s="56">
        <v>158610.06</v>
      </c>
      <c r="G556" s="56">
        <v>425554.51</v>
      </c>
      <c r="H556" s="46">
        <v>408597.28</v>
      </c>
      <c r="I556" s="46">
        <v>571065.54</v>
      </c>
      <c r="J556" s="46">
        <v>553185.9</v>
      </c>
      <c r="K556" s="46">
        <v>857322.41</v>
      </c>
      <c r="L556" s="46">
        <v>1797650.09</v>
      </c>
      <c r="M556" s="46"/>
      <c r="O556" s="46"/>
    </row>
    <row r="557" spans="1:15" x14ac:dyDescent="0.2">
      <c r="A557" s="5">
        <v>529</v>
      </c>
      <c r="B557" s="28">
        <f t="shared" ca="1" si="38"/>
        <v>633778.68488043582</v>
      </c>
      <c r="C557" s="29">
        <f t="shared" ca="1" si="37"/>
        <v>-1.0062967426931964</v>
      </c>
      <c r="D557" s="30">
        <f t="shared" ca="1" si="36"/>
        <v>-3.6915225823718464E-2</v>
      </c>
      <c r="E557" s="56">
        <v>65486.39</v>
      </c>
      <c r="F557" s="56">
        <v>152144.34</v>
      </c>
      <c r="G557" s="56">
        <v>393960.54</v>
      </c>
      <c r="H557" s="46">
        <v>610946.82999999996</v>
      </c>
      <c r="I557" s="46">
        <v>1518338.37</v>
      </c>
      <c r="J557" s="46">
        <v>1058785.99</v>
      </c>
      <c r="K557" s="46">
        <v>1899748.39</v>
      </c>
      <c r="L557" s="46">
        <v>4095474.93</v>
      </c>
      <c r="M557" s="46"/>
      <c r="O557" s="46"/>
    </row>
    <row r="558" spans="1:15" x14ac:dyDescent="0.2">
      <c r="A558" s="5">
        <v>530</v>
      </c>
      <c r="B558" s="28">
        <f t="shared" ca="1" si="38"/>
        <v>659699.19751317997</v>
      </c>
      <c r="C558" s="29">
        <f t="shared" ca="1" si="37"/>
        <v>0.87644285329179183</v>
      </c>
      <c r="D558" s="30">
        <f t="shared" ca="1" si="36"/>
        <v>3.9947296321231097E-2</v>
      </c>
      <c r="E558" s="56">
        <v>39863.72</v>
      </c>
      <c r="F558" s="56">
        <v>66336.7</v>
      </c>
      <c r="G558" s="56">
        <v>144437.35</v>
      </c>
      <c r="H558" s="46">
        <v>397557.91</v>
      </c>
      <c r="I558" s="46">
        <v>1508485.19</v>
      </c>
      <c r="J558" s="46">
        <v>1806580.52</v>
      </c>
      <c r="K558" s="46">
        <v>2241575.16</v>
      </c>
      <c r="L558" s="46">
        <v>3173033.79</v>
      </c>
      <c r="M558" s="46"/>
      <c r="O558" s="46"/>
    </row>
    <row r="559" spans="1:15" x14ac:dyDescent="0.2">
      <c r="A559" s="5">
        <v>531</v>
      </c>
      <c r="B559" s="28">
        <f t="shared" ca="1" si="38"/>
        <v>675861.20911574981</v>
      </c>
      <c r="C559" s="29">
        <f t="shared" ca="1" si="37"/>
        <v>0.4756589322662953</v>
      </c>
      <c r="D559" s="30">
        <f t="shared" ca="1" si="36"/>
        <v>2.3585361260824812E-2</v>
      </c>
      <c r="E559" s="56">
        <v>48230.080000000002</v>
      </c>
      <c r="F559" s="56">
        <v>148164.97</v>
      </c>
      <c r="G559" s="56">
        <v>307623.57</v>
      </c>
      <c r="H559" s="46">
        <v>452569.38</v>
      </c>
      <c r="I559" s="46">
        <v>462587.13</v>
      </c>
      <c r="J559" s="46">
        <v>694983.38</v>
      </c>
      <c r="K559" s="46">
        <v>974660.13</v>
      </c>
      <c r="L559" s="46">
        <v>1598513.46</v>
      </c>
      <c r="M559" s="46"/>
      <c r="O559" s="46"/>
    </row>
    <row r="560" spans="1:15" x14ac:dyDescent="0.2">
      <c r="A560" s="5">
        <v>532</v>
      </c>
      <c r="B560" s="28">
        <f t="shared" ca="1" si="38"/>
        <v>671423.79577179335</v>
      </c>
      <c r="C560" s="29">
        <f t="shared" ca="1" si="37"/>
        <v>-0.28473081608723344</v>
      </c>
      <c r="D560" s="30">
        <f t="shared" ca="1" si="36"/>
        <v>-7.4574202243326984E-3</v>
      </c>
      <c r="E560" s="56">
        <v>60106.09</v>
      </c>
      <c r="F560" s="56">
        <v>146145.54999999999</v>
      </c>
      <c r="G560" s="56">
        <v>195887.1</v>
      </c>
      <c r="H560" s="46">
        <v>378452.04</v>
      </c>
      <c r="I560" s="46">
        <v>516919.35</v>
      </c>
      <c r="J560" s="46">
        <v>900045.25</v>
      </c>
      <c r="K560" s="46">
        <v>2259819.58</v>
      </c>
      <c r="L560" s="46">
        <v>2629874.38</v>
      </c>
      <c r="M560" s="46"/>
      <c r="O560" s="46"/>
    </row>
    <row r="561" spans="1:15" x14ac:dyDescent="0.2">
      <c r="A561" s="5">
        <v>533</v>
      </c>
      <c r="B561" s="28">
        <f t="shared" ca="1" si="38"/>
        <v>687202.10983489919</v>
      </c>
      <c r="C561" s="29">
        <f t="shared" ca="1" si="37"/>
        <v>0.45157253755980553</v>
      </c>
      <c r="D561" s="30">
        <f t="shared" ca="1" si="36"/>
        <v>2.2602038314588586E-2</v>
      </c>
      <c r="E561" s="56">
        <v>65629.259999999995</v>
      </c>
      <c r="F561" s="56">
        <v>123836.44</v>
      </c>
      <c r="G561" s="56">
        <v>733408.24</v>
      </c>
      <c r="H561" s="46">
        <v>939743.92</v>
      </c>
      <c r="I561" s="46">
        <v>1334537.03</v>
      </c>
      <c r="J561" s="46">
        <v>1907363.6</v>
      </c>
      <c r="K561" s="46">
        <v>2480063.14</v>
      </c>
      <c r="L561" s="46">
        <v>2982179.05</v>
      </c>
      <c r="M561" s="46"/>
      <c r="O561" s="46"/>
    </row>
    <row r="562" spans="1:15" x14ac:dyDescent="0.2">
      <c r="A562" s="5">
        <v>534</v>
      </c>
      <c r="B562" s="28">
        <f t="shared" ca="1" si="38"/>
        <v>690918.36421606573</v>
      </c>
      <c r="C562" s="29">
        <f t="shared" ca="1" si="37"/>
        <v>8.9162489955408666E-3</v>
      </c>
      <c r="D562" s="30">
        <f t="shared" ca="1" si="36"/>
        <v>4.5306710076446358E-3</v>
      </c>
      <c r="E562" s="56">
        <v>78466.02</v>
      </c>
      <c r="F562" s="56">
        <v>264417.34000000003</v>
      </c>
      <c r="G562" s="56">
        <v>531805.73</v>
      </c>
      <c r="H562" s="46">
        <v>606282.97</v>
      </c>
      <c r="I562" s="46">
        <v>512827.48</v>
      </c>
      <c r="J562" s="46">
        <v>896590.42</v>
      </c>
      <c r="K562" s="46">
        <v>1269154.74</v>
      </c>
      <c r="L562" s="46">
        <v>2037207.56</v>
      </c>
      <c r="M562" s="46"/>
      <c r="O562" s="46"/>
    </row>
    <row r="563" spans="1:15" x14ac:dyDescent="0.2">
      <c r="A563" s="5">
        <v>535</v>
      </c>
      <c r="B563" s="28">
        <f t="shared" ca="1" si="38"/>
        <v>699495.06518152356</v>
      </c>
      <c r="C563" s="29">
        <f t="shared" ca="1" si="37"/>
        <v>0.18063511334557977</v>
      </c>
      <c r="D563" s="30">
        <f t="shared" ca="1" si="36"/>
        <v>1.1541064288774574E-2</v>
      </c>
      <c r="E563" s="56">
        <v>51396.99</v>
      </c>
      <c r="F563" s="56">
        <v>168258.33</v>
      </c>
      <c r="G563" s="56">
        <v>417151.19</v>
      </c>
      <c r="H563" s="46">
        <v>710792.54</v>
      </c>
      <c r="I563" s="46">
        <v>1077137.42</v>
      </c>
      <c r="J563" s="46">
        <v>2161327.5499999998</v>
      </c>
      <c r="K563" s="46">
        <v>5093755.09</v>
      </c>
      <c r="L563" s="46">
        <v>7515916.5199999996</v>
      </c>
      <c r="M563" s="46"/>
      <c r="O563" s="46"/>
    </row>
    <row r="564" spans="1:15" x14ac:dyDescent="0.2">
      <c r="A564" s="5">
        <v>536</v>
      </c>
      <c r="B564" s="28">
        <f t="shared" ca="1" si="38"/>
        <v>717579.05165922246</v>
      </c>
      <c r="C564" s="29">
        <f t="shared" ca="1" si="37"/>
        <v>0.51009472740573392</v>
      </c>
      <c r="D564" s="30">
        <f t="shared" ca="1" si="36"/>
        <v>2.4991196710468774E-2</v>
      </c>
      <c r="E564" s="56">
        <v>55469.67</v>
      </c>
      <c r="F564" s="56">
        <v>163702.81</v>
      </c>
      <c r="G564" s="56">
        <v>273970.49</v>
      </c>
      <c r="H564" s="46">
        <v>426884.63</v>
      </c>
      <c r="I564" s="46">
        <v>1206407.6299999999</v>
      </c>
      <c r="J564" s="46">
        <v>1617869.92</v>
      </c>
      <c r="K564" s="46">
        <v>2453851.5299999998</v>
      </c>
      <c r="L564" s="46">
        <v>2049521.88</v>
      </c>
      <c r="M564" s="46"/>
      <c r="O564" s="46"/>
    </row>
    <row r="565" spans="1:15" x14ac:dyDescent="0.2">
      <c r="A565" s="5">
        <v>537</v>
      </c>
      <c r="B565" s="28">
        <f t="shared" ca="1" si="38"/>
        <v>735819.35847924685</v>
      </c>
      <c r="C565" s="29">
        <f t="shared" ca="1" si="37"/>
        <v>0.50000359594650789</v>
      </c>
      <c r="D565" s="30">
        <f t="shared" ca="1" si="36"/>
        <v>2.4579227993761263E-2</v>
      </c>
      <c r="E565" s="56">
        <v>47264.78</v>
      </c>
      <c r="F565" s="56">
        <v>113844.85</v>
      </c>
      <c r="G565" s="56">
        <v>118934.17</v>
      </c>
      <c r="H565" s="46">
        <v>149513.01999999999</v>
      </c>
      <c r="I565" s="46">
        <v>236488.77</v>
      </c>
      <c r="J565" s="46">
        <v>601416.93999999994</v>
      </c>
      <c r="K565" s="46">
        <v>805657.37</v>
      </c>
      <c r="L565" s="46">
        <v>710366.6</v>
      </c>
      <c r="M565" s="46"/>
      <c r="O565" s="46"/>
    </row>
    <row r="566" spans="1:15" x14ac:dyDescent="0.2">
      <c r="A566" s="5">
        <v>538</v>
      </c>
      <c r="B566" s="28">
        <f t="shared" ca="1" si="38"/>
        <v>719490.46503132046</v>
      </c>
      <c r="C566" s="29">
        <f t="shared" ca="1" si="37"/>
        <v>-0.6657048994357897</v>
      </c>
      <c r="D566" s="30">
        <f t="shared" ca="1" si="36"/>
        <v>-2.3010622048141235E-2</v>
      </c>
      <c r="E566" s="56">
        <v>67941.3</v>
      </c>
      <c r="F566" s="56">
        <v>235303.92</v>
      </c>
      <c r="G566" s="56">
        <v>517361.65</v>
      </c>
      <c r="H566" s="46">
        <v>634863.79</v>
      </c>
      <c r="I566" s="46">
        <v>468666.38</v>
      </c>
      <c r="J566" s="46">
        <v>1035337.59</v>
      </c>
      <c r="K566" s="46">
        <v>1410224.08</v>
      </c>
      <c r="L566" s="46">
        <v>2347821.5099999998</v>
      </c>
      <c r="M566" s="46"/>
      <c r="O566" s="46"/>
    </row>
    <row r="567" spans="1:15" x14ac:dyDescent="0.2">
      <c r="A567" s="5">
        <v>539</v>
      </c>
      <c r="B567" s="28">
        <f t="shared" ca="1" si="38"/>
        <v>739881.90870778786</v>
      </c>
      <c r="C567" s="29">
        <f t="shared" ca="1" si="37"/>
        <v>0.57163912523706706</v>
      </c>
      <c r="D567" s="30">
        <f t="shared" ca="1" si="36"/>
        <v>2.7503736230695738E-2</v>
      </c>
      <c r="E567" s="56">
        <v>74987.86</v>
      </c>
      <c r="F567" s="56">
        <v>211915.28</v>
      </c>
      <c r="G567" s="56">
        <v>211720.44</v>
      </c>
      <c r="H567" s="46">
        <v>486019.66</v>
      </c>
      <c r="I567" s="46">
        <v>1008242.12</v>
      </c>
      <c r="J567" s="46">
        <v>1350151.19</v>
      </c>
      <c r="K567" s="46">
        <v>3577549.97</v>
      </c>
      <c r="L567" s="46">
        <v>12818772.050000001</v>
      </c>
      <c r="M567" s="46"/>
      <c r="O567" s="46"/>
    </row>
    <row r="568" spans="1:15" x14ac:dyDescent="0.2">
      <c r="A568" s="5">
        <v>540</v>
      </c>
      <c r="B568" s="28">
        <f t="shared" ca="1" si="38"/>
        <v>759673.83618391911</v>
      </c>
      <c r="C568" s="29">
        <f t="shared" ca="1" si="37"/>
        <v>0.53322376796203386</v>
      </c>
      <c r="D568" s="30">
        <f t="shared" ca="1" si="36"/>
        <v>2.5935435837186657E-2</v>
      </c>
      <c r="E568" s="56">
        <v>50879.63</v>
      </c>
      <c r="F568" s="56">
        <v>165220.95000000001</v>
      </c>
      <c r="G568" s="56">
        <v>254933.11</v>
      </c>
      <c r="H568" s="46">
        <v>552000.87</v>
      </c>
      <c r="I568" s="46">
        <v>952777.03</v>
      </c>
      <c r="J568" s="46">
        <v>2343383.4300000002</v>
      </c>
      <c r="K568" s="46">
        <v>6166029.5599999996</v>
      </c>
      <c r="L568" s="46">
        <v>5973644.4000000004</v>
      </c>
      <c r="M568" s="46"/>
      <c r="O568" s="46"/>
    </row>
    <row r="569" spans="1:15" x14ac:dyDescent="0.2">
      <c r="A569" s="5">
        <v>541</v>
      </c>
      <c r="B569" s="28">
        <f t="shared" ca="1" si="38"/>
        <v>752391.15352766076</v>
      </c>
      <c r="C569" s="29">
        <f t="shared" ca="1" si="37"/>
        <v>-0.3563202668428565</v>
      </c>
      <c r="D569" s="30">
        <f t="shared" ca="1" si="36"/>
        <v>-1.0380047312955699E-2</v>
      </c>
      <c r="E569" s="56">
        <v>51245.46</v>
      </c>
      <c r="F569" s="56">
        <v>242311.21</v>
      </c>
      <c r="G569" s="56">
        <v>307659.17</v>
      </c>
      <c r="H569" s="46">
        <v>528585.43000000005</v>
      </c>
      <c r="I569" s="46">
        <v>633031.44999999995</v>
      </c>
      <c r="J569" s="46">
        <v>1135954.4099999999</v>
      </c>
      <c r="K569" s="46">
        <v>4054962.58</v>
      </c>
      <c r="L569" s="46">
        <v>5596846</v>
      </c>
      <c r="M569" s="46"/>
      <c r="O569" s="46"/>
    </row>
    <row r="570" spans="1:15" x14ac:dyDescent="0.2">
      <c r="A570" s="5">
        <v>542</v>
      </c>
      <c r="B570" s="28">
        <f t="shared" ca="1" si="38"/>
        <v>750790.47069258988</v>
      </c>
      <c r="C570" s="29">
        <f t="shared" ca="1" si="37"/>
        <v>-0.17379775787958662</v>
      </c>
      <c r="D570" s="30">
        <f t="shared" ca="1" si="36"/>
        <v>-2.9285970874126958E-3</v>
      </c>
      <c r="E570" s="56">
        <v>32648.55</v>
      </c>
      <c r="F570" s="56">
        <v>96258.6</v>
      </c>
      <c r="G570" s="56">
        <v>198145.55</v>
      </c>
      <c r="H570" s="46">
        <v>414794.82</v>
      </c>
      <c r="I570" s="46">
        <v>505880.71</v>
      </c>
      <c r="J570" s="46">
        <v>1050159.6000000001</v>
      </c>
      <c r="K570" s="46">
        <v>1688875.48</v>
      </c>
      <c r="L570" s="46">
        <v>3605902.02</v>
      </c>
      <c r="M570" s="46"/>
      <c r="O570" s="46"/>
    </row>
    <row r="571" spans="1:15" x14ac:dyDescent="0.2">
      <c r="A571" s="5">
        <v>543</v>
      </c>
      <c r="B571" s="28">
        <f t="shared" ca="1" si="38"/>
        <v>719942.56532625924</v>
      </c>
      <c r="C571" s="29">
        <f t="shared" ca="1" si="37"/>
        <v>-1.128155291708252</v>
      </c>
      <c r="D571" s="30">
        <f t="shared" ca="1" si="36"/>
        <v>-4.1890080255098792E-2</v>
      </c>
      <c r="E571" s="56">
        <v>55482.78</v>
      </c>
      <c r="F571" s="56">
        <v>123639.06</v>
      </c>
      <c r="G571" s="56">
        <v>355238.01</v>
      </c>
      <c r="H571" s="46">
        <v>472445.86</v>
      </c>
      <c r="I571" s="46">
        <v>547366.38</v>
      </c>
      <c r="J571" s="46">
        <v>1062231.75</v>
      </c>
      <c r="K571" s="46">
        <v>1021495.69</v>
      </c>
      <c r="L571" s="46">
        <v>2224817.06</v>
      </c>
      <c r="M571" s="46"/>
      <c r="O571" s="46"/>
    </row>
    <row r="572" spans="1:15" x14ac:dyDescent="0.2">
      <c r="A572" s="5">
        <v>544</v>
      </c>
      <c r="B572" s="28">
        <f t="shared" ca="1" si="38"/>
        <v>704250.9052682498</v>
      </c>
      <c r="C572" s="29">
        <f t="shared" ca="1" si="37"/>
        <v>-0.65645398655636511</v>
      </c>
      <c r="D572" s="30">
        <f t="shared" ca="1" si="36"/>
        <v>-2.2632955111315713E-2</v>
      </c>
      <c r="E572" s="56">
        <v>30774.5</v>
      </c>
      <c r="F572" s="56">
        <v>95606.75</v>
      </c>
      <c r="G572" s="56">
        <v>226727</v>
      </c>
      <c r="H572" s="46">
        <v>273499.93</v>
      </c>
      <c r="I572" s="46">
        <v>408378.01</v>
      </c>
      <c r="J572" s="46">
        <v>563103.73</v>
      </c>
      <c r="K572" s="46">
        <v>724697.24</v>
      </c>
      <c r="L572" s="46">
        <v>779090.86</v>
      </c>
      <c r="M572" s="46"/>
      <c r="O572" s="46"/>
    </row>
    <row r="573" spans="1:15" x14ac:dyDescent="0.2">
      <c r="A573" s="5">
        <v>545</v>
      </c>
      <c r="B573" s="28">
        <f t="shared" ca="1" si="38"/>
        <v>695364.43540395948</v>
      </c>
      <c r="C573" s="29">
        <f t="shared" ca="1" si="37"/>
        <v>-0.43211191594249287</v>
      </c>
      <c r="D573" s="30">
        <f t="shared" ref="D573:D636" ca="1" si="39">$D$20+(C573*$D$21)</f>
        <v>-1.3474228430592053E-2</v>
      </c>
      <c r="E573" s="56">
        <v>68097.3</v>
      </c>
      <c r="F573" s="56">
        <v>112435.69</v>
      </c>
      <c r="G573" s="56">
        <v>270116.46000000002</v>
      </c>
      <c r="H573" s="46">
        <v>541120.43000000005</v>
      </c>
      <c r="I573" s="46">
        <v>1216349.3700000001</v>
      </c>
      <c r="J573" s="46">
        <v>1341320.81</v>
      </c>
      <c r="K573" s="46">
        <v>6248665.8499999996</v>
      </c>
      <c r="L573" s="46">
        <v>16158354.140000001</v>
      </c>
      <c r="M573" s="46"/>
      <c r="O573" s="46"/>
    </row>
    <row r="574" spans="1:15" x14ac:dyDescent="0.2">
      <c r="A574" s="5">
        <v>546</v>
      </c>
      <c r="B574" s="28">
        <f t="shared" ca="1" si="38"/>
        <v>703693.09570527379</v>
      </c>
      <c r="C574" s="29">
        <f t="shared" ca="1" si="37"/>
        <v>0.1700901069198939</v>
      </c>
      <c r="D574" s="30">
        <f t="shared" ca="1" si="39"/>
        <v>1.1110566204152903E-2</v>
      </c>
      <c r="E574" s="56">
        <v>52705.91</v>
      </c>
      <c r="F574" s="56">
        <v>144029.25</v>
      </c>
      <c r="G574" s="56">
        <v>516574.31</v>
      </c>
      <c r="H574" s="46">
        <v>553873.81000000006</v>
      </c>
      <c r="I574" s="46">
        <v>683681.66</v>
      </c>
      <c r="J574" s="46">
        <v>904723.77</v>
      </c>
      <c r="K574" s="46">
        <v>473676.07</v>
      </c>
      <c r="L574" s="46">
        <v>554099.99</v>
      </c>
      <c r="M574" s="46"/>
      <c r="O574" s="46"/>
    </row>
    <row r="575" spans="1:15" x14ac:dyDescent="0.2">
      <c r="A575" s="5">
        <v>547</v>
      </c>
      <c r="B575" s="28">
        <f t="shared" ca="1" si="38"/>
        <v>694862.16682645166</v>
      </c>
      <c r="C575" s="29">
        <f t="shared" ca="1" si="37"/>
        <v>-0.43044021305042485</v>
      </c>
      <c r="D575" s="30">
        <f t="shared" ca="1" si="39"/>
        <v>-1.3405981445807028E-2</v>
      </c>
      <c r="E575" s="56">
        <v>37614.089999999997</v>
      </c>
      <c r="F575" s="56">
        <v>168902.08</v>
      </c>
      <c r="G575" s="56">
        <v>212898.33</v>
      </c>
      <c r="H575" s="46">
        <v>778553.96</v>
      </c>
      <c r="I575" s="46">
        <v>899188.31</v>
      </c>
      <c r="J575" s="46">
        <v>1232296.4099999999</v>
      </c>
      <c r="K575" s="46">
        <v>1723755.63</v>
      </c>
      <c r="L575" s="46">
        <v>3052088.43</v>
      </c>
      <c r="M575" s="46"/>
      <c r="O575" s="46"/>
    </row>
    <row r="576" spans="1:15" x14ac:dyDescent="0.2">
      <c r="A576" s="5">
        <v>548</v>
      </c>
      <c r="B576" s="28">
        <f t="shared" ca="1" si="38"/>
        <v>770084.09359818546</v>
      </c>
      <c r="C576" s="29">
        <f t="shared" ca="1" si="37"/>
        <v>2.5283713208442911</v>
      </c>
      <c r="D576" s="30">
        <f t="shared" ca="1" si="39"/>
        <v>0.10738699360592079</v>
      </c>
      <c r="E576" s="56">
        <v>68655.850000000006</v>
      </c>
      <c r="F576" s="56">
        <v>171168.05</v>
      </c>
      <c r="G576" s="56">
        <v>263694.03000000003</v>
      </c>
      <c r="H576" s="46">
        <v>758739.48</v>
      </c>
      <c r="I576" s="46">
        <v>2272005.34</v>
      </c>
      <c r="J576" s="46">
        <v>2633827.16</v>
      </c>
      <c r="K576" s="46">
        <v>3664457.62</v>
      </c>
      <c r="L576" s="46">
        <v>5365981.03</v>
      </c>
      <c r="M576" s="46"/>
      <c r="O576" s="46"/>
    </row>
    <row r="577" spans="1:15" x14ac:dyDescent="0.2">
      <c r="A577" s="5">
        <v>549</v>
      </c>
      <c r="B577" s="28">
        <f t="shared" ca="1" si="38"/>
        <v>790495.11753152066</v>
      </c>
      <c r="C577" s="29">
        <f t="shared" ca="1" si="37"/>
        <v>0.52800055113197075</v>
      </c>
      <c r="D577" s="30">
        <f t="shared" ca="1" si="39"/>
        <v>2.5722198903027124E-2</v>
      </c>
      <c r="E577" s="56">
        <v>61396.65</v>
      </c>
      <c r="F577" s="56">
        <v>174486.73</v>
      </c>
      <c r="G577" s="56">
        <v>223675.6</v>
      </c>
      <c r="H577" s="46">
        <v>226321.83</v>
      </c>
      <c r="I577" s="46">
        <v>232304.72</v>
      </c>
      <c r="J577" s="46">
        <v>344268.51</v>
      </c>
      <c r="K577" s="46">
        <v>472392.79</v>
      </c>
      <c r="L577" s="46">
        <v>343878.08</v>
      </c>
      <c r="M577" s="46"/>
      <c r="O577" s="46"/>
    </row>
    <row r="578" spans="1:15" x14ac:dyDescent="0.2">
      <c r="A578" s="5">
        <v>550</v>
      </c>
      <c r="B578" s="28">
        <f t="shared" ca="1" si="38"/>
        <v>777420.10169857414</v>
      </c>
      <c r="C578" s="29">
        <f t="shared" ca="1" si="37"/>
        <v>-0.525892526960274</v>
      </c>
      <c r="D578" s="30">
        <f t="shared" ca="1" si="39"/>
        <v>-1.730280584325862E-2</v>
      </c>
      <c r="E578" s="56">
        <v>72054.02</v>
      </c>
      <c r="F578" s="56">
        <v>152060.04999999999</v>
      </c>
      <c r="G578" s="56">
        <v>433997.65</v>
      </c>
      <c r="H578" s="46">
        <v>741590.96</v>
      </c>
      <c r="I578" s="46">
        <v>720023.17</v>
      </c>
      <c r="J578" s="46">
        <v>1171234.6499999999</v>
      </c>
      <c r="K578" s="46">
        <v>1064573.6499999999</v>
      </c>
      <c r="L578" s="46">
        <v>856598.19</v>
      </c>
      <c r="M578" s="46"/>
      <c r="O578" s="46"/>
    </row>
    <row r="579" spans="1:15" x14ac:dyDescent="0.2">
      <c r="A579" s="5">
        <v>551</v>
      </c>
      <c r="B579" s="28">
        <f t="shared" ca="1" si="38"/>
        <v>783614.51271121134</v>
      </c>
      <c r="C579" s="29">
        <f t="shared" ca="1" si="37"/>
        <v>7.4119028124909142E-2</v>
      </c>
      <c r="D579" s="30">
        <f t="shared" ca="1" si="39"/>
        <v>7.1925633189503808E-3</v>
      </c>
      <c r="E579" s="56">
        <v>41182.29</v>
      </c>
      <c r="F579" s="56">
        <v>98201.15</v>
      </c>
      <c r="G579" s="56">
        <v>126019.41</v>
      </c>
      <c r="H579" s="46">
        <v>433511.77</v>
      </c>
      <c r="I579" s="46">
        <v>1071720.43</v>
      </c>
      <c r="J579" s="46">
        <v>1839864.65</v>
      </c>
      <c r="K579" s="46">
        <v>5117121.3499999996</v>
      </c>
      <c r="L579" s="46">
        <v>4607980.5</v>
      </c>
      <c r="M579" s="46"/>
      <c r="O579" s="46"/>
    </row>
    <row r="580" spans="1:15" x14ac:dyDescent="0.2">
      <c r="A580" s="5">
        <v>552</v>
      </c>
      <c r="B580" s="28">
        <f t="shared" ca="1" si="38"/>
        <v>745404.04968241847</v>
      </c>
      <c r="C580" s="29">
        <f t="shared" ca="1" si="37"/>
        <v>-1.315319471838811</v>
      </c>
      <c r="D580" s="30">
        <f t="shared" ca="1" si="39"/>
        <v>-4.9531025912535921E-2</v>
      </c>
      <c r="E580" s="56">
        <v>65766.14</v>
      </c>
      <c r="F580" s="56">
        <v>146301.65</v>
      </c>
      <c r="G580" s="56">
        <v>472741.9</v>
      </c>
      <c r="H580" s="46">
        <v>1149396.71</v>
      </c>
      <c r="I580" s="46">
        <v>1022188.59</v>
      </c>
      <c r="J580" s="46">
        <v>2108475.4</v>
      </c>
      <c r="K580" s="46">
        <v>1512668.48</v>
      </c>
      <c r="L580" s="46">
        <v>2734427.52</v>
      </c>
      <c r="M580" s="46"/>
      <c r="O580" s="46"/>
    </row>
    <row r="581" spans="1:15" x14ac:dyDescent="0.2">
      <c r="A581" s="5">
        <v>553</v>
      </c>
      <c r="B581" s="28">
        <f t="shared" ca="1" si="38"/>
        <v>786712.6261318177</v>
      </c>
      <c r="C581" s="29">
        <f t="shared" ca="1" si="37"/>
        <v>1.2355810624294539</v>
      </c>
      <c r="D581" s="30">
        <f t="shared" ca="1" si="39"/>
        <v>5.4609052313301487E-2</v>
      </c>
      <c r="E581" s="56">
        <v>50008.67</v>
      </c>
      <c r="F581" s="56">
        <v>186335.48</v>
      </c>
      <c r="G581" s="56">
        <v>760355.79</v>
      </c>
      <c r="H581" s="46">
        <v>2052174.67</v>
      </c>
      <c r="I581" s="46">
        <v>1471693.22</v>
      </c>
      <c r="J581" s="46">
        <v>1729551.79</v>
      </c>
      <c r="K581" s="46">
        <v>2227374.3199999998</v>
      </c>
      <c r="L581" s="46">
        <v>2567286.48</v>
      </c>
      <c r="M581" s="46"/>
      <c r="O581" s="46"/>
    </row>
    <row r="582" spans="1:15" x14ac:dyDescent="0.2">
      <c r="A582" s="5">
        <v>554</v>
      </c>
      <c r="B582" s="28">
        <f t="shared" ca="1" si="38"/>
        <v>800111.75969085738</v>
      </c>
      <c r="C582" s="29">
        <f t="shared" ca="1" si="37"/>
        <v>0.29636253455811007</v>
      </c>
      <c r="D582" s="30">
        <f t="shared" ca="1" si="39"/>
        <v>1.6265616475755265E-2</v>
      </c>
      <c r="E582" s="56">
        <v>67570.179999999993</v>
      </c>
      <c r="F582" s="56">
        <v>193078.54</v>
      </c>
      <c r="G582" s="56">
        <v>269428.32</v>
      </c>
      <c r="H582" s="46">
        <v>670387.16</v>
      </c>
      <c r="I582" s="46">
        <v>1014795.2</v>
      </c>
      <c r="J582" s="46">
        <v>1546895.73</v>
      </c>
      <c r="K582" s="46">
        <v>1678953.07</v>
      </c>
      <c r="L582" s="46">
        <v>2940555.51</v>
      </c>
      <c r="M582" s="46"/>
      <c r="O582" s="46"/>
    </row>
    <row r="583" spans="1:15" x14ac:dyDescent="0.2">
      <c r="A583" s="5">
        <v>555</v>
      </c>
      <c r="B583" s="28">
        <f t="shared" ca="1" si="38"/>
        <v>793147.40302160254</v>
      </c>
      <c r="C583" s="29">
        <f t="shared" ca="1" si="37"/>
        <v>-0.33372462868299546</v>
      </c>
      <c r="D583" s="30">
        <f t="shared" ca="1" si="39"/>
        <v>-9.45758424788537E-3</v>
      </c>
      <c r="E583" s="56">
        <v>53352.73</v>
      </c>
      <c r="F583" s="56">
        <v>128752.73</v>
      </c>
      <c r="G583" s="56">
        <v>226989.81</v>
      </c>
      <c r="H583" s="46">
        <v>169463.29</v>
      </c>
      <c r="I583" s="46">
        <v>204024.87</v>
      </c>
      <c r="J583" s="46">
        <v>279105.33</v>
      </c>
      <c r="K583" s="46">
        <v>345669.13</v>
      </c>
      <c r="L583" s="46">
        <v>547699.02</v>
      </c>
      <c r="M583" s="46"/>
      <c r="O583" s="46"/>
    </row>
    <row r="584" spans="1:15" x14ac:dyDescent="0.2">
      <c r="A584" s="5">
        <v>556</v>
      </c>
      <c r="B584" s="28">
        <f t="shared" ca="1" si="38"/>
        <v>816416.39143156528</v>
      </c>
      <c r="C584" s="29">
        <f t="shared" ca="1" si="37"/>
        <v>0.5979424273184295</v>
      </c>
      <c r="D584" s="30">
        <f t="shared" ca="1" si="39"/>
        <v>2.857756404152282E-2</v>
      </c>
      <c r="E584" s="56">
        <v>30685.88</v>
      </c>
      <c r="F584" s="56">
        <v>114009.84</v>
      </c>
      <c r="G584" s="56">
        <v>227675.74</v>
      </c>
      <c r="H584" s="46">
        <v>697567.2</v>
      </c>
      <c r="I584" s="46">
        <v>1394222.35</v>
      </c>
      <c r="J584" s="46">
        <v>1326373.44</v>
      </c>
      <c r="K584" s="46">
        <v>2614519.2200000002</v>
      </c>
      <c r="L584" s="46">
        <v>3016208.99</v>
      </c>
      <c r="M584" s="46"/>
      <c r="O584" s="46"/>
    </row>
    <row r="585" spans="1:15" x14ac:dyDescent="0.2">
      <c r="A585" s="5">
        <v>557</v>
      </c>
      <c r="B585" s="28">
        <f t="shared" ca="1" si="38"/>
        <v>810861.54301765212</v>
      </c>
      <c r="C585" s="29">
        <f t="shared" ca="1" si="37"/>
        <v>-0.286808700481339</v>
      </c>
      <c r="D585" s="30">
        <f t="shared" ca="1" si="39"/>
        <v>-7.542249499500212E-3</v>
      </c>
      <c r="E585" s="56">
        <v>35105.29</v>
      </c>
      <c r="F585" s="56">
        <v>225229.1</v>
      </c>
      <c r="G585" s="56">
        <v>874733.31</v>
      </c>
      <c r="H585" s="46">
        <v>1915516.68</v>
      </c>
      <c r="I585" s="46">
        <v>3236438.44</v>
      </c>
      <c r="J585" s="46">
        <v>4525885.72</v>
      </c>
      <c r="K585" s="46">
        <v>4716897.82</v>
      </c>
      <c r="L585" s="46">
        <v>4351726.84</v>
      </c>
      <c r="M585" s="46"/>
      <c r="O585" s="46"/>
    </row>
    <row r="586" spans="1:15" x14ac:dyDescent="0.2">
      <c r="A586" s="5">
        <v>558</v>
      </c>
      <c r="B586" s="28">
        <f t="shared" ca="1" si="38"/>
        <v>743995.50231985538</v>
      </c>
      <c r="C586" s="29">
        <f t="shared" ca="1" si="37"/>
        <v>-2.1401924484535346</v>
      </c>
      <c r="D586" s="30">
        <f t="shared" ca="1" si="39"/>
        <v>-8.3206324167815815E-2</v>
      </c>
      <c r="E586" s="56">
        <v>55008.73</v>
      </c>
      <c r="F586" s="56">
        <v>135492.67000000001</v>
      </c>
      <c r="G586" s="56">
        <v>187437.19</v>
      </c>
      <c r="H586" s="46">
        <v>430004.45</v>
      </c>
      <c r="I586" s="46">
        <v>470483.35</v>
      </c>
      <c r="J586" s="46">
        <v>1041437.18</v>
      </c>
      <c r="K586" s="46">
        <v>1249722.26</v>
      </c>
      <c r="L586" s="46">
        <v>2313419.44</v>
      </c>
      <c r="M586" s="46"/>
      <c r="O586" s="46"/>
    </row>
    <row r="587" spans="1:15" x14ac:dyDescent="0.2">
      <c r="A587" s="5">
        <v>559</v>
      </c>
      <c r="B587" s="28">
        <f t="shared" ca="1" si="38"/>
        <v>766629.56139368971</v>
      </c>
      <c r="C587" s="29">
        <f t="shared" ca="1" si="37"/>
        <v>0.62328400888764501</v>
      </c>
      <c r="D587" s="30">
        <f t="shared" ca="1" si="39"/>
        <v>2.9612129776851095E-2</v>
      </c>
      <c r="E587" s="56">
        <v>74997.83</v>
      </c>
      <c r="F587" s="56">
        <v>164162.41</v>
      </c>
      <c r="G587" s="56">
        <v>453785.84</v>
      </c>
      <c r="H587" s="46">
        <v>1036652.5</v>
      </c>
      <c r="I587" s="46">
        <v>2045315.13</v>
      </c>
      <c r="J587" s="46">
        <v>7338278.7000000002</v>
      </c>
      <c r="K587" s="46">
        <v>20524280.73</v>
      </c>
      <c r="L587" s="46">
        <v>35012138.07</v>
      </c>
      <c r="M587" s="46"/>
      <c r="O587" s="46"/>
    </row>
    <row r="588" spans="1:15" x14ac:dyDescent="0.2">
      <c r="A588" s="5">
        <v>560</v>
      </c>
      <c r="B588" s="28">
        <f t="shared" ca="1" si="38"/>
        <v>839540.47702453414</v>
      </c>
      <c r="C588" s="29">
        <f t="shared" ca="1" si="37"/>
        <v>2.2082853961170223</v>
      </c>
      <c r="D588" s="30">
        <f t="shared" ca="1" si="39"/>
        <v>9.4319540448775566E-2</v>
      </c>
      <c r="E588" s="56">
        <v>71729.67</v>
      </c>
      <c r="F588" s="56">
        <v>135520.43</v>
      </c>
      <c r="G588" s="56">
        <v>254183.69</v>
      </c>
      <c r="H588" s="46">
        <v>234559.26</v>
      </c>
      <c r="I588" s="46">
        <v>536510.86</v>
      </c>
      <c r="J588" s="46">
        <v>1166430.7</v>
      </c>
      <c r="K588" s="46">
        <v>2193027.4700000002</v>
      </c>
      <c r="L588" s="46">
        <v>1844382.16</v>
      </c>
      <c r="M588" s="46"/>
      <c r="O588" s="46"/>
    </row>
    <row r="589" spans="1:15" x14ac:dyDescent="0.2">
      <c r="A589" s="5">
        <v>561</v>
      </c>
      <c r="B589" s="28">
        <f t="shared" ca="1" si="38"/>
        <v>858537.32800573751</v>
      </c>
      <c r="C589" s="29">
        <f t="shared" ca="1" si="37"/>
        <v>0.43461387743256702</v>
      </c>
      <c r="D589" s="30">
        <f t="shared" ca="1" si="39"/>
        <v>2.1909703914038306E-2</v>
      </c>
      <c r="E589" s="56">
        <v>38626.65</v>
      </c>
      <c r="F589" s="56">
        <v>280971.07</v>
      </c>
      <c r="G589" s="56">
        <v>705450.61</v>
      </c>
      <c r="H589" s="46">
        <v>2025427.38</v>
      </c>
      <c r="I589" s="46">
        <v>2083883.91</v>
      </c>
      <c r="J589" s="46">
        <v>1192084.6000000001</v>
      </c>
      <c r="K589" s="46">
        <v>2735737.25</v>
      </c>
      <c r="L589" s="46">
        <v>12328257.359999999</v>
      </c>
      <c r="M589" s="46"/>
      <c r="O589" s="46"/>
    </row>
    <row r="590" spans="1:15" x14ac:dyDescent="0.2">
      <c r="A590" s="5">
        <v>562</v>
      </c>
      <c r="B590" s="28">
        <f t="shared" ca="1" si="38"/>
        <v>919165.84382085351</v>
      </c>
      <c r="C590" s="29">
        <f t="shared" ca="1" si="37"/>
        <v>1.6105303738688703</v>
      </c>
      <c r="D590" s="30">
        <f t="shared" ca="1" si="39"/>
        <v>6.9916293853875919E-2</v>
      </c>
      <c r="E590" s="56">
        <v>61846.74</v>
      </c>
      <c r="F590" s="56">
        <v>350244.88</v>
      </c>
      <c r="G590" s="56">
        <v>617263.48</v>
      </c>
      <c r="H590" s="46">
        <v>1558984.9</v>
      </c>
      <c r="I590" s="46">
        <v>2680268.4900000002</v>
      </c>
      <c r="J590" s="46">
        <v>3275965.12</v>
      </c>
      <c r="K590" s="46">
        <v>8617078.0399999991</v>
      </c>
      <c r="L590" s="46">
        <v>10998678.060000001</v>
      </c>
      <c r="M590" s="46"/>
      <c r="O590" s="46"/>
    </row>
    <row r="591" spans="1:15" x14ac:dyDescent="0.2">
      <c r="A591" s="5">
        <v>563</v>
      </c>
      <c r="B591" s="28">
        <f t="shared" ca="1" si="38"/>
        <v>982191.69289470708</v>
      </c>
      <c r="C591" s="29">
        <f t="shared" ca="1" si="37"/>
        <v>1.5614538048724338</v>
      </c>
      <c r="D591" s="30">
        <f t="shared" ca="1" si="39"/>
        <v>6.7912751314413211E-2</v>
      </c>
      <c r="E591" s="56">
        <v>37483.79</v>
      </c>
      <c r="F591" s="56">
        <v>140101.76999999999</v>
      </c>
      <c r="G591" s="56">
        <v>123357.23</v>
      </c>
      <c r="H591" s="46">
        <v>417959.66</v>
      </c>
      <c r="I591" s="46">
        <v>456177.53</v>
      </c>
      <c r="J591" s="46">
        <v>455551.25</v>
      </c>
      <c r="K591" s="46">
        <v>1064712.1499999999</v>
      </c>
      <c r="L591" s="46">
        <v>1143425.67</v>
      </c>
      <c r="M591" s="46"/>
      <c r="O591" s="46"/>
    </row>
    <row r="592" spans="1:15" x14ac:dyDescent="0.2">
      <c r="A592" s="5">
        <v>564</v>
      </c>
      <c r="B592" s="28">
        <f t="shared" ca="1" si="38"/>
        <v>960332.79751030589</v>
      </c>
      <c r="C592" s="29">
        <f t="shared" ca="1" si="37"/>
        <v>-0.66223391832779366</v>
      </c>
      <c r="D592" s="30">
        <f t="shared" ca="1" si="39"/>
        <v>-2.2868919837784059E-2</v>
      </c>
      <c r="E592" s="56">
        <v>41965.87</v>
      </c>
      <c r="F592" s="56">
        <v>153241.64000000001</v>
      </c>
      <c r="G592" s="56">
        <v>314994.71000000002</v>
      </c>
      <c r="H592" s="46">
        <v>441500.6</v>
      </c>
      <c r="I592" s="46">
        <v>690339.45</v>
      </c>
      <c r="J592" s="46">
        <v>1038381.65</v>
      </c>
      <c r="K592" s="46">
        <v>1854971.25</v>
      </c>
      <c r="L592" s="46">
        <v>1292889.4099999999</v>
      </c>
      <c r="M592" s="46"/>
      <c r="O592" s="46"/>
    </row>
    <row r="593" spans="1:15" x14ac:dyDescent="0.2">
      <c r="A593" s="5">
        <v>565</v>
      </c>
      <c r="B593" s="28">
        <f t="shared" ca="1" si="38"/>
        <v>984117.33929785201</v>
      </c>
      <c r="C593" s="29">
        <f t="shared" ca="1" si="37"/>
        <v>0.48922792581063301</v>
      </c>
      <c r="D593" s="30">
        <f t="shared" ca="1" si="39"/>
        <v>2.4139313102603921E-2</v>
      </c>
      <c r="E593" s="56">
        <v>40295.43</v>
      </c>
      <c r="F593" s="56">
        <v>102573.02</v>
      </c>
      <c r="G593" s="56">
        <v>213787.08</v>
      </c>
      <c r="H593" s="46">
        <v>232034.49</v>
      </c>
      <c r="I593" s="46">
        <v>506727.34</v>
      </c>
      <c r="J593" s="46">
        <v>610087.88</v>
      </c>
      <c r="K593" s="46">
        <v>2332878.77</v>
      </c>
      <c r="L593" s="46">
        <v>3532989.58</v>
      </c>
      <c r="M593" s="46"/>
      <c r="O593" s="46"/>
    </row>
    <row r="594" spans="1:15" x14ac:dyDescent="0.2">
      <c r="A594" s="5">
        <v>566</v>
      </c>
      <c r="B594" s="28">
        <f t="shared" ca="1" si="38"/>
        <v>1019910.0730254583</v>
      </c>
      <c r="C594" s="29">
        <f t="shared" ca="1" si="37"/>
        <v>0.77382393586486198</v>
      </c>
      <c r="D594" s="30">
        <f t="shared" ca="1" si="39"/>
        <v>3.5757896560351457E-2</v>
      </c>
      <c r="E594" s="56">
        <v>55321.4</v>
      </c>
      <c r="F594" s="56">
        <v>81108.08</v>
      </c>
      <c r="G594" s="56">
        <v>451974.53</v>
      </c>
      <c r="H594" s="46">
        <v>1346434.22</v>
      </c>
      <c r="I594" s="46">
        <v>2148434.86</v>
      </c>
      <c r="J594" s="46">
        <v>5725397.1500000004</v>
      </c>
      <c r="K594" s="46">
        <v>13878318.109999999</v>
      </c>
      <c r="L594" s="46">
        <v>13274486.199999999</v>
      </c>
      <c r="M594" s="46"/>
      <c r="O594" s="46"/>
    </row>
    <row r="595" spans="1:15" x14ac:dyDescent="0.2">
      <c r="A595" s="5">
        <v>567</v>
      </c>
      <c r="B595" s="28">
        <f t="shared" ca="1" si="38"/>
        <v>1088479.6166079354</v>
      </c>
      <c r="C595" s="29">
        <f t="shared" ca="1" si="37"/>
        <v>1.5302771380973925</v>
      </c>
      <c r="D595" s="30">
        <f t="shared" ca="1" si="39"/>
        <v>6.6639969223086001E-2</v>
      </c>
      <c r="E595" s="56">
        <v>44499.19</v>
      </c>
      <c r="F595" s="56">
        <v>145600.32999999999</v>
      </c>
      <c r="G595" s="56">
        <v>361509.6</v>
      </c>
      <c r="H595" s="46">
        <v>652355.83999999997</v>
      </c>
      <c r="I595" s="46">
        <v>845072.68</v>
      </c>
      <c r="J595" s="46">
        <v>1677635.39</v>
      </c>
      <c r="K595" s="46">
        <v>4069355.87</v>
      </c>
      <c r="L595" s="46">
        <v>6901862.8200000003</v>
      </c>
      <c r="M595" s="46"/>
      <c r="O595" s="46"/>
    </row>
    <row r="596" spans="1:15" x14ac:dyDescent="0.2">
      <c r="A596" s="5">
        <v>568</v>
      </c>
      <c r="B596" s="28">
        <f t="shared" ca="1" si="38"/>
        <v>1098526.7299398077</v>
      </c>
      <c r="C596" s="29">
        <f t="shared" ca="1" si="37"/>
        <v>0.11047133072501666</v>
      </c>
      <c r="D596" s="30">
        <f t="shared" ca="1" si="39"/>
        <v>8.676639858042276E-3</v>
      </c>
      <c r="E596" s="56">
        <v>48767.76</v>
      </c>
      <c r="F596" s="56">
        <v>157747.45000000001</v>
      </c>
      <c r="G596" s="56">
        <v>377932.17</v>
      </c>
      <c r="H596" s="46">
        <v>486066.57</v>
      </c>
      <c r="I596" s="46">
        <v>580065.24</v>
      </c>
      <c r="J596" s="46">
        <v>1171236.32</v>
      </c>
      <c r="K596" s="46">
        <v>1045191.35</v>
      </c>
      <c r="L596" s="46">
        <v>4743059.1900000004</v>
      </c>
      <c r="M596" s="46"/>
      <c r="O596" s="46"/>
    </row>
    <row r="597" spans="1:15" x14ac:dyDescent="0.2">
      <c r="A597" s="5">
        <v>569</v>
      </c>
      <c r="B597" s="28">
        <f t="shared" ca="1" si="38"/>
        <v>1083845.9134781354</v>
      </c>
      <c r="C597" s="29">
        <f t="shared" ca="1" si="37"/>
        <v>-0.44285471453105213</v>
      </c>
      <c r="D597" s="30">
        <f t="shared" ca="1" si="39"/>
        <v>-1.3912801346449746E-2</v>
      </c>
      <c r="E597" s="56">
        <v>84424.29</v>
      </c>
      <c r="F597" s="56">
        <v>237444.63</v>
      </c>
      <c r="G597" s="56">
        <v>528992.69999999995</v>
      </c>
      <c r="H597" s="46">
        <v>1302520.6399999999</v>
      </c>
      <c r="I597" s="46">
        <v>2079096.05</v>
      </c>
      <c r="J597" s="46">
        <v>2810494.56</v>
      </c>
      <c r="K597" s="46">
        <v>5036574.4000000004</v>
      </c>
      <c r="L597" s="46">
        <v>15962874.75</v>
      </c>
      <c r="M597" s="46"/>
      <c r="O597" s="46"/>
    </row>
    <row r="598" spans="1:15" x14ac:dyDescent="0.2">
      <c r="A598" s="5">
        <v>570</v>
      </c>
      <c r="B598" s="28">
        <f t="shared" ca="1" si="38"/>
        <v>1101946.3754148965</v>
      </c>
      <c r="C598" s="29">
        <f t="shared" ca="1" si="37"/>
        <v>0.2933854906237906</v>
      </c>
      <c r="D598" s="30">
        <f t="shared" ca="1" si="39"/>
        <v>1.6144079166073091E-2</v>
      </c>
      <c r="E598" s="56">
        <v>42127.81</v>
      </c>
      <c r="F598" s="56">
        <v>142834.01</v>
      </c>
      <c r="G598" s="56">
        <v>112893.24</v>
      </c>
      <c r="H598" s="46">
        <v>226508.62</v>
      </c>
      <c r="I598" s="46">
        <v>1158751.44</v>
      </c>
      <c r="J598" s="46">
        <v>1649241.25</v>
      </c>
      <c r="K598" s="46">
        <v>5978340.7999999998</v>
      </c>
      <c r="L598" s="46">
        <v>15902526.75</v>
      </c>
      <c r="M598" s="46"/>
      <c r="O598" s="46"/>
    </row>
    <row r="599" spans="1:15" x14ac:dyDescent="0.2">
      <c r="A599" s="5">
        <v>571</v>
      </c>
      <c r="B599" s="28">
        <f t="shared" ca="1" si="38"/>
        <v>1118908.1780179085</v>
      </c>
      <c r="C599" s="29">
        <f t="shared" ca="1" si="37"/>
        <v>0.26157892731563098</v>
      </c>
      <c r="D599" s="30">
        <f t="shared" ca="1" si="39"/>
        <v>1.4845581656464411E-2</v>
      </c>
      <c r="E599" s="56">
        <v>46459.44</v>
      </c>
      <c r="F599" s="56">
        <v>161922.51</v>
      </c>
      <c r="G599" s="56">
        <v>360356.4</v>
      </c>
      <c r="H599" s="46">
        <v>768099.55</v>
      </c>
      <c r="I599" s="46">
        <v>802180.09</v>
      </c>
      <c r="J599" s="46">
        <v>1427455.91</v>
      </c>
      <c r="K599" s="46">
        <v>3316247.04</v>
      </c>
      <c r="L599" s="46">
        <v>4542640.79</v>
      </c>
      <c r="M599" s="46"/>
      <c r="O599" s="46"/>
    </row>
    <row r="600" spans="1:15" x14ac:dyDescent="0.2">
      <c r="A600" s="5">
        <v>572</v>
      </c>
      <c r="B600" s="28">
        <f t="shared" ca="1" si="38"/>
        <v>1154973.4046278938</v>
      </c>
      <c r="C600" s="29">
        <f t="shared" ca="1" si="37"/>
        <v>0.67427445835552768</v>
      </c>
      <c r="D600" s="30">
        <f t="shared" ca="1" si="39"/>
        <v>3.1693806159375809E-2</v>
      </c>
      <c r="E600" s="56">
        <v>55155.11</v>
      </c>
      <c r="F600" s="56">
        <v>104788.76</v>
      </c>
      <c r="G600" s="56">
        <v>676614.68</v>
      </c>
      <c r="H600" s="46">
        <v>875647.2</v>
      </c>
      <c r="I600" s="46">
        <v>2694557.71</v>
      </c>
      <c r="J600" s="46">
        <v>10289729.07</v>
      </c>
      <c r="K600" s="46">
        <v>16181259.18</v>
      </c>
      <c r="L600" s="46">
        <v>18034052.030000001</v>
      </c>
      <c r="M600" s="46"/>
      <c r="O600" s="46"/>
    </row>
    <row r="601" spans="1:15" x14ac:dyDescent="0.2">
      <c r="A601" s="5">
        <v>573</v>
      </c>
      <c r="B601" s="28">
        <f t="shared" ca="1" si="38"/>
        <v>1105087.6617873728</v>
      </c>
      <c r="C601" s="29">
        <f t="shared" ca="1" si="37"/>
        <v>-1.1728320852927847</v>
      </c>
      <c r="D601" s="30">
        <f t="shared" ca="1" si="39"/>
        <v>-4.3714002715528034E-2</v>
      </c>
      <c r="E601" s="56">
        <v>50481.279999999999</v>
      </c>
      <c r="F601" s="56">
        <v>113634.99</v>
      </c>
      <c r="G601" s="56">
        <v>219662.34</v>
      </c>
      <c r="H601" s="46">
        <v>370851.15</v>
      </c>
      <c r="I601" s="46">
        <v>386768.33</v>
      </c>
      <c r="J601" s="46">
        <v>307263.48</v>
      </c>
      <c r="K601" s="46">
        <v>795365.05</v>
      </c>
      <c r="L601" s="46">
        <v>686783.89</v>
      </c>
      <c r="M601" s="46"/>
      <c r="O601" s="46"/>
    </row>
    <row r="602" spans="1:15" x14ac:dyDescent="0.2">
      <c r="A602" s="5">
        <v>574</v>
      </c>
      <c r="B602" s="28">
        <f t="shared" ca="1" si="38"/>
        <v>1097084.2875063077</v>
      </c>
      <c r="C602" s="29">
        <f t="shared" ca="1" si="37"/>
        <v>-0.29282211139453451</v>
      </c>
      <c r="D602" s="30">
        <f t="shared" ca="1" si="39"/>
        <v>-7.7877459720170914E-3</v>
      </c>
      <c r="E602" s="56">
        <v>42172.160000000003</v>
      </c>
      <c r="F602" s="56">
        <v>99401.18</v>
      </c>
      <c r="G602" s="56">
        <v>266306.95</v>
      </c>
      <c r="H602" s="46">
        <v>462002.51</v>
      </c>
      <c r="I602" s="46">
        <v>851069.34</v>
      </c>
      <c r="J602" s="46">
        <v>1677993.29</v>
      </c>
      <c r="K602" s="46">
        <v>1701090.58</v>
      </c>
      <c r="L602" s="46">
        <v>4823738.3899999997</v>
      </c>
      <c r="M602" s="46"/>
      <c r="O602" s="46"/>
    </row>
    <row r="603" spans="1:15" x14ac:dyDescent="0.2">
      <c r="A603" s="5">
        <v>575</v>
      </c>
      <c r="B603" s="28">
        <f t="shared" ca="1" si="38"/>
        <v>1098695.0695827529</v>
      </c>
      <c r="C603" s="29">
        <f t="shared" ca="1" si="37"/>
        <v>-7.9555863296170523E-2</v>
      </c>
      <c r="D603" s="30">
        <f t="shared" ca="1" si="39"/>
        <v>9.1881214796282621E-4</v>
      </c>
      <c r="E603" s="56">
        <v>39918.26</v>
      </c>
      <c r="F603" s="56">
        <v>78289.69</v>
      </c>
      <c r="G603" s="56">
        <v>169004.89</v>
      </c>
      <c r="H603" s="46">
        <v>446458.25</v>
      </c>
      <c r="I603" s="46">
        <v>2217809.6</v>
      </c>
      <c r="J603" s="46">
        <v>5379170.5800000001</v>
      </c>
      <c r="K603" s="46">
        <v>7357629.1799999997</v>
      </c>
      <c r="L603" s="46">
        <v>20180851.460000001</v>
      </c>
      <c r="M603" s="46"/>
      <c r="O603" s="46"/>
    </row>
    <row r="604" spans="1:15" x14ac:dyDescent="0.2">
      <c r="A604" s="5">
        <v>576</v>
      </c>
      <c r="B604" s="28">
        <f t="shared" ca="1" si="38"/>
        <v>1100100.0581805711</v>
      </c>
      <c r="C604" s="29">
        <f t="shared" ca="1" si="37"/>
        <v>-8.4176929586016747E-2</v>
      </c>
      <c r="D604" s="30">
        <f t="shared" ca="1" si="39"/>
        <v>7.3015790666783537E-4</v>
      </c>
      <c r="E604" s="56">
        <v>41475.56</v>
      </c>
      <c r="F604" s="56">
        <v>106390.79</v>
      </c>
      <c r="G604" s="56">
        <v>130993.94</v>
      </c>
      <c r="H604" s="46">
        <v>189047.34</v>
      </c>
      <c r="I604" s="46">
        <v>179773.86</v>
      </c>
      <c r="J604" s="46">
        <v>222099.06</v>
      </c>
      <c r="K604" s="46">
        <v>188164.03</v>
      </c>
      <c r="L604" s="46">
        <v>337337.32</v>
      </c>
      <c r="M604" s="46"/>
      <c r="O604" s="46"/>
    </row>
    <row r="605" spans="1:15" x14ac:dyDescent="0.2">
      <c r="A605" s="5">
        <v>577</v>
      </c>
      <c r="B605" s="28">
        <f t="shared" ca="1" si="38"/>
        <v>1026222.292338267</v>
      </c>
      <c r="C605" s="29">
        <f t="shared" ca="1" si="37"/>
        <v>-1.7604503401768028</v>
      </c>
      <c r="D605" s="30">
        <f t="shared" ca="1" si="39"/>
        <v>-6.7703417515703926E-2</v>
      </c>
      <c r="E605" s="56">
        <v>67252.539999999994</v>
      </c>
      <c r="F605" s="56">
        <v>186139.6</v>
      </c>
      <c r="G605" s="56">
        <v>339234.21</v>
      </c>
      <c r="H605" s="46">
        <v>311907.09999999998</v>
      </c>
      <c r="I605" s="46">
        <v>968804.82</v>
      </c>
      <c r="J605" s="46">
        <v>1458352.26</v>
      </c>
      <c r="K605" s="46">
        <v>1827886.9</v>
      </c>
      <c r="L605" s="46">
        <v>3139243.82</v>
      </c>
      <c r="M605" s="46"/>
      <c r="O605" s="46"/>
    </row>
    <row r="606" spans="1:15" x14ac:dyDescent="0.2">
      <c r="A606" s="5">
        <v>578</v>
      </c>
      <c r="B606" s="28">
        <f t="shared" ca="1" si="38"/>
        <v>1018554.195571444</v>
      </c>
      <c r="C606" s="29">
        <f t="shared" ca="1" si="37"/>
        <v>-0.29947931682086776</v>
      </c>
      <c r="D606" s="30">
        <f t="shared" ca="1" si="39"/>
        <v>-8.0595252454738232E-3</v>
      </c>
      <c r="E606" s="56">
        <v>39680.46</v>
      </c>
      <c r="F606" s="56">
        <v>128147.28</v>
      </c>
      <c r="G606" s="56">
        <v>302106.64</v>
      </c>
      <c r="H606" s="46">
        <v>772207.81</v>
      </c>
      <c r="I606" s="46">
        <v>745233.97</v>
      </c>
      <c r="J606" s="46">
        <v>600111.29</v>
      </c>
      <c r="K606" s="46">
        <v>714367.58</v>
      </c>
      <c r="L606" s="46">
        <v>1917854.65</v>
      </c>
      <c r="M606" s="46"/>
      <c r="O606" s="46"/>
    </row>
    <row r="607" spans="1:15" x14ac:dyDescent="0.2">
      <c r="A607" s="5">
        <v>579</v>
      </c>
      <c r="B607" s="28">
        <f t="shared" ca="1" si="38"/>
        <v>1027968.8077785724</v>
      </c>
      <c r="C607" s="29">
        <f t="shared" ref="C607:C670" ca="1" si="40">NORMSINV(RAND())</f>
        <v>0.10985127293781506</v>
      </c>
      <c r="D607" s="30">
        <f t="shared" ca="1" si="39"/>
        <v>8.6513261048808895E-3</v>
      </c>
      <c r="E607" s="56">
        <v>40751.35</v>
      </c>
      <c r="F607" s="56">
        <v>112958.23</v>
      </c>
      <c r="G607" s="56">
        <v>271285.31</v>
      </c>
      <c r="H607" s="46">
        <v>836846.91</v>
      </c>
      <c r="I607" s="46">
        <v>858399.09</v>
      </c>
      <c r="J607" s="46">
        <v>1183333.3999999999</v>
      </c>
      <c r="K607" s="46">
        <v>2641678.0099999998</v>
      </c>
      <c r="L607" s="46">
        <v>3962260.14</v>
      </c>
      <c r="M607" s="46"/>
      <c r="O607" s="46"/>
    </row>
    <row r="608" spans="1:15" x14ac:dyDescent="0.2">
      <c r="A608" s="5">
        <v>580</v>
      </c>
      <c r="B608" s="28">
        <f t="shared" ca="1" si="38"/>
        <v>1040901.9497713104</v>
      </c>
      <c r="C608" s="29">
        <f t="shared" ca="1" si="40"/>
        <v>0.19175156367456048</v>
      </c>
      <c r="D608" s="30">
        <f t="shared" ca="1" si="39"/>
        <v>1.1994891473057857E-2</v>
      </c>
      <c r="E608" s="56">
        <v>44983.09</v>
      </c>
      <c r="F608" s="56">
        <v>171063.39</v>
      </c>
      <c r="G608" s="56">
        <v>349659.62</v>
      </c>
      <c r="H608" s="46">
        <v>350975.29</v>
      </c>
      <c r="I608" s="46">
        <v>561074.68999999994</v>
      </c>
      <c r="J608" s="46">
        <v>1049728.54</v>
      </c>
      <c r="K608" s="46">
        <v>1726485.78</v>
      </c>
      <c r="L608" s="46">
        <v>2775667.4</v>
      </c>
      <c r="M608" s="46"/>
      <c r="O608" s="46"/>
    </row>
    <row r="609" spans="1:15" x14ac:dyDescent="0.2">
      <c r="A609" s="5">
        <v>581</v>
      </c>
      <c r="B609" s="28">
        <f t="shared" ca="1" si="38"/>
        <v>1059289.0127983938</v>
      </c>
      <c r="C609" s="29">
        <f t="shared" ca="1" si="40"/>
        <v>0.31644467513117591</v>
      </c>
      <c r="D609" s="30">
        <f t="shared" ca="1" si="39"/>
        <v>1.7085466431536175E-2</v>
      </c>
      <c r="E609" s="56">
        <v>58066.04</v>
      </c>
      <c r="F609" s="56">
        <v>187881.71</v>
      </c>
      <c r="G609" s="56">
        <v>441047.4</v>
      </c>
      <c r="H609" s="46">
        <v>1254931.26</v>
      </c>
      <c r="I609" s="46">
        <v>1635914.91</v>
      </c>
      <c r="J609" s="46">
        <v>3329588.93</v>
      </c>
      <c r="K609" s="46">
        <v>3750512.59</v>
      </c>
      <c r="L609" s="46">
        <v>4034078.38</v>
      </c>
      <c r="M609" s="46"/>
      <c r="O609" s="46"/>
    </row>
    <row r="610" spans="1:15" x14ac:dyDescent="0.2">
      <c r="A610" s="5">
        <v>582</v>
      </c>
      <c r="B610" s="28">
        <f t="shared" ca="1" si="38"/>
        <v>982755.71058877569</v>
      </c>
      <c r="C610" s="29">
        <f t="shared" ca="1" si="40"/>
        <v>-1.8857491473751287</v>
      </c>
      <c r="D610" s="30">
        <f t="shared" ca="1" si="39"/>
        <v>-7.2818719899291701E-2</v>
      </c>
      <c r="E610" s="56">
        <v>52960.160000000003</v>
      </c>
      <c r="F610" s="56">
        <v>192983.29</v>
      </c>
      <c r="G610" s="56">
        <v>250038.09</v>
      </c>
      <c r="H610" s="46">
        <v>586063.4</v>
      </c>
      <c r="I610" s="46">
        <v>3093929.51</v>
      </c>
      <c r="J610" s="46">
        <v>3998288.47</v>
      </c>
      <c r="K610" s="46">
        <v>3661883.33</v>
      </c>
      <c r="L610" s="46">
        <v>3014958.25</v>
      </c>
      <c r="M610" s="46"/>
      <c r="O610" s="46"/>
    </row>
    <row r="611" spans="1:15" x14ac:dyDescent="0.2">
      <c r="A611" s="5">
        <v>583</v>
      </c>
      <c r="B611" s="28">
        <f t="shared" ca="1" si="38"/>
        <v>962819.16858070914</v>
      </c>
      <c r="C611" s="29">
        <f t="shared" ca="1" si="40"/>
        <v>-0.61399833435172757</v>
      </c>
      <c r="D611" s="30">
        <f t="shared" ca="1" si="39"/>
        <v>-2.0899710368008553E-2</v>
      </c>
      <c r="E611" s="56">
        <v>46735.32</v>
      </c>
      <c r="F611" s="56">
        <v>131933.41</v>
      </c>
      <c r="G611" s="56">
        <v>287802.98</v>
      </c>
      <c r="H611" s="46">
        <v>375842.48</v>
      </c>
      <c r="I611" s="46">
        <v>503267.32</v>
      </c>
      <c r="J611" s="46">
        <v>1546957.07</v>
      </c>
      <c r="K611" s="46">
        <v>2758016.65</v>
      </c>
      <c r="L611" s="46">
        <v>6109715.5300000003</v>
      </c>
      <c r="M611" s="46"/>
      <c r="O611" s="46"/>
    </row>
    <row r="612" spans="1:15" x14ac:dyDescent="0.2">
      <c r="A612" s="5">
        <v>584</v>
      </c>
      <c r="B612" s="28">
        <f t="shared" ca="1" si="38"/>
        <v>948903.01570422179</v>
      </c>
      <c r="C612" s="29">
        <f t="shared" ca="1" si="40"/>
        <v>-0.47143514082032417</v>
      </c>
      <c r="D612" s="30">
        <f t="shared" ca="1" si="39"/>
        <v>-1.5079592363782122E-2</v>
      </c>
      <c r="E612" s="56">
        <v>69333.72</v>
      </c>
      <c r="F612" s="56">
        <v>208811.37</v>
      </c>
      <c r="G612" s="56">
        <v>357291.59</v>
      </c>
      <c r="H612" s="46">
        <v>476528.39</v>
      </c>
      <c r="I612" s="46">
        <v>811580.58</v>
      </c>
      <c r="J612" s="46">
        <v>2909538.23</v>
      </c>
      <c r="K612" s="46">
        <v>3398899.81</v>
      </c>
      <c r="L612" s="46">
        <v>13846131.310000001</v>
      </c>
      <c r="M612" s="46"/>
      <c r="O612" s="46"/>
    </row>
    <row r="613" spans="1:15" x14ac:dyDescent="0.2">
      <c r="A613" s="5">
        <v>585</v>
      </c>
      <c r="B613" s="28">
        <f t="shared" ref="B613:B676" ca="1" si="41">(B612*(1+D613))+($C$6*(1+$C$8)^19)</f>
        <v>1004126.8613114201</v>
      </c>
      <c r="C613" s="29">
        <f t="shared" ca="1" si="40"/>
        <v>1.3079215384075067</v>
      </c>
      <c r="D613" s="30">
        <f t="shared" ca="1" si="39"/>
        <v>5.7562339878239707E-2</v>
      </c>
      <c r="E613" s="56">
        <v>67049.990000000005</v>
      </c>
      <c r="F613" s="56">
        <v>105902.81</v>
      </c>
      <c r="G613" s="56">
        <v>161619.24</v>
      </c>
      <c r="H613" s="46">
        <v>284918.02</v>
      </c>
      <c r="I613" s="46">
        <v>367137.88</v>
      </c>
      <c r="J613" s="46">
        <v>772952.05</v>
      </c>
      <c r="K613" s="46">
        <v>904033.74</v>
      </c>
      <c r="L613" s="46">
        <v>1960928.42</v>
      </c>
      <c r="M613" s="46"/>
      <c r="O613" s="46"/>
    </row>
    <row r="614" spans="1:15" x14ac:dyDescent="0.2">
      <c r="A614" s="5">
        <v>586</v>
      </c>
      <c r="B614" s="28">
        <f t="shared" ca="1" si="41"/>
        <v>998636.29843686218</v>
      </c>
      <c r="C614" s="29">
        <f t="shared" ca="1" si="40"/>
        <v>-0.25070415491567138</v>
      </c>
      <c r="D614" s="30">
        <f t="shared" ca="1" si="39"/>
        <v>-6.0682875989843668E-3</v>
      </c>
      <c r="E614" s="56">
        <v>43333.59</v>
      </c>
      <c r="F614" s="56">
        <v>61691.87</v>
      </c>
      <c r="G614" s="56">
        <v>114275.1</v>
      </c>
      <c r="H614" s="46">
        <v>112406.75</v>
      </c>
      <c r="I614" s="46">
        <v>273170.38</v>
      </c>
      <c r="J614" s="46">
        <v>338987.58</v>
      </c>
      <c r="K614" s="46">
        <v>383914.07</v>
      </c>
      <c r="L614" s="46">
        <v>445835.65</v>
      </c>
      <c r="M614" s="46"/>
      <c r="O614" s="46"/>
    </row>
    <row r="615" spans="1:15" x14ac:dyDescent="0.2">
      <c r="A615" s="5">
        <v>587</v>
      </c>
      <c r="B615" s="28">
        <f t="shared" ca="1" si="41"/>
        <v>971965.40049065067</v>
      </c>
      <c r="C615" s="29">
        <f t="shared" ca="1" si="40"/>
        <v>-0.7710400014889337</v>
      </c>
      <c r="D615" s="30">
        <f t="shared" ca="1" si="39"/>
        <v>-2.7310909582044497E-2</v>
      </c>
      <c r="E615" s="56">
        <v>36304.239999999998</v>
      </c>
      <c r="F615" s="56">
        <v>178156.64</v>
      </c>
      <c r="G615" s="56">
        <v>317525.26</v>
      </c>
      <c r="H615" s="46">
        <v>335567.51</v>
      </c>
      <c r="I615" s="46">
        <v>892231.56</v>
      </c>
      <c r="J615" s="46">
        <v>1879791.76</v>
      </c>
      <c r="K615" s="46">
        <v>1482942.98</v>
      </c>
      <c r="L615" s="46">
        <v>2825519.66</v>
      </c>
      <c r="M615" s="46"/>
      <c r="O615" s="46"/>
    </row>
    <row r="616" spans="1:15" x14ac:dyDescent="0.2">
      <c r="A616" s="5">
        <v>588</v>
      </c>
      <c r="B616" s="28">
        <f t="shared" ca="1" si="41"/>
        <v>942088.49857618276</v>
      </c>
      <c r="C616" s="29">
        <f t="shared" ca="1" si="40"/>
        <v>-0.87019268776382819</v>
      </c>
      <c r="D616" s="30">
        <f t="shared" ca="1" si="39"/>
        <v>-3.1358801048707037E-2</v>
      </c>
      <c r="E616" s="56">
        <v>48948.55</v>
      </c>
      <c r="F616" s="56">
        <v>211833.56</v>
      </c>
      <c r="G616" s="56">
        <v>403077.91</v>
      </c>
      <c r="H616" s="46">
        <v>905161.22</v>
      </c>
      <c r="I616" s="46">
        <v>1854453.49</v>
      </c>
      <c r="J616" s="46">
        <v>2689099.66</v>
      </c>
      <c r="K616" s="46">
        <v>1514816.4</v>
      </c>
      <c r="L616" s="46">
        <v>5094581.83</v>
      </c>
      <c r="M616" s="46"/>
      <c r="O616" s="46"/>
    </row>
    <row r="617" spans="1:15" x14ac:dyDescent="0.2">
      <c r="A617" s="5">
        <v>589</v>
      </c>
      <c r="B617" s="28">
        <f t="shared" ca="1" si="41"/>
        <v>938015.60613520187</v>
      </c>
      <c r="C617" s="29">
        <f t="shared" ca="1" si="40"/>
        <v>-0.223632196733341</v>
      </c>
      <c r="D617" s="30">
        <f t="shared" ca="1" si="39"/>
        <v>-4.96307953423981E-3</v>
      </c>
      <c r="E617" s="56">
        <v>46619.6</v>
      </c>
      <c r="F617" s="56">
        <v>107465.66</v>
      </c>
      <c r="G617" s="56">
        <v>154948.49</v>
      </c>
      <c r="H617" s="46">
        <v>348312.93</v>
      </c>
      <c r="I617" s="46">
        <v>883604.52</v>
      </c>
      <c r="J617" s="46">
        <v>1529496.07</v>
      </c>
      <c r="K617" s="46">
        <v>3064191.31</v>
      </c>
      <c r="L617" s="46">
        <v>1826244.08</v>
      </c>
      <c r="M617" s="46"/>
      <c r="O617" s="46"/>
    </row>
    <row r="618" spans="1:15" x14ac:dyDescent="0.2">
      <c r="A618" s="5">
        <v>590</v>
      </c>
      <c r="B618" s="28">
        <f t="shared" ca="1" si="41"/>
        <v>992560.43814447231</v>
      </c>
      <c r="C618" s="29">
        <f t="shared" ca="1" si="40"/>
        <v>1.3065555703296321</v>
      </c>
      <c r="D618" s="30">
        <f t="shared" ca="1" si="39"/>
        <v>5.7506574464977651E-2</v>
      </c>
      <c r="E618" s="56">
        <v>44047.12</v>
      </c>
      <c r="F618" s="56">
        <v>140324.63</v>
      </c>
      <c r="G618" s="56">
        <v>469029.66</v>
      </c>
      <c r="H618" s="46">
        <v>670588.43000000005</v>
      </c>
      <c r="I618" s="46">
        <v>739843.13</v>
      </c>
      <c r="J618" s="46">
        <v>1094953.1100000001</v>
      </c>
      <c r="K618" s="46">
        <v>1637474.17</v>
      </c>
      <c r="L618" s="46">
        <v>1566201.67</v>
      </c>
      <c r="M618" s="46"/>
      <c r="O618" s="46"/>
    </row>
    <row r="619" spans="1:15" x14ac:dyDescent="0.2">
      <c r="A619" s="5">
        <v>591</v>
      </c>
      <c r="B619" s="28">
        <f t="shared" ca="1" si="41"/>
        <v>988724.95233270759</v>
      </c>
      <c r="C619" s="29">
        <f t="shared" ca="1" si="40"/>
        <v>-0.21159148814793649</v>
      </c>
      <c r="D619" s="30">
        <f t="shared" ca="1" si="39"/>
        <v>-4.4715196646433137E-3</v>
      </c>
      <c r="E619" s="56">
        <v>40796.29</v>
      </c>
      <c r="F619" s="56">
        <v>194237.85</v>
      </c>
      <c r="G619" s="56">
        <v>345587.79</v>
      </c>
      <c r="H619" s="46">
        <v>387358.44</v>
      </c>
      <c r="I619" s="46">
        <v>1531666.96</v>
      </c>
      <c r="J619" s="46">
        <v>1561620.94</v>
      </c>
      <c r="K619" s="46">
        <v>3481019.62</v>
      </c>
      <c r="L619" s="46">
        <v>4728581.0199999996</v>
      </c>
      <c r="M619" s="46"/>
      <c r="O619" s="46"/>
    </row>
    <row r="620" spans="1:15" x14ac:dyDescent="0.2">
      <c r="A620" s="5">
        <v>592</v>
      </c>
      <c r="B620" s="28">
        <f t="shared" ca="1" si="41"/>
        <v>905595.78254139528</v>
      </c>
      <c r="C620" s="29">
        <f t="shared" ca="1" si="40"/>
        <v>-2.1764561855440263</v>
      </c>
      <c r="D620" s="30">
        <f t="shared" ca="1" si="39"/>
        <v>-8.4686785035118242E-2</v>
      </c>
      <c r="E620" s="56">
        <v>49990.12</v>
      </c>
      <c r="F620" s="56">
        <v>99253.08</v>
      </c>
      <c r="G620" s="56">
        <v>355176.06</v>
      </c>
      <c r="H620" s="46">
        <v>629839</v>
      </c>
      <c r="I620" s="46">
        <v>884018.42</v>
      </c>
      <c r="J620" s="46">
        <v>766635.23</v>
      </c>
      <c r="K620" s="46">
        <v>1477249.43</v>
      </c>
      <c r="L620" s="46">
        <v>1194204.19</v>
      </c>
      <c r="M620" s="46"/>
      <c r="O620" s="46"/>
    </row>
    <row r="621" spans="1:15" x14ac:dyDescent="0.2">
      <c r="A621" s="5">
        <v>593</v>
      </c>
      <c r="B621" s="28">
        <f t="shared" ca="1" si="41"/>
        <v>951281.27299334132</v>
      </c>
      <c r="C621" s="29">
        <f t="shared" ca="1" si="40"/>
        <v>1.1173524727306892</v>
      </c>
      <c r="D621" s="30">
        <f t="shared" ca="1" si="39"/>
        <v>4.9782390350454064E-2</v>
      </c>
      <c r="E621" s="56">
        <v>52301.17</v>
      </c>
      <c r="F621" s="56">
        <v>97937.21</v>
      </c>
      <c r="G621" s="56">
        <v>142945.41</v>
      </c>
      <c r="H621" s="46">
        <v>237637.36</v>
      </c>
      <c r="I621" s="46">
        <v>321696.06</v>
      </c>
      <c r="J621" s="46">
        <v>280164.40999999997</v>
      </c>
      <c r="K621" s="46">
        <v>665760.81000000006</v>
      </c>
      <c r="L621" s="46">
        <v>644902.85</v>
      </c>
      <c r="M621" s="46"/>
      <c r="O621" s="46"/>
    </row>
    <row r="622" spans="1:15" x14ac:dyDescent="0.2">
      <c r="A622" s="5">
        <v>594</v>
      </c>
      <c r="B622" s="28">
        <f t="shared" ca="1" si="41"/>
        <v>930909.13139697234</v>
      </c>
      <c r="C622" s="29">
        <f t="shared" ca="1" si="40"/>
        <v>-0.64215286016683359</v>
      </c>
      <c r="D622" s="30">
        <f t="shared" ca="1" si="39"/>
        <v>-2.2049114071292324E-2</v>
      </c>
      <c r="E622" s="56">
        <v>78742.039999999994</v>
      </c>
      <c r="F622" s="56">
        <v>317536.83</v>
      </c>
      <c r="G622" s="56">
        <v>495476.88</v>
      </c>
      <c r="H622" s="46">
        <v>543999.85</v>
      </c>
      <c r="I622" s="46">
        <v>952770.8</v>
      </c>
      <c r="J622" s="46">
        <v>2414682.39</v>
      </c>
      <c r="K622" s="46">
        <v>2417402.94</v>
      </c>
      <c r="L622" s="46">
        <v>7731294.9100000001</v>
      </c>
      <c r="M622" s="46"/>
      <c r="O622" s="46"/>
    </row>
    <row r="623" spans="1:15" x14ac:dyDescent="0.2">
      <c r="A623" s="5">
        <v>595</v>
      </c>
      <c r="B623" s="28">
        <f t="shared" ca="1" si="41"/>
        <v>933997.09280387301</v>
      </c>
      <c r="C623" s="29">
        <f t="shared" ca="1" si="40"/>
        <v>-3.6669476555874644E-2</v>
      </c>
      <c r="D623" s="30">
        <f t="shared" ca="1" si="39"/>
        <v>2.6696415550526136E-3</v>
      </c>
      <c r="E623" s="56">
        <v>72450.649999999994</v>
      </c>
      <c r="F623" s="56">
        <v>151365.41</v>
      </c>
      <c r="G623" s="56">
        <v>193736.37</v>
      </c>
      <c r="H623" s="46">
        <v>226283.45</v>
      </c>
      <c r="I623" s="46">
        <v>364540.22</v>
      </c>
      <c r="J623" s="46">
        <v>1091401.48</v>
      </c>
      <c r="K623" s="46">
        <v>1242966.68</v>
      </c>
      <c r="L623" s="46">
        <v>1959757.85</v>
      </c>
      <c r="M623" s="46"/>
      <c r="O623" s="46"/>
    </row>
    <row r="624" spans="1:15" x14ac:dyDescent="0.2">
      <c r="A624" s="5">
        <v>596</v>
      </c>
      <c r="B624" s="28">
        <f t="shared" ca="1" si="41"/>
        <v>897111.3068162303</v>
      </c>
      <c r="C624" s="29">
        <f t="shared" ca="1" si="40"/>
        <v>-1.085232453457964</v>
      </c>
      <c r="D624" s="30">
        <f t="shared" ca="1" si="39"/>
        <v>-4.0137762721345095E-2</v>
      </c>
      <c r="E624" s="56">
        <v>55258.86</v>
      </c>
      <c r="F624" s="56">
        <v>196932.62</v>
      </c>
      <c r="G624" s="56">
        <v>203177.23</v>
      </c>
      <c r="H624" s="46">
        <v>255320.31</v>
      </c>
      <c r="I624" s="46">
        <v>756583.16</v>
      </c>
      <c r="J624" s="46">
        <v>1296980.43</v>
      </c>
      <c r="K624" s="46">
        <v>1785336.38</v>
      </c>
      <c r="L624" s="46">
        <v>1907305.2</v>
      </c>
      <c r="M624" s="46"/>
      <c r="O624" s="46"/>
    </row>
    <row r="625" spans="1:15" x14ac:dyDescent="0.2">
      <c r="A625" s="5">
        <v>597</v>
      </c>
      <c r="B625" s="28">
        <f t="shared" ca="1" si="41"/>
        <v>931470.67591974919</v>
      </c>
      <c r="C625" s="29">
        <f t="shared" ca="1" si="40"/>
        <v>0.81963458026107583</v>
      </c>
      <c r="D625" s="30">
        <f t="shared" ca="1" si="39"/>
        <v>3.7628108286331681E-2</v>
      </c>
      <c r="E625" s="56">
        <v>52768.41</v>
      </c>
      <c r="F625" s="56">
        <v>115543.25</v>
      </c>
      <c r="G625" s="56">
        <v>295434.27</v>
      </c>
      <c r="H625" s="46">
        <v>680882.4</v>
      </c>
      <c r="I625" s="46">
        <v>1197333.8600000001</v>
      </c>
      <c r="J625" s="46">
        <v>1969944.24</v>
      </c>
      <c r="K625" s="46">
        <v>2193713.2999999998</v>
      </c>
      <c r="L625" s="46">
        <v>1457084.67</v>
      </c>
      <c r="M625" s="46"/>
      <c r="O625" s="46"/>
    </row>
    <row r="626" spans="1:15" x14ac:dyDescent="0.2">
      <c r="A626" s="5">
        <v>598</v>
      </c>
      <c r="B626" s="28">
        <f t="shared" ca="1" si="41"/>
        <v>933072.85011789028</v>
      </c>
      <c r="C626" s="29">
        <f t="shared" ca="1" si="40"/>
        <v>-7.5780666069514058E-2</v>
      </c>
      <c r="D626" s="30">
        <f t="shared" ca="1" si="39"/>
        <v>1.072933929357468E-3</v>
      </c>
      <c r="E626" s="56">
        <v>44381.78</v>
      </c>
      <c r="F626" s="56">
        <v>101784.95</v>
      </c>
      <c r="G626" s="56">
        <v>301724.75</v>
      </c>
      <c r="H626" s="46">
        <v>1015882.97</v>
      </c>
      <c r="I626" s="46">
        <v>1794767.88</v>
      </c>
      <c r="J626" s="46">
        <v>2494621.61</v>
      </c>
      <c r="K626" s="46">
        <v>4368753.3499999996</v>
      </c>
      <c r="L626" s="46">
        <v>7377952.1900000004</v>
      </c>
      <c r="M626" s="46"/>
      <c r="O626" s="46"/>
    </row>
    <row r="627" spans="1:15" x14ac:dyDescent="0.2">
      <c r="A627" s="5">
        <v>599</v>
      </c>
      <c r="B627" s="28">
        <f t="shared" ca="1" si="41"/>
        <v>869403.83143267513</v>
      </c>
      <c r="C627" s="29">
        <f t="shared" ca="1" si="40"/>
        <v>-1.7893159831237873</v>
      </c>
      <c r="D627" s="30">
        <f t="shared" ca="1" si="39"/>
        <v>-6.8881852454328596E-2</v>
      </c>
      <c r="E627" s="56">
        <v>63882.22</v>
      </c>
      <c r="F627" s="56">
        <v>269584.44</v>
      </c>
      <c r="G627" s="56">
        <v>340435.1</v>
      </c>
      <c r="H627" s="46">
        <v>676704.17</v>
      </c>
      <c r="I627" s="46">
        <v>801835.51</v>
      </c>
      <c r="J627" s="46">
        <v>1133397.3</v>
      </c>
      <c r="K627" s="46">
        <v>1174024.6299999999</v>
      </c>
      <c r="L627" s="46">
        <v>3319241.02</v>
      </c>
      <c r="M627" s="46"/>
      <c r="O627" s="46"/>
    </row>
    <row r="628" spans="1:15" x14ac:dyDescent="0.2">
      <c r="A628" s="5">
        <v>600</v>
      </c>
      <c r="B628" s="28">
        <f t="shared" ca="1" si="41"/>
        <v>851950.08627907443</v>
      </c>
      <c r="C628" s="29">
        <f t="shared" ca="1" si="40"/>
        <v>-0.6107927848618051</v>
      </c>
      <c r="D628" s="30">
        <f t="shared" ca="1" si="39"/>
        <v>-2.0768844358082735E-2</v>
      </c>
      <c r="E628" s="56">
        <v>30585.65</v>
      </c>
      <c r="F628" s="56">
        <v>111839.98</v>
      </c>
      <c r="G628" s="56">
        <v>301421.92</v>
      </c>
      <c r="H628" s="46">
        <v>663290.86</v>
      </c>
      <c r="I628" s="46">
        <v>776727.33</v>
      </c>
      <c r="J628" s="46">
        <v>1244882.57</v>
      </c>
      <c r="K628" s="46">
        <v>1289072.55</v>
      </c>
      <c r="L628" s="46">
        <v>604210.46</v>
      </c>
      <c r="M628" s="46"/>
      <c r="O628" s="46"/>
    </row>
    <row r="629" spans="1:15" x14ac:dyDescent="0.2">
      <c r="A629" s="5">
        <v>601</v>
      </c>
      <c r="B629" s="28">
        <f t="shared" ca="1" si="41"/>
        <v>832544.95799943677</v>
      </c>
      <c r="C629" s="29">
        <f t="shared" ca="1" si="40"/>
        <v>-0.67732037448336269</v>
      </c>
      <c r="D629" s="30">
        <f t="shared" ca="1" si="39"/>
        <v>-2.3484821831250967E-2</v>
      </c>
      <c r="E629" s="56">
        <v>76921.23</v>
      </c>
      <c r="F629" s="56">
        <v>132064.15</v>
      </c>
      <c r="G629" s="56">
        <v>206732.26</v>
      </c>
      <c r="H629" s="46">
        <v>189280.52</v>
      </c>
      <c r="I629" s="46">
        <v>301606.46000000002</v>
      </c>
      <c r="J629" s="46">
        <v>323764.09999999998</v>
      </c>
      <c r="K629" s="46">
        <v>583532.23</v>
      </c>
      <c r="L629" s="46">
        <v>1144053.8600000001</v>
      </c>
      <c r="M629" s="46"/>
      <c r="O629" s="46"/>
    </row>
    <row r="630" spans="1:15" x14ac:dyDescent="0.2">
      <c r="A630" s="5">
        <v>602</v>
      </c>
      <c r="B630" s="28">
        <f t="shared" ca="1" si="41"/>
        <v>843124.33317665907</v>
      </c>
      <c r="C630" s="29">
        <f t="shared" ca="1" si="40"/>
        <v>0.19146679251438406</v>
      </c>
      <c r="D630" s="30">
        <f t="shared" ca="1" si="39"/>
        <v>1.1983265739126312E-2</v>
      </c>
      <c r="E630" s="56">
        <v>81805.399999999994</v>
      </c>
      <c r="F630" s="56">
        <v>167574.69</v>
      </c>
      <c r="G630" s="56">
        <v>298917.57</v>
      </c>
      <c r="H630" s="46">
        <v>551665.89</v>
      </c>
      <c r="I630" s="46">
        <v>729509.47</v>
      </c>
      <c r="J630" s="46">
        <v>1984900.21</v>
      </c>
      <c r="K630" s="46">
        <v>3679613.37</v>
      </c>
      <c r="L630" s="46">
        <v>8467989.1999999993</v>
      </c>
      <c r="M630" s="46"/>
      <c r="O630" s="46"/>
    </row>
    <row r="631" spans="1:15" x14ac:dyDescent="0.2">
      <c r="A631" s="5">
        <v>603</v>
      </c>
      <c r="B631" s="28">
        <f t="shared" ca="1" si="41"/>
        <v>847496.49359552492</v>
      </c>
      <c r="C631" s="29">
        <f t="shared" ca="1" si="40"/>
        <v>7.4483331924256871E-3</v>
      </c>
      <c r="D631" s="30">
        <f t="shared" ca="1" si="39"/>
        <v>4.4707435959279703E-3</v>
      </c>
      <c r="E631" s="56">
        <v>53551.86</v>
      </c>
      <c r="F631" s="56">
        <v>133945.9</v>
      </c>
      <c r="G631" s="56">
        <v>251788.93</v>
      </c>
      <c r="H631" s="46">
        <v>290796.98</v>
      </c>
      <c r="I631" s="46">
        <v>760557.15</v>
      </c>
      <c r="J631" s="46">
        <v>1524231.5</v>
      </c>
      <c r="K631" s="46">
        <v>3046552</v>
      </c>
      <c r="L631" s="46">
        <v>3029852.3</v>
      </c>
      <c r="M631" s="46"/>
      <c r="O631" s="46"/>
    </row>
    <row r="632" spans="1:15" x14ac:dyDescent="0.2">
      <c r="A632" s="5">
        <v>604</v>
      </c>
      <c r="B632" s="28">
        <f t="shared" ca="1" si="41"/>
        <v>799431.43569574191</v>
      </c>
      <c r="C632" s="29">
        <f t="shared" ca="1" si="40"/>
        <v>-1.5086913687272114</v>
      </c>
      <c r="D632" s="30">
        <f t="shared" ca="1" si="39"/>
        <v>-5.7425400545380305E-2</v>
      </c>
      <c r="E632" s="56">
        <v>49528.28</v>
      </c>
      <c r="F632" s="56">
        <v>132194.54999999999</v>
      </c>
      <c r="G632" s="56">
        <v>605480.55000000005</v>
      </c>
      <c r="H632" s="46">
        <v>538920.93999999994</v>
      </c>
      <c r="I632" s="46">
        <v>652811.19999999995</v>
      </c>
      <c r="J632" s="46">
        <v>525510.06000000006</v>
      </c>
      <c r="K632" s="46">
        <v>494755.48</v>
      </c>
      <c r="L632" s="46">
        <v>1029697.35</v>
      </c>
      <c r="M632" s="46"/>
      <c r="O632" s="46"/>
    </row>
    <row r="633" spans="1:15" x14ac:dyDescent="0.2">
      <c r="A633" s="5">
        <v>605</v>
      </c>
      <c r="B633" s="28">
        <f t="shared" ca="1" si="41"/>
        <v>834413.72587440407</v>
      </c>
      <c r="C633" s="29">
        <f t="shared" ca="1" si="40"/>
        <v>0.95134018177379354</v>
      </c>
      <c r="D633" s="30">
        <f t="shared" ca="1" si="39"/>
        <v>4.3004966952539858E-2</v>
      </c>
      <c r="E633" s="56">
        <v>51630</v>
      </c>
      <c r="F633" s="56">
        <v>286732.75</v>
      </c>
      <c r="G633" s="56">
        <v>566653.53</v>
      </c>
      <c r="H633" s="46">
        <v>524656.54</v>
      </c>
      <c r="I633" s="46">
        <v>1097560.8899999999</v>
      </c>
      <c r="J633" s="46">
        <v>1635288.79</v>
      </c>
      <c r="K633" s="46">
        <v>2337689.4300000002</v>
      </c>
      <c r="L633" s="46">
        <v>2302999.0299999998</v>
      </c>
      <c r="M633" s="46"/>
      <c r="O633" s="46"/>
    </row>
    <row r="634" spans="1:15" x14ac:dyDescent="0.2">
      <c r="A634" s="5">
        <v>606</v>
      </c>
      <c r="B634" s="28">
        <f t="shared" ca="1" si="41"/>
        <v>863765.06224606815</v>
      </c>
      <c r="C634" s="29">
        <f t="shared" ca="1" si="40"/>
        <v>0.74187567532881371</v>
      </c>
      <c r="D634" s="30">
        <f t="shared" ca="1" si="39"/>
        <v>3.4453614285637875E-2</v>
      </c>
      <c r="E634" s="56">
        <v>150585.18</v>
      </c>
      <c r="F634" s="56">
        <v>197106.78</v>
      </c>
      <c r="G634" s="56">
        <v>552531.55000000005</v>
      </c>
      <c r="H634" s="46">
        <v>1065991.24</v>
      </c>
      <c r="I634" s="46">
        <v>1323358.4099999999</v>
      </c>
      <c r="J634" s="46">
        <v>2199248.58</v>
      </c>
      <c r="K634" s="46">
        <v>3608774.07</v>
      </c>
      <c r="L634" s="46">
        <v>6809448.75</v>
      </c>
      <c r="M634" s="46"/>
      <c r="O634" s="46"/>
    </row>
    <row r="635" spans="1:15" x14ac:dyDescent="0.2">
      <c r="A635" s="5">
        <v>607</v>
      </c>
      <c r="B635" s="28">
        <f t="shared" ca="1" si="41"/>
        <v>918350.91139402159</v>
      </c>
      <c r="C635" s="29">
        <f t="shared" ca="1" si="40"/>
        <v>1.4288056373221303</v>
      </c>
      <c r="D635" s="30">
        <f t="shared" ca="1" si="39"/>
        <v>6.2497412550855669E-2</v>
      </c>
      <c r="E635" s="56">
        <v>76536.800000000003</v>
      </c>
      <c r="F635" s="56">
        <v>135874.97</v>
      </c>
      <c r="G635" s="56">
        <v>277939.13</v>
      </c>
      <c r="H635" s="46">
        <v>1474025.28</v>
      </c>
      <c r="I635" s="46">
        <v>1096069.3400000001</v>
      </c>
      <c r="J635" s="46">
        <v>916703.03</v>
      </c>
      <c r="K635" s="46">
        <v>1937996.71</v>
      </c>
      <c r="L635" s="46">
        <v>1667217.5</v>
      </c>
      <c r="M635" s="46"/>
      <c r="O635" s="46"/>
    </row>
    <row r="636" spans="1:15" x14ac:dyDescent="0.2">
      <c r="A636" s="5">
        <v>608</v>
      </c>
      <c r="B636" s="28">
        <f t="shared" ca="1" si="41"/>
        <v>955186.26753710979</v>
      </c>
      <c r="C636" s="29">
        <f t="shared" ca="1" si="40"/>
        <v>0.86435885244234933</v>
      </c>
      <c r="D636" s="30">
        <f t="shared" ca="1" si="39"/>
        <v>3.9453969052356222E-2</v>
      </c>
      <c r="E636" s="56">
        <v>41593.83</v>
      </c>
      <c r="F636" s="56">
        <v>102207.79</v>
      </c>
      <c r="G636" s="56">
        <v>273930.39</v>
      </c>
      <c r="H636" s="46">
        <v>568929.04</v>
      </c>
      <c r="I636" s="46">
        <v>534778.80000000005</v>
      </c>
      <c r="J636" s="46">
        <v>862348.82</v>
      </c>
      <c r="K636" s="46">
        <v>1649340.58</v>
      </c>
      <c r="L636" s="46">
        <v>2584044.27</v>
      </c>
      <c r="M636" s="46"/>
      <c r="O636" s="46"/>
    </row>
    <row r="637" spans="1:15" x14ac:dyDescent="0.2">
      <c r="A637" s="5">
        <v>609</v>
      </c>
      <c r="B637" s="28">
        <f t="shared" ca="1" si="41"/>
        <v>899371.67951303127</v>
      </c>
      <c r="C637" s="29">
        <f t="shared" ca="1" si="40"/>
        <v>-1.5488346956298777</v>
      </c>
      <c r="D637" s="30">
        <f t="shared" ref="D637:D700" ca="1" si="42">$D$20+(C637*$D$21)</f>
        <v>-5.9064245003534854E-2</v>
      </c>
      <c r="E637" s="56">
        <v>41929.58</v>
      </c>
      <c r="F637" s="56">
        <v>131108.56</v>
      </c>
      <c r="G637" s="56">
        <v>505688.79</v>
      </c>
      <c r="H637" s="46">
        <v>1266387.3400000001</v>
      </c>
      <c r="I637" s="46">
        <v>1641777.69</v>
      </c>
      <c r="J637" s="46">
        <v>1725351.92</v>
      </c>
      <c r="K637" s="46">
        <v>1314519.03</v>
      </c>
      <c r="L637" s="46">
        <v>3537266.53</v>
      </c>
      <c r="M637" s="46"/>
      <c r="O637" s="46"/>
    </row>
    <row r="638" spans="1:15" x14ac:dyDescent="0.2">
      <c r="A638" s="5">
        <v>610</v>
      </c>
      <c r="B638" s="28">
        <f t="shared" ca="1" si="41"/>
        <v>924783.60712569824</v>
      </c>
      <c r="C638" s="29">
        <f t="shared" ca="1" si="40"/>
        <v>0.57362945852026759</v>
      </c>
      <c r="D638" s="30">
        <f t="shared" ca="1" si="42"/>
        <v>2.7584991246727735E-2</v>
      </c>
      <c r="E638" s="56">
        <v>48291.25</v>
      </c>
      <c r="F638" s="56">
        <v>120850.66</v>
      </c>
      <c r="G638" s="56">
        <v>224697.33</v>
      </c>
      <c r="H638" s="46">
        <v>252599.87</v>
      </c>
      <c r="I638" s="46">
        <v>341669.41</v>
      </c>
      <c r="J638" s="46">
        <v>726175.22</v>
      </c>
      <c r="K638" s="46">
        <v>684179.23</v>
      </c>
      <c r="L638" s="46">
        <v>504853.61</v>
      </c>
      <c r="M638" s="46"/>
      <c r="O638" s="46"/>
    </row>
    <row r="639" spans="1:15" x14ac:dyDescent="0.2">
      <c r="A639" s="5">
        <v>611</v>
      </c>
      <c r="B639" s="28">
        <f t="shared" ca="1" si="41"/>
        <v>891325.35648862983</v>
      </c>
      <c r="C639" s="29">
        <f t="shared" ca="1" si="40"/>
        <v>-1.0042419384419361</v>
      </c>
      <c r="D639" s="30">
        <f t="shared" ca="1" si="42"/>
        <v>-3.6831338791436977E-2</v>
      </c>
      <c r="E639" s="56">
        <v>41883.980000000003</v>
      </c>
      <c r="F639" s="56">
        <v>143803.63</v>
      </c>
      <c r="G639" s="56">
        <v>314593.65000000002</v>
      </c>
      <c r="H639" s="46">
        <v>525538.71</v>
      </c>
      <c r="I639" s="46">
        <v>706237.38</v>
      </c>
      <c r="J639" s="46">
        <v>1034020.46</v>
      </c>
      <c r="K639" s="46">
        <v>2818708.41</v>
      </c>
      <c r="L639" s="46">
        <v>2588485.34</v>
      </c>
      <c r="M639" s="46"/>
      <c r="O639" s="46"/>
    </row>
    <row r="640" spans="1:15" x14ac:dyDescent="0.2">
      <c r="A640" s="5">
        <v>612</v>
      </c>
      <c r="B640" s="28">
        <f t="shared" ca="1" si="41"/>
        <v>941742.05835475563</v>
      </c>
      <c r="C640" s="29">
        <f t="shared" ca="1" si="40"/>
        <v>1.2668961858388466</v>
      </c>
      <c r="D640" s="30">
        <f t="shared" ca="1" si="42"/>
        <v>5.5887486873056433E-2</v>
      </c>
      <c r="E640" s="56">
        <v>34774.18</v>
      </c>
      <c r="F640" s="56">
        <v>80093.350000000006</v>
      </c>
      <c r="G640" s="56">
        <v>150105.16</v>
      </c>
      <c r="H640" s="46">
        <v>323148.48</v>
      </c>
      <c r="I640" s="46">
        <v>533082.21</v>
      </c>
      <c r="J640" s="46">
        <v>682276.02</v>
      </c>
      <c r="K640" s="46">
        <v>759248.43</v>
      </c>
      <c r="L640" s="46">
        <v>2577329.15</v>
      </c>
      <c r="M640" s="46"/>
      <c r="O640" s="46"/>
    </row>
    <row r="641" spans="1:15" x14ac:dyDescent="0.2">
      <c r="A641" s="5">
        <v>613</v>
      </c>
      <c r="B641" s="28">
        <f t="shared" ca="1" si="41"/>
        <v>963849.80717498879</v>
      </c>
      <c r="C641" s="29">
        <f t="shared" ca="1" si="40"/>
        <v>0.4572867447312236</v>
      </c>
      <c r="D641" s="30">
        <f t="shared" ca="1" si="42"/>
        <v>2.2835319845497363E-2</v>
      </c>
      <c r="E641" s="56">
        <v>70014.55</v>
      </c>
      <c r="F641" s="56">
        <v>218768.18</v>
      </c>
      <c r="G641" s="56">
        <v>224852.42</v>
      </c>
      <c r="H641" s="46">
        <v>199840.79</v>
      </c>
      <c r="I641" s="46">
        <v>511930.37</v>
      </c>
      <c r="J641" s="46">
        <v>675105.97</v>
      </c>
      <c r="K641" s="46">
        <v>667159.06000000006</v>
      </c>
      <c r="L641" s="46">
        <v>1238679.19</v>
      </c>
      <c r="M641" s="46"/>
      <c r="O641" s="46"/>
    </row>
    <row r="642" spans="1:15" x14ac:dyDescent="0.2">
      <c r="A642" s="5">
        <v>614</v>
      </c>
      <c r="B642" s="28">
        <f t="shared" ca="1" si="41"/>
        <v>971108.21512466681</v>
      </c>
      <c r="C642" s="29">
        <f t="shared" ca="1" si="40"/>
        <v>6.7081733688787754E-2</v>
      </c>
      <c r="D642" s="30">
        <f t="shared" ca="1" si="42"/>
        <v>6.9052669766466396E-3</v>
      </c>
      <c r="E642" s="56">
        <v>50152.78</v>
      </c>
      <c r="F642" s="56">
        <v>148351.32999999999</v>
      </c>
      <c r="G642" s="56">
        <v>195250</v>
      </c>
      <c r="H642" s="46">
        <v>584970.37</v>
      </c>
      <c r="I642" s="46">
        <v>800712.21</v>
      </c>
      <c r="J642" s="46">
        <v>1174352.74</v>
      </c>
      <c r="K642" s="46">
        <v>4435981.1399999997</v>
      </c>
      <c r="L642" s="46">
        <v>11731627.529999999</v>
      </c>
      <c r="M642" s="46"/>
      <c r="O642" s="46"/>
    </row>
    <row r="643" spans="1:15" x14ac:dyDescent="0.2">
      <c r="A643" s="5">
        <v>615</v>
      </c>
      <c r="B643" s="28">
        <f t="shared" ca="1" si="41"/>
        <v>926558.81061478506</v>
      </c>
      <c r="C643" s="29">
        <f t="shared" ca="1" si="40"/>
        <v>-1.2409648332352827</v>
      </c>
      <c r="D643" s="30">
        <f t="shared" ca="1" si="42"/>
        <v>-4.649551050274104E-2</v>
      </c>
      <c r="E643" s="56">
        <v>75224.820000000007</v>
      </c>
      <c r="F643" s="56">
        <v>270488.38</v>
      </c>
      <c r="G643" s="56">
        <v>526303.04</v>
      </c>
      <c r="H643" s="46">
        <v>734397.4</v>
      </c>
      <c r="I643" s="46">
        <v>999934.94</v>
      </c>
      <c r="J643" s="46">
        <v>557872.41</v>
      </c>
      <c r="K643" s="46">
        <v>1620413.11</v>
      </c>
      <c r="L643" s="46">
        <v>2981224.6</v>
      </c>
      <c r="M643" s="46"/>
      <c r="O643" s="46"/>
    </row>
    <row r="644" spans="1:15" x14ac:dyDescent="0.2">
      <c r="A644" s="5">
        <v>616</v>
      </c>
      <c r="B644" s="28">
        <f t="shared" ca="1" si="41"/>
        <v>830438.92423829099</v>
      </c>
      <c r="C644" s="29">
        <f t="shared" ca="1" si="40"/>
        <v>-2.6590627330706456</v>
      </c>
      <c r="D644" s="30">
        <f t="shared" ca="1" si="42"/>
        <v>-0.10438911483455918</v>
      </c>
      <c r="E644" s="56">
        <v>48934.6</v>
      </c>
      <c r="F644" s="56">
        <v>169210.11</v>
      </c>
      <c r="G644" s="56">
        <v>244755.12</v>
      </c>
      <c r="H644" s="46">
        <v>1159313.47</v>
      </c>
      <c r="I644" s="46">
        <v>2844988.54</v>
      </c>
      <c r="J644" s="46">
        <v>2060631.19</v>
      </c>
      <c r="K644" s="46">
        <v>5228618.45</v>
      </c>
      <c r="L644" s="46">
        <v>11992973.369999999</v>
      </c>
      <c r="M644" s="46"/>
      <c r="O644" s="46"/>
    </row>
    <row r="645" spans="1:15" x14ac:dyDescent="0.2">
      <c r="A645" s="5">
        <v>617</v>
      </c>
      <c r="B645" s="28">
        <f t="shared" ca="1" si="41"/>
        <v>774564.66989505955</v>
      </c>
      <c r="C645" s="29">
        <f t="shared" ca="1" si="40"/>
        <v>-1.7679267397713294</v>
      </c>
      <c r="D645" s="30">
        <f t="shared" ca="1" si="42"/>
        <v>-6.800864025103294E-2</v>
      </c>
      <c r="E645" s="56">
        <v>40440.269999999997</v>
      </c>
      <c r="F645" s="56">
        <v>140116.87</v>
      </c>
      <c r="G645" s="56">
        <v>304429.2</v>
      </c>
      <c r="H645" s="46">
        <v>197841.93</v>
      </c>
      <c r="I645" s="46">
        <v>236071.8</v>
      </c>
      <c r="J645" s="46">
        <v>624978.29</v>
      </c>
      <c r="K645" s="46">
        <v>2661162</v>
      </c>
      <c r="L645" s="46">
        <v>2585386.21</v>
      </c>
      <c r="M645" s="46"/>
      <c r="O645" s="46"/>
    </row>
    <row r="646" spans="1:15" x14ac:dyDescent="0.2">
      <c r="A646" s="5">
        <v>618</v>
      </c>
      <c r="B646" s="28">
        <f t="shared" ca="1" si="41"/>
        <v>735488.1715846333</v>
      </c>
      <c r="C646" s="29">
        <f t="shared" ca="1" si="40"/>
        <v>-1.3568824754229425</v>
      </c>
      <c r="D646" s="30">
        <f t="shared" ca="1" si="42"/>
        <v>-5.122782842851243E-2</v>
      </c>
      <c r="E646" s="56">
        <v>47881.35</v>
      </c>
      <c r="F646" s="56">
        <v>125113.87</v>
      </c>
      <c r="G646" s="56">
        <v>205240.24</v>
      </c>
      <c r="H646" s="46">
        <v>351360.09</v>
      </c>
      <c r="I646" s="46">
        <v>493106.73</v>
      </c>
      <c r="J646" s="46">
        <v>733947.45</v>
      </c>
      <c r="K646" s="46">
        <v>658724.61</v>
      </c>
      <c r="L646" s="46">
        <v>1403390.78</v>
      </c>
      <c r="M646" s="46"/>
      <c r="O646" s="46"/>
    </row>
    <row r="647" spans="1:15" x14ac:dyDescent="0.2">
      <c r="A647" s="5">
        <v>619</v>
      </c>
      <c r="B647" s="28">
        <f t="shared" ca="1" si="41"/>
        <v>694018.7551164485</v>
      </c>
      <c r="C647" s="29">
        <f t="shared" ca="1" si="40"/>
        <v>-1.5032454984281063</v>
      </c>
      <c r="D647" s="30">
        <f t="shared" ca="1" si="42"/>
        <v>-5.7203073821410544E-2</v>
      </c>
      <c r="E647" s="56">
        <v>36460.15</v>
      </c>
      <c r="F647" s="56">
        <v>67871.69</v>
      </c>
      <c r="G647" s="56">
        <v>132891.92000000001</v>
      </c>
      <c r="H647" s="46">
        <v>167602.99</v>
      </c>
      <c r="I647" s="46">
        <v>241266.65</v>
      </c>
      <c r="J647" s="46">
        <v>750712.96</v>
      </c>
      <c r="K647" s="46">
        <v>836884.32</v>
      </c>
      <c r="L647" s="46">
        <v>1054495.1399999999</v>
      </c>
      <c r="M647" s="46"/>
      <c r="O647" s="46"/>
    </row>
    <row r="648" spans="1:15" x14ac:dyDescent="0.2">
      <c r="A648" s="5">
        <v>620</v>
      </c>
      <c r="B648" s="28">
        <f t="shared" ca="1" si="41"/>
        <v>697623.90312305244</v>
      </c>
      <c r="C648" s="29">
        <f t="shared" ca="1" si="40"/>
        <v>3.904800709434999E-3</v>
      </c>
      <c r="D648" s="30">
        <f t="shared" ca="1" si="42"/>
        <v>4.3260794880895584E-3</v>
      </c>
      <c r="E648" s="56">
        <v>88909.8</v>
      </c>
      <c r="F648" s="56">
        <v>199814.54</v>
      </c>
      <c r="G648" s="56">
        <v>346397.29</v>
      </c>
      <c r="H648" s="46">
        <v>367953.59</v>
      </c>
      <c r="I648" s="46">
        <v>703398.41</v>
      </c>
      <c r="J648" s="46">
        <v>1393029.24</v>
      </c>
      <c r="K648" s="46">
        <v>1900159.41</v>
      </c>
      <c r="L648" s="46">
        <v>3632810.18</v>
      </c>
      <c r="M648" s="46"/>
      <c r="O648" s="46"/>
    </row>
    <row r="649" spans="1:15" x14ac:dyDescent="0.2">
      <c r="A649" s="5">
        <v>621</v>
      </c>
      <c r="B649" s="28">
        <f t="shared" ca="1" si="41"/>
        <v>678106.23754430085</v>
      </c>
      <c r="C649" s="29">
        <f t="shared" ca="1" si="40"/>
        <v>-0.80852861898995343</v>
      </c>
      <c r="D649" s="30">
        <f t="shared" ca="1" si="42"/>
        <v>-2.8841375982708993E-2</v>
      </c>
      <c r="E649" s="56">
        <v>44697.1</v>
      </c>
      <c r="F649" s="56">
        <v>119597.38</v>
      </c>
      <c r="G649" s="56">
        <v>350865.16</v>
      </c>
      <c r="H649" s="46">
        <v>667985.23</v>
      </c>
      <c r="I649" s="46">
        <v>1419797.88</v>
      </c>
      <c r="J649" s="46">
        <v>3169600.4</v>
      </c>
      <c r="K649" s="46">
        <v>6975121.3499999996</v>
      </c>
      <c r="L649" s="46">
        <v>5741955.71</v>
      </c>
      <c r="M649" s="46"/>
      <c r="O649" s="46"/>
    </row>
    <row r="650" spans="1:15" x14ac:dyDescent="0.2">
      <c r="A650" s="5">
        <v>622</v>
      </c>
      <c r="B650" s="28">
        <f t="shared" ca="1" si="41"/>
        <v>660208.95914720185</v>
      </c>
      <c r="C650" s="29">
        <f t="shared" ca="1" si="40"/>
        <v>-0.77033012061445527</v>
      </c>
      <c r="D650" s="30">
        <f t="shared" ca="1" si="42"/>
        <v>-2.7281928816700614E-2</v>
      </c>
      <c r="E650" s="56">
        <v>70725.59</v>
      </c>
      <c r="F650" s="56">
        <v>192512.92</v>
      </c>
      <c r="G650" s="56">
        <v>539156.06000000006</v>
      </c>
      <c r="H650" s="46">
        <v>1559693.07</v>
      </c>
      <c r="I650" s="46">
        <v>3004203.85</v>
      </c>
      <c r="J650" s="46">
        <v>4449814.8499999996</v>
      </c>
      <c r="K650" s="46">
        <v>4524469.91</v>
      </c>
      <c r="L650" s="46">
        <v>6176154.4299999997</v>
      </c>
      <c r="M650" s="46"/>
      <c r="O650" s="46"/>
    </row>
    <row r="651" spans="1:15" x14ac:dyDescent="0.2">
      <c r="A651" s="5">
        <v>623</v>
      </c>
      <c r="B651" s="28">
        <f t="shared" ca="1" si="41"/>
        <v>656357.65465793968</v>
      </c>
      <c r="C651" s="29">
        <f t="shared" ca="1" si="40"/>
        <v>-0.26731587603873991</v>
      </c>
      <c r="D651" s="30">
        <f t="shared" ca="1" si="42"/>
        <v>-6.746458273999883E-3</v>
      </c>
      <c r="E651" s="56">
        <v>37558.639999999999</v>
      </c>
      <c r="F651" s="56">
        <v>172911.96</v>
      </c>
      <c r="G651" s="56">
        <v>318126</v>
      </c>
      <c r="H651" s="46">
        <v>287486.7</v>
      </c>
      <c r="I651" s="46">
        <v>789441.05</v>
      </c>
      <c r="J651" s="46">
        <v>1137433.6499999999</v>
      </c>
      <c r="K651" s="46">
        <v>1395658.61</v>
      </c>
      <c r="L651" s="46">
        <v>2633666.39</v>
      </c>
      <c r="M651" s="46"/>
      <c r="O651" s="46"/>
    </row>
    <row r="652" spans="1:15" x14ac:dyDescent="0.2">
      <c r="A652" s="5">
        <v>624</v>
      </c>
      <c r="B652" s="28">
        <f t="shared" ca="1" si="41"/>
        <v>696904.86523569666</v>
      </c>
      <c r="C652" s="29">
        <f t="shared" ca="1" si="40"/>
        <v>1.3886420031546221</v>
      </c>
      <c r="D652" s="30">
        <f t="shared" ca="1" si="42"/>
        <v>6.0857739052085545E-2</v>
      </c>
      <c r="E652" s="56">
        <v>68907.53</v>
      </c>
      <c r="F652" s="56">
        <v>120062.18</v>
      </c>
      <c r="G652" s="56">
        <v>265813.56</v>
      </c>
      <c r="H652" s="46">
        <v>554054.04</v>
      </c>
      <c r="I652" s="46">
        <v>785917.91</v>
      </c>
      <c r="J652" s="46">
        <v>1815118.88</v>
      </c>
      <c r="K652" s="46">
        <v>2025821.53</v>
      </c>
      <c r="L652" s="46">
        <v>2066310.64</v>
      </c>
      <c r="M652" s="46"/>
      <c r="O652" s="46"/>
    </row>
    <row r="653" spans="1:15" x14ac:dyDescent="0.2">
      <c r="A653" s="5">
        <v>625</v>
      </c>
      <c r="B653" s="28">
        <f t="shared" ca="1" si="41"/>
        <v>708024.2869977951</v>
      </c>
      <c r="C653" s="29">
        <f t="shared" ca="1" si="40"/>
        <v>0.2675785702388383</v>
      </c>
      <c r="D653" s="30">
        <f t="shared" ca="1" si="42"/>
        <v>1.509051605314371E-2</v>
      </c>
      <c r="E653" s="56">
        <v>58631.34</v>
      </c>
      <c r="F653" s="56">
        <v>112987.7</v>
      </c>
      <c r="G653" s="56">
        <v>305122.15000000002</v>
      </c>
      <c r="H653" s="46">
        <v>745451.56</v>
      </c>
      <c r="I653" s="46">
        <v>906328.09</v>
      </c>
      <c r="J653" s="46">
        <v>1822903.96</v>
      </c>
      <c r="K653" s="46">
        <v>5611092.5099999998</v>
      </c>
      <c r="L653" s="46">
        <v>15475884.640000001</v>
      </c>
      <c r="M653" s="46"/>
      <c r="O653" s="46"/>
    </row>
    <row r="654" spans="1:15" x14ac:dyDescent="0.2">
      <c r="A654" s="5">
        <v>626</v>
      </c>
      <c r="B654" s="28">
        <f t="shared" ca="1" si="41"/>
        <v>733137.41213951341</v>
      </c>
      <c r="C654" s="29">
        <f t="shared" ca="1" si="40"/>
        <v>0.74590134098303984</v>
      </c>
      <c r="D654" s="30">
        <f t="shared" ca="1" si="42"/>
        <v>3.461796139776957E-2</v>
      </c>
      <c r="E654" s="56">
        <v>47785.49</v>
      </c>
      <c r="F654" s="56">
        <v>107437.89</v>
      </c>
      <c r="G654" s="56">
        <v>305891.76</v>
      </c>
      <c r="H654" s="46">
        <v>664207.78</v>
      </c>
      <c r="I654" s="46">
        <v>1363937.19</v>
      </c>
      <c r="J654" s="46">
        <v>1673667.83</v>
      </c>
      <c r="K654" s="46">
        <v>2335903.77</v>
      </c>
      <c r="L654" s="46">
        <v>3780775.28</v>
      </c>
      <c r="M654" s="46"/>
      <c r="O654" s="46"/>
    </row>
    <row r="655" spans="1:15" x14ac:dyDescent="0.2">
      <c r="A655" s="5">
        <v>627</v>
      </c>
      <c r="B655" s="28">
        <f t="shared" ca="1" si="41"/>
        <v>780546.03914037428</v>
      </c>
      <c r="C655" s="29">
        <f t="shared" ca="1" si="40"/>
        <v>1.4617712599506298</v>
      </c>
      <c r="D655" s="30">
        <f t="shared" ca="1" si="42"/>
        <v>6.3843228459071852E-2</v>
      </c>
      <c r="E655" s="56">
        <v>43061.46</v>
      </c>
      <c r="F655" s="56">
        <v>98709.45</v>
      </c>
      <c r="G655" s="56">
        <v>244872.92</v>
      </c>
      <c r="H655" s="46">
        <v>279080.59999999998</v>
      </c>
      <c r="I655" s="46">
        <v>666841.05000000005</v>
      </c>
      <c r="J655" s="46">
        <v>582920.52</v>
      </c>
      <c r="K655" s="46">
        <v>697447.16</v>
      </c>
      <c r="L655" s="46">
        <v>2410888.09</v>
      </c>
      <c r="M655" s="46"/>
      <c r="O655" s="46"/>
    </row>
    <row r="656" spans="1:15" x14ac:dyDescent="0.2">
      <c r="A656" s="5">
        <v>628</v>
      </c>
      <c r="B656" s="28">
        <f t="shared" ca="1" si="41"/>
        <v>719189.41242830281</v>
      </c>
      <c r="C656" s="29">
        <f t="shared" ca="1" si="40"/>
        <v>-2.046456041518105</v>
      </c>
      <c r="D656" s="30">
        <f t="shared" ca="1" si="42"/>
        <v>-7.9379551379254398E-2</v>
      </c>
      <c r="E656" s="56">
        <v>36567.96</v>
      </c>
      <c r="F656" s="56">
        <v>54158.34</v>
      </c>
      <c r="G656" s="56">
        <v>172983.01</v>
      </c>
      <c r="H656" s="46">
        <v>205880.48</v>
      </c>
      <c r="I656" s="46">
        <v>351602.09</v>
      </c>
      <c r="J656" s="46">
        <v>582483.04</v>
      </c>
      <c r="K656" s="46">
        <v>824122.56</v>
      </c>
      <c r="L656" s="46">
        <v>991089.28</v>
      </c>
      <c r="M656" s="46"/>
      <c r="O656" s="46"/>
    </row>
    <row r="657" spans="1:15" x14ac:dyDescent="0.2">
      <c r="A657" s="5">
        <v>629</v>
      </c>
      <c r="B657" s="28">
        <f t="shared" ca="1" si="41"/>
        <v>720885.17728541174</v>
      </c>
      <c r="C657" s="29">
        <f t="shared" ca="1" si="40"/>
        <v>-6.4835644294156641E-2</v>
      </c>
      <c r="D657" s="30">
        <f t="shared" ca="1" si="42"/>
        <v>1.5197625722454099E-3</v>
      </c>
      <c r="E657" s="56">
        <v>54544.81</v>
      </c>
      <c r="F657" s="56">
        <v>191479.97</v>
      </c>
      <c r="G657" s="56">
        <v>326238.28000000003</v>
      </c>
      <c r="H657" s="46">
        <v>398593.8</v>
      </c>
      <c r="I657" s="46">
        <v>1328940.72</v>
      </c>
      <c r="J657" s="46">
        <v>1702286.34</v>
      </c>
      <c r="K657" s="46">
        <v>2502343.7400000002</v>
      </c>
      <c r="L657" s="46">
        <v>2432042.73</v>
      </c>
      <c r="M657" s="46"/>
      <c r="O657" s="46"/>
    </row>
    <row r="658" spans="1:15" x14ac:dyDescent="0.2">
      <c r="A658" s="5">
        <v>630</v>
      </c>
      <c r="B658" s="28">
        <f t="shared" ca="1" si="41"/>
        <v>688786.15764661948</v>
      </c>
      <c r="C658" s="29">
        <f t="shared" ca="1" si="40"/>
        <v>-1.2132333824875139</v>
      </c>
      <c r="D658" s="30">
        <f t="shared" ca="1" si="42"/>
        <v>-4.53633787667551E-2</v>
      </c>
      <c r="E658" s="56">
        <v>58067.71</v>
      </c>
      <c r="F658" s="56">
        <v>172956.18</v>
      </c>
      <c r="G658" s="56">
        <v>232831.56</v>
      </c>
      <c r="H658" s="46">
        <v>199317.93</v>
      </c>
      <c r="I658" s="46">
        <v>280470.3</v>
      </c>
      <c r="J658" s="46">
        <v>223286.22</v>
      </c>
      <c r="K658" s="46">
        <v>675784.24</v>
      </c>
      <c r="L658" s="46">
        <v>1572433.64</v>
      </c>
      <c r="M658" s="46"/>
      <c r="O658" s="46"/>
    </row>
    <row r="659" spans="1:15" x14ac:dyDescent="0.2">
      <c r="A659" s="5">
        <v>631</v>
      </c>
      <c r="B659" s="28">
        <f t="shared" ca="1" si="41"/>
        <v>678237.52328309813</v>
      </c>
      <c r="C659" s="29">
        <f t="shared" ca="1" si="40"/>
        <v>-0.49863283239499684</v>
      </c>
      <c r="D659" s="30">
        <f t="shared" ca="1" si="42"/>
        <v>-1.6189933472774476E-2</v>
      </c>
      <c r="E659" s="56">
        <v>58540.47</v>
      </c>
      <c r="F659" s="56">
        <v>114885.04</v>
      </c>
      <c r="G659" s="56">
        <v>372054.16</v>
      </c>
      <c r="H659" s="46">
        <v>910021.73</v>
      </c>
      <c r="I659" s="46">
        <v>1385050.24</v>
      </c>
      <c r="J659" s="46">
        <v>2843590.8</v>
      </c>
      <c r="K659" s="46">
        <v>4440366.63</v>
      </c>
      <c r="L659" s="46">
        <v>3773592.79</v>
      </c>
      <c r="M659" s="46"/>
      <c r="O659" s="46"/>
    </row>
    <row r="660" spans="1:15" x14ac:dyDescent="0.2">
      <c r="A660" s="5">
        <v>632</v>
      </c>
      <c r="B660" s="28">
        <f t="shared" ca="1" si="41"/>
        <v>636273.79046676133</v>
      </c>
      <c r="C660" s="29">
        <f t="shared" ca="1" si="40"/>
        <v>-1.6393731595977143</v>
      </c>
      <c r="D660" s="30">
        <f t="shared" ca="1" si="42"/>
        <v>-6.2760462317144189E-2</v>
      </c>
      <c r="E660" s="56">
        <v>45381.54</v>
      </c>
      <c r="F660" s="56">
        <v>216086.41</v>
      </c>
      <c r="G660" s="56">
        <v>325844.18</v>
      </c>
      <c r="H660" s="46">
        <v>375261.91</v>
      </c>
      <c r="I660" s="46">
        <v>673995.11</v>
      </c>
      <c r="J660" s="46">
        <v>2347877.91</v>
      </c>
      <c r="K660" s="46">
        <v>11277622.15</v>
      </c>
      <c r="L660" s="46">
        <v>25463506.100000001</v>
      </c>
      <c r="M660" s="46"/>
      <c r="O660" s="46"/>
    </row>
    <row r="661" spans="1:15" x14ac:dyDescent="0.2">
      <c r="A661" s="5">
        <v>633</v>
      </c>
      <c r="B661" s="28">
        <f t="shared" ca="1" si="41"/>
        <v>631718.33142812329</v>
      </c>
      <c r="C661" s="29">
        <f t="shared" ca="1" si="40"/>
        <v>-0.300640478494481</v>
      </c>
      <c r="D661" s="30">
        <f t="shared" ca="1" si="42"/>
        <v>-8.1069294722942997E-3</v>
      </c>
      <c r="E661" s="56">
        <v>91036.85</v>
      </c>
      <c r="F661" s="56">
        <v>337011.44</v>
      </c>
      <c r="G661" s="56">
        <v>777140.2</v>
      </c>
      <c r="H661" s="46">
        <v>2048655.52</v>
      </c>
      <c r="I661" s="46">
        <v>2239061.5299999998</v>
      </c>
      <c r="J661" s="46">
        <v>4157776.51</v>
      </c>
      <c r="K661" s="46">
        <v>4748731.05</v>
      </c>
      <c r="L661" s="46">
        <v>7258156.29</v>
      </c>
      <c r="M661" s="46"/>
      <c r="O661" s="46"/>
    </row>
    <row r="662" spans="1:15" x14ac:dyDescent="0.2">
      <c r="A662" s="5">
        <v>634</v>
      </c>
      <c r="B662" s="28">
        <f t="shared" ca="1" si="41"/>
        <v>596402.84785170329</v>
      </c>
      <c r="C662" s="29">
        <f t="shared" ca="1" si="40"/>
        <v>-1.4947933535885032</v>
      </c>
      <c r="D662" s="30">
        <f t="shared" ca="1" si="42"/>
        <v>-5.6858016453258456E-2</v>
      </c>
      <c r="E662" s="56">
        <v>76470.31</v>
      </c>
      <c r="F662" s="56">
        <v>144616.97</v>
      </c>
      <c r="G662" s="56">
        <v>326715.94</v>
      </c>
      <c r="H662" s="46">
        <v>796322.96</v>
      </c>
      <c r="I662" s="46">
        <v>1643561.03</v>
      </c>
      <c r="J662" s="46">
        <v>4165870.21</v>
      </c>
      <c r="K662" s="46">
        <v>8285713.4000000004</v>
      </c>
      <c r="L662" s="46">
        <v>10245028</v>
      </c>
      <c r="M662" s="46"/>
      <c r="O662" s="46"/>
    </row>
    <row r="663" spans="1:15" x14ac:dyDescent="0.2">
      <c r="A663" s="5">
        <v>635</v>
      </c>
      <c r="B663" s="28">
        <f t="shared" ca="1" si="41"/>
        <v>576357.20414506563</v>
      </c>
      <c r="C663" s="29">
        <f t="shared" ca="1" si="40"/>
        <v>-0.95011422631687303</v>
      </c>
      <c r="D663" s="30">
        <f t="shared" ca="1" si="42"/>
        <v>-3.4621584197259261E-2</v>
      </c>
      <c r="E663" s="56">
        <v>38775.040000000001</v>
      </c>
      <c r="F663" s="56">
        <v>104645.82</v>
      </c>
      <c r="G663" s="56">
        <v>118104.55</v>
      </c>
      <c r="H663" s="46">
        <v>136285.49</v>
      </c>
      <c r="I663" s="46">
        <v>157456.14000000001</v>
      </c>
      <c r="J663" s="46">
        <v>519699.14</v>
      </c>
      <c r="K663" s="46">
        <v>1246547.1299999999</v>
      </c>
      <c r="L663" s="46">
        <v>1931990.64</v>
      </c>
      <c r="M663" s="46"/>
      <c r="O663" s="46"/>
    </row>
    <row r="664" spans="1:15" x14ac:dyDescent="0.2">
      <c r="A664" s="5">
        <v>636</v>
      </c>
      <c r="B664" s="28">
        <f t="shared" ca="1" si="41"/>
        <v>586061.81005835289</v>
      </c>
      <c r="C664" s="29">
        <f t="shared" ca="1" si="40"/>
        <v>0.28476157024830112</v>
      </c>
      <c r="D664" s="30">
        <f t="shared" ca="1" si="42"/>
        <v>1.5792009091034086E-2</v>
      </c>
      <c r="E664" s="56">
        <v>88179.27</v>
      </c>
      <c r="F664" s="56">
        <v>145545.03</v>
      </c>
      <c r="G664" s="56">
        <v>275532.34000000003</v>
      </c>
      <c r="H664" s="46">
        <v>956753.44</v>
      </c>
      <c r="I664" s="46">
        <v>1532126.16</v>
      </c>
      <c r="J664" s="46">
        <v>7226414.2800000003</v>
      </c>
      <c r="K664" s="46">
        <v>5789120.25</v>
      </c>
      <c r="L664" s="46">
        <v>6571137.5300000003</v>
      </c>
      <c r="M664" s="46"/>
      <c r="O664" s="46"/>
    </row>
    <row r="665" spans="1:15" x14ac:dyDescent="0.2">
      <c r="A665" s="5">
        <v>637</v>
      </c>
      <c r="B665" s="28">
        <f t="shared" ca="1" si="41"/>
        <v>543091.16922157758</v>
      </c>
      <c r="C665" s="29">
        <f t="shared" ca="1" si="40"/>
        <v>-1.92324569951665</v>
      </c>
      <c r="D665" s="30">
        <f t="shared" ca="1" si="42"/>
        <v>-7.4349510230298219E-2</v>
      </c>
      <c r="E665" s="56">
        <v>30434.89</v>
      </c>
      <c r="F665" s="56">
        <v>245081.96</v>
      </c>
      <c r="G665" s="56">
        <v>641955.24</v>
      </c>
      <c r="H665" s="46">
        <v>1618819.02</v>
      </c>
      <c r="I665" s="46">
        <v>3917250.72</v>
      </c>
      <c r="J665" s="46">
        <v>13069239.710000001</v>
      </c>
      <c r="K665" s="46">
        <v>18786819.100000001</v>
      </c>
      <c r="L665" s="46">
        <v>28259148.329999998</v>
      </c>
      <c r="M665" s="46"/>
      <c r="O665" s="46"/>
    </row>
    <row r="666" spans="1:15" x14ac:dyDescent="0.2">
      <c r="A666" s="5">
        <v>638</v>
      </c>
      <c r="B666" s="28">
        <f t="shared" ca="1" si="41"/>
        <v>586552.77804916352</v>
      </c>
      <c r="C666" s="29">
        <f t="shared" ca="1" si="40"/>
        <v>1.8309889078666579</v>
      </c>
      <c r="D666" s="30">
        <f t="shared" ca="1" si="42"/>
        <v>7.8916475816152534E-2</v>
      </c>
      <c r="E666" s="56">
        <v>58024.43</v>
      </c>
      <c r="F666" s="56">
        <v>133488.51</v>
      </c>
      <c r="G666" s="56">
        <v>211492.44</v>
      </c>
      <c r="H666" s="46">
        <v>619517.53</v>
      </c>
      <c r="I666" s="46">
        <v>1699276.56</v>
      </c>
      <c r="J666" s="46">
        <v>1905040.05</v>
      </c>
      <c r="K666" s="46">
        <v>1491466.58</v>
      </c>
      <c r="L666" s="46">
        <v>2258400.42</v>
      </c>
      <c r="M666" s="46"/>
      <c r="O666" s="46"/>
    </row>
    <row r="667" spans="1:15" x14ac:dyDescent="0.2">
      <c r="A667" s="5">
        <v>639</v>
      </c>
      <c r="B667" s="28">
        <f t="shared" ca="1" si="41"/>
        <v>558749.11529939389</v>
      </c>
      <c r="C667" s="29">
        <f t="shared" ca="1" si="40"/>
        <v>-1.2883365671514813</v>
      </c>
      <c r="D667" s="30">
        <f t="shared" ca="1" si="42"/>
        <v>-4.8429453441500743E-2</v>
      </c>
      <c r="E667" s="56">
        <v>34805.56</v>
      </c>
      <c r="F667" s="56">
        <v>157756.51</v>
      </c>
      <c r="G667" s="56">
        <v>396895.99</v>
      </c>
      <c r="H667" s="46">
        <v>577492.15</v>
      </c>
      <c r="I667" s="46">
        <v>964668.39</v>
      </c>
      <c r="J667" s="46">
        <v>1167596.74</v>
      </c>
      <c r="K667" s="46">
        <v>1152638.03</v>
      </c>
      <c r="L667" s="46">
        <v>1516778.24</v>
      </c>
      <c r="M667" s="46"/>
      <c r="O667" s="46"/>
    </row>
    <row r="668" spans="1:15" x14ac:dyDescent="0.2">
      <c r="A668" s="5">
        <v>640</v>
      </c>
      <c r="B668" s="28">
        <f t="shared" ca="1" si="41"/>
        <v>554300.78476947488</v>
      </c>
      <c r="C668" s="29">
        <f t="shared" ca="1" si="40"/>
        <v>-0.32349621862656341</v>
      </c>
      <c r="D668" s="30">
        <f t="shared" ca="1" si="42"/>
        <v>-9.0400111559151945E-3</v>
      </c>
      <c r="E668" s="56">
        <v>65123.17</v>
      </c>
      <c r="F668" s="56">
        <v>157451.94</v>
      </c>
      <c r="G668" s="56">
        <v>357170.49</v>
      </c>
      <c r="H668" s="46">
        <v>815708.6</v>
      </c>
      <c r="I668" s="46">
        <v>1568859.64</v>
      </c>
      <c r="J668" s="46">
        <v>1797782.38</v>
      </c>
      <c r="K668" s="46">
        <v>2616364.04</v>
      </c>
      <c r="L668" s="46">
        <v>4322238.91</v>
      </c>
      <c r="M668" s="46"/>
      <c r="O668" s="46"/>
    </row>
    <row r="669" spans="1:15" x14ac:dyDescent="0.2">
      <c r="A669" s="5">
        <v>641</v>
      </c>
      <c r="B669" s="28">
        <f t="shared" ca="1" si="41"/>
        <v>566072.42907430162</v>
      </c>
      <c r="C669" s="29">
        <f t="shared" ca="1" si="40"/>
        <v>0.39149755095986594</v>
      </c>
      <c r="D669" s="30">
        <f t="shared" ca="1" si="42"/>
        <v>2.0149487256682103E-2</v>
      </c>
      <c r="E669" s="56">
        <v>31467.85</v>
      </c>
      <c r="F669" s="56">
        <v>93241.75</v>
      </c>
      <c r="G669" s="56">
        <v>422445.08</v>
      </c>
      <c r="H669" s="46">
        <v>1063794.28</v>
      </c>
      <c r="I669" s="46">
        <v>1744945.28</v>
      </c>
      <c r="J669" s="46">
        <v>5266668.34</v>
      </c>
      <c r="K669" s="46">
        <v>16667189.76</v>
      </c>
      <c r="L669" s="46">
        <v>33230465.309999999</v>
      </c>
      <c r="M669" s="46"/>
      <c r="O669" s="46"/>
    </row>
    <row r="670" spans="1:15" x14ac:dyDescent="0.2">
      <c r="A670" s="5">
        <v>642</v>
      </c>
      <c r="B670" s="28">
        <f t="shared" ca="1" si="41"/>
        <v>597996.04917534953</v>
      </c>
      <c r="C670" s="29">
        <f t="shared" ca="1" si="40"/>
        <v>1.2532434101643897</v>
      </c>
      <c r="D670" s="30">
        <f t="shared" ca="1" si="42"/>
        <v>5.5330114640138067E-2</v>
      </c>
      <c r="E670" s="56">
        <v>46701.1</v>
      </c>
      <c r="F670" s="56">
        <v>120650.16</v>
      </c>
      <c r="G670" s="56">
        <v>198336.42</v>
      </c>
      <c r="H670" s="46">
        <v>427036.22</v>
      </c>
      <c r="I670" s="46">
        <v>530647.41</v>
      </c>
      <c r="J670" s="46">
        <v>1059461.8899999999</v>
      </c>
      <c r="K670" s="46">
        <v>1368791.96</v>
      </c>
      <c r="L670" s="46">
        <v>3208910.32</v>
      </c>
      <c r="M670" s="46"/>
      <c r="O670" s="46"/>
    </row>
    <row r="671" spans="1:15" x14ac:dyDescent="0.2">
      <c r="A671" s="5">
        <v>643</v>
      </c>
      <c r="B671" s="28">
        <f t="shared" ca="1" si="41"/>
        <v>594945.12494470377</v>
      </c>
      <c r="C671" s="29">
        <f t="shared" ref="C671:C734" ca="1" si="43">NORMSINV(RAND())</f>
        <v>-0.25172327746541939</v>
      </c>
      <c r="D671" s="30">
        <f t="shared" ca="1" si="42"/>
        <v>-6.1098931028551453E-3</v>
      </c>
      <c r="E671" s="56">
        <v>43880.54</v>
      </c>
      <c r="F671" s="56">
        <v>183953.44</v>
      </c>
      <c r="G671" s="56">
        <v>241499.14</v>
      </c>
      <c r="H671" s="46">
        <v>503784.58</v>
      </c>
      <c r="I671" s="46">
        <v>716946.92</v>
      </c>
      <c r="J671" s="46">
        <v>1555773.16</v>
      </c>
      <c r="K671" s="46">
        <v>2935619.9</v>
      </c>
      <c r="L671" s="46">
        <v>4586686.43</v>
      </c>
      <c r="M671" s="46"/>
      <c r="O671" s="46"/>
    </row>
    <row r="672" spans="1:15" x14ac:dyDescent="0.2">
      <c r="A672" s="5">
        <v>644</v>
      </c>
      <c r="B672" s="28">
        <f t="shared" ca="1" si="41"/>
        <v>600874.10798321443</v>
      </c>
      <c r="C672" s="29">
        <f t="shared" ca="1" si="43"/>
        <v>0.11722722447132405</v>
      </c>
      <c r="D672" s="30">
        <f t="shared" ca="1" si="42"/>
        <v>8.9524480652908231E-3</v>
      </c>
      <c r="E672" s="56">
        <v>57103.64</v>
      </c>
      <c r="F672" s="56">
        <v>147669.34</v>
      </c>
      <c r="G672" s="56">
        <v>363166.01</v>
      </c>
      <c r="H672" s="46">
        <v>847846.01</v>
      </c>
      <c r="I672" s="46">
        <v>4455907.4800000004</v>
      </c>
      <c r="J672" s="46">
        <v>3417121.54</v>
      </c>
      <c r="K672" s="46">
        <v>5344424.62</v>
      </c>
      <c r="L672" s="46">
        <v>9551279.25</v>
      </c>
      <c r="M672" s="46"/>
      <c r="O672" s="46"/>
    </row>
    <row r="673" spans="1:15" x14ac:dyDescent="0.2">
      <c r="A673" s="5">
        <v>645</v>
      </c>
      <c r="B673" s="28">
        <f t="shared" ca="1" si="41"/>
        <v>631696.80500362546</v>
      </c>
      <c r="C673" s="29">
        <f t="shared" ca="1" si="43"/>
        <v>1.1298666442388872</v>
      </c>
      <c r="D673" s="30">
        <f t="shared" ca="1" si="42"/>
        <v>5.0293279262933407E-2</v>
      </c>
      <c r="E673" s="56">
        <v>39667.06</v>
      </c>
      <c r="F673" s="56">
        <v>122943.91</v>
      </c>
      <c r="G673" s="56">
        <v>216673.3</v>
      </c>
      <c r="H673" s="46">
        <v>293127.65000000002</v>
      </c>
      <c r="I673" s="46">
        <v>386036.36</v>
      </c>
      <c r="J673" s="46">
        <v>580862.49</v>
      </c>
      <c r="K673" s="46">
        <v>971585.69</v>
      </c>
      <c r="L673" s="46">
        <v>1411616.76</v>
      </c>
      <c r="M673" s="46"/>
      <c r="O673" s="46"/>
    </row>
    <row r="674" spans="1:15" x14ac:dyDescent="0.2">
      <c r="A674" s="5">
        <v>646</v>
      </c>
      <c r="B674" s="28">
        <f t="shared" ca="1" si="41"/>
        <v>638250.73306467663</v>
      </c>
      <c r="C674" s="29">
        <f t="shared" ca="1" si="43"/>
        <v>0.12870221386631472</v>
      </c>
      <c r="D674" s="30">
        <f t="shared" ca="1" si="42"/>
        <v>9.4209125456504138E-3</v>
      </c>
      <c r="E674" s="56">
        <v>44264.91</v>
      </c>
      <c r="F674" s="56">
        <v>117281.71</v>
      </c>
      <c r="G674" s="56">
        <v>167244.96</v>
      </c>
      <c r="H674" s="46">
        <v>497860.58</v>
      </c>
      <c r="I674" s="46">
        <v>1086268.03</v>
      </c>
      <c r="J674" s="46">
        <v>1602168.43</v>
      </c>
      <c r="K674" s="46">
        <v>2221025.7999999998</v>
      </c>
      <c r="L674" s="46">
        <v>1947613.77</v>
      </c>
      <c r="M674" s="46"/>
      <c r="O674" s="46"/>
    </row>
    <row r="675" spans="1:15" x14ac:dyDescent="0.2">
      <c r="A675" s="5">
        <v>647</v>
      </c>
      <c r="B675" s="28">
        <f t="shared" ca="1" si="41"/>
        <v>663615.43737509917</v>
      </c>
      <c r="C675" s="29">
        <f t="shared" ca="1" si="43"/>
        <v>0.84825582883574913</v>
      </c>
      <c r="D675" s="30">
        <f t="shared" ca="1" si="42"/>
        <v>3.8796565866486846E-2</v>
      </c>
      <c r="E675" s="56">
        <v>47077.1</v>
      </c>
      <c r="F675" s="56">
        <v>187026.38</v>
      </c>
      <c r="G675" s="56">
        <v>524437.9</v>
      </c>
      <c r="H675" s="46">
        <v>692759.36</v>
      </c>
      <c r="I675" s="46">
        <v>1256102.27</v>
      </c>
      <c r="J675" s="46">
        <v>4115543.15</v>
      </c>
      <c r="K675" s="46">
        <v>4643435.63</v>
      </c>
      <c r="L675" s="46">
        <v>4309134.53</v>
      </c>
      <c r="M675" s="46"/>
      <c r="O675" s="46"/>
    </row>
    <row r="676" spans="1:15" x14ac:dyDescent="0.2">
      <c r="A676" s="5">
        <v>648</v>
      </c>
      <c r="B676" s="28">
        <f t="shared" ca="1" si="41"/>
        <v>710451.31482021394</v>
      </c>
      <c r="C676" s="29">
        <f t="shared" ca="1" si="43"/>
        <v>1.6044613399722056</v>
      </c>
      <c r="D676" s="30">
        <f t="shared" ca="1" si="42"/>
        <v>6.9668526582567863E-2</v>
      </c>
      <c r="E676" s="56">
        <v>51494.25</v>
      </c>
      <c r="F676" s="56">
        <v>141601.95000000001</v>
      </c>
      <c r="G676" s="56">
        <v>509943.87</v>
      </c>
      <c r="H676" s="46">
        <v>629026.47</v>
      </c>
      <c r="I676" s="46">
        <v>1683012.31</v>
      </c>
      <c r="J676" s="46">
        <v>2771132.39</v>
      </c>
      <c r="K676" s="46">
        <v>4470711.67</v>
      </c>
      <c r="L676" s="46">
        <v>10169855.550000001</v>
      </c>
      <c r="M676" s="46"/>
      <c r="O676" s="46"/>
    </row>
    <row r="677" spans="1:15" x14ac:dyDescent="0.2">
      <c r="A677" s="5">
        <v>649</v>
      </c>
      <c r="B677" s="28">
        <f t="shared" ref="B677:B740" ca="1" si="44">(B676*(1+D677))+($C$6*(1+$C$8)^19)</f>
        <v>745425.062804449</v>
      </c>
      <c r="C677" s="29">
        <f t="shared" ca="1" si="43"/>
        <v>1.0829785049057865</v>
      </c>
      <c r="D677" s="30">
        <f t="shared" ca="1" si="42"/>
        <v>4.8379078990356435E-2</v>
      </c>
      <c r="E677" s="56">
        <v>72461.39</v>
      </c>
      <c r="F677" s="56">
        <v>126330.25</v>
      </c>
      <c r="G677" s="56">
        <v>197466.42</v>
      </c>
      <c r="H677" s="46">
        <v>546666.81000000006</v>
      </c>
      <c r="I677" s="46">
        <v>816417.79</v>
      </c>
      <c r="J677" s="46">
        <v>2083122.51</v>
      </c>
      <c r="K677" s="46">
        <v>2657553.46</v>
      </c>
      <c r="L677" s="46">
        <v>6627412.7699999996</v>
      </c>
      <c r="M677" s="46"/>
      <c r="O677" s="46"/>
    </row>
    <row r="678" spans="1:15" x14ac:dyDescent="0.2">
      <c r="A678" s="5">
        <v>650</v>
      </c>
      <c r="B678" s="28">
        <f t="shared" ca="1" si="44"/>
        <v>757421.52673949033</v>
      </c>
      <c r="C678" s="29">
        <f t="shared" ca="1" si="43"/>
        <v>0.27233829891232125</v>
      </c>
      <c r="D678" s="30">
        <f t="shared" ca="1" si="42"/>
        <v>1.5284831162545837E-2</v>
      </c>
      <c r="E678" s="56">
        <v>34123.83</v>
      </c>
      <c r="F678" s="56">
        <v>141960.82999999999</v>
      </c>
      <c r="G678" s="56">
        <v>204494.14</v>
      </c>
      <c r="H678" s="46">
        <v>521164.65</v>
      </c>
      <c r="I678" s="46">
        <v>580142.12</v>
      </c>
      <c r="J678" s="46">
        <v>1448759.77</v>
      </c>
      <c r="K678" s="46">
        <v>5140443.97</v>
      </c>
      <c r="L678" s="46">
        <v>3448401.54</v>
      </c>
      <c r="M678" s="46"/>
      <c r="O678" s="46"/>
    </row>
    <row r="679" spans="1:15" x14ac:dyDescent="0.2">
      <c r="A679" s="5">
        <v>651</v>
      </c>
      <c r="B679" s="28">
        <f t="shared" ca="1" si="44"/>
        <v>765978.31314595428</v>
      </c>
      <c r="C679" s="29">
        <f t="shared" ca="1" si="43"/>
        <v>0.1551696871570459</v>
      </c>
      <c r="D679" s="30">
        <f t="shared" ca="1" si="42"/>
        <v>1.0501442618034311E-2</v>
      </c>
      <c r="E679" s="56">
        <v>43299.63</v>
      </c>
      <c r="F679" s="56">
        <v>112581.13</v>
      </c>
      <c r="G679" s="56">
        <v>329904.15000000002</v>
      </c>
      <c r="H679" s="46">
        <v>471630.47</v>
      </c>
      <c r="I679" s="46">
        <v>1025762.44</v>
      </c>
      <c r="J679" s="46">
        <v>1484772.64</v>
      </c>
      <c r="K679" s="46">
        <v>4298143.49</v>
      </c>
      <c r="L679" s="46">
        <v>3704254.29</v>
      </c>
      <c r="M679" s="46"/>
      <c r="O679" s="46"/>
    </row>
    <row r="680" spans="1:15" x14ac:dyDescent="0.2">
      <c r="A680" s="5">
        <v>652</v>
      </c>
      <c r="B680" s="28">
        <f t="shared" ca="1" si="44"/>
        <v>796016.53803426225</v>
      </c>
      <c r="C680" s="29">
        <f t="shared" ca="1" si="43"/>
        <v>0.83924199833991797</v>
      </c>
      <c r="D680" s="30">
        <f t="shared" ca="1" si="42"/>
        <v>3.8428577777441436E-2</v>
      </c>
      <c r="E680" s="56">
        <v>75540.67</v>
      </c>
      <c r="F680" s="56">
        <v>279340.94</v>
      </c>
      <c r="G680" s="56">
        <v>230573.54</v>
      </c>
      <c r="H680" s="46">
        <v>365984.69</v>
      </c>
      <c r="I680" s="46">
        <v>642064.38</v>
      </c>
      <c r="J680" s="46">
        <v>480790.92</v>
      </c>
      <c r="K680" s="46">
        <v>952924.64</v>
      </c>
      <c r="L680" s="46">
        <v>1619105.55</v>
      </c>
      <c r="M680" s="46"/>
      <c r="O680" s="46"/>
    </row>
    <row r="681" spans="1:15" x14ac:dyDescent="0.2">
      <c r="A681" s="5">
        <v>653</v>
      </c>
      <c r="B681" s="28">
        <f t="shared" ca="1" si="44"/>
        <v>844271.03384031693</v>
      </c>
      <c r="C681" s="29">
        <f t="shared" ca="1" si="43"/>
        <v>1.364269512602639</v>
      </c>
      <c r="D681" s="30">
        <f t="shared" ca="1" si="42"/>
        <v>5.986273629186617E-2</v>
      </c>
      <c r="E681" s="56">
        <v>41400.519999999997</v>
      </c>
      <c r="F681" s="56">
        <v>138478.46</v>
      </c>
      <c r="G681" s="56">
        <v>249444.21</v>
      </c>
      <c r="H681" s="46">
        <v>377277.07</v>
      </c>
      <c r="I681" s="46">
        <v>807348.64</v>
      </c>
      <c r="J681" s="46">
        <v>2425704.7400000002</v>
      </c>
      <c r="K681" s="46">
        <v>2482574.44</v>
      </c>
      <c r="L681" s="46">
        <v>5194525.6399999997</v>
      </c>
      <c r="M681" s="46"/>
      <c r="O681" s="46"/>
    </row>
    <row r="682" spans="1:15" x14ac:dyDescent="0.2">
      <c r="A682" s="5">
        <v>654</v>
      </c>
      <c r="B682" s="28">
        <f t="shared" ca="1" si="44"/>
        <v>809943.35733329691</v>
      </c>
      <c r="C682" s="29">
        <f t="shared" ca="1" si="43"/>
        <v>-1.1155016125328534</v>
      </c>
      <c r="D682" s="30">
        <f t="shared" ca="1" si="42"/>
        <v>-4.1373495965955326E-2</v>
      </c>
      <c r="E682" s="56">
        <v>28639.54</v>
      </c>
      <c r="F682" s="56">
        <v>70121.149999999994</v>
      </c>
      <c r="G682" s="56">
        <v>380880.43</v>
      </c>
      <c r="H682" s="46">
        <v>728171.33</v>
      </c>
      <c r="I682" s="46">
        <v>943968.32</v>
      </c>
      <c r="J682" s="46">
        <v>1195153.74</v>
      </c>
      <c r="K682" s="46">
        <v>1435320.92</v>
      </c>
      <c r="L682" s="46">
        <v>2371335.65</v>
      </c>
      <c r="M682" s="46"/>
      <c r="O682" s="46"/>
    </row>
    <row r="683" spans="1:15" x14ac:dyDescent="0.2">
      <c r="A683" s="5">
        <v>655</v>
      </c>
      <c r="B683" s="28">
        <f t="shared" ca="1" si="44"/>
        <v>829407.02063696214</v>
      </c>
      <c r="C683" s="29">
        <f t="shared" ca="1" si="43"/>
        <v>0.46834288087262715</v>
      </c>
      <c r="D683" s="30">
        <f t="shared" ca="1" si="42"/>
        <v>2.3286684713383736E-2</v>
      </c>
      <c r="E683" s="56">
        <v>51562.12</v>
      </c>
      <c r="F683" s="56">
        <v>127887.64</v>
      </c>
      <c r="G683" s="56">
        <v>360923.01</v>
      </c>
      <c r="H683" s="46">
        <v>632187.39</v>
      </c>
      <c r="I683" s="46">
        <v>1024968.73</v>
      </c>
      <c r="J683" s="46">
        <v>908500.66</v>
      </c>
      <c r="K683" s="46">
        <v>1077703.81</v>
      </c>
      <c r="L683" s="46">
        <v>3203171.74</v>
      </c>
      <c r="M683" s="46"/>
      <c r="O683" s="46"/>
    </row>
    <row r="684" spans="1:15" x14ac:dyDescent="0.2">
      <c r="A684" s="5">
        <v>656</v>
      </c>
      <c r="B684" s="28">
        <f t="shared" ca="1" si="44"/>
        <v>807752.52437414334</v>
      </c>
      <c r="C684" s="29">
        <f t="shared" ca="1" si="43"/>
        <v>-0.75938638307991702</v>
      </c>
      <c r="D684" s="30">
        <f t="shared" ca="1" si="42"/>
        <v>-2.6835152602724569E-2</v>
      </c>
      <c r="E684" s="56">
        <v>69438.100000000006</v>
      </c>
      <c r="F684" s="56">
        <v>172674.86</v>
      </c>
      <c r="G684" s="56">
        <v>248962.08</v>
      </c>
      <c r="H684" s="46">
        <v>630772.47999999998</v>
      </c>
      <c r="I684" s="46">
        <v>984172.28</v>
      </c>
      <c r="J684" s="46">
        <v>1599482.45</v>
      </c>
      <c r="K684" s="46">
        <v>1636874.3</v>
      </c>
      <c r="L684" s="46">
        <v>1308763.69</v>
      </c>
      <c r="M684" s="46"/>
      <c r="O684" s="46"/>
    </row>
    <row r="685" spans="1:15" x14ac:dyDescent="0.2">
      <c r="A685" s="5">
        <v>657</v>
      </c>
      <c r="B685" s="28">
        <f t="shared" ca="1" si="44"/>
        <v>791130.17882509052</v>
      </c>
      <c r="C685" s="29">
        <f t="shared" ca="1" si="43"/>
        <v>-0.62440941245990922</v>
      </c>
      <c r="D685" s="30">
        <f t="shared" ca="1" si="42"/>
        <v>-2.1324740851963644E-2</v>
      </c>
      <c r="E685" s="56">
        <v>62275.040000000001</v>
      </c>
      <c r="F685" s="56">
        <v>127256.64</v>
      </c>
      <c r="G685" s="56">
        <v>529974.61</v>
      </c>
      <c r="H685" s="46">
        <v>596254.81000000006</v>
      </c>
      <c r="I685" s="46">
        <v>810534.40000000002</v>
      </c>
      <c r="J685" s="46">
        <v>2617246.44</v>
      </c>
      <c r="K685" s="46">
        <v>1778894.88</v>
      </c>
      <c r="L685" s="46">
        <v>4979828.8</v>
      </c>
      <c r="M685" s="46"/>
      <c r="O685" s="46"/>
    </row>
    <row r="686" spans="1:15" x14ac:dyDescent="0.2">
      <c r="A686" s="5">
        <v>658</v>
      </c>
      <c r="B686" s="28">
        <f t="shared" ca="1" si="44"/>
        <v>813398.77190857695</v>
      </c>
      <c r="C686" s="29">
        <f t="shared" ca="1" si="43"/>
        <v>0.56875315415901662</v>
      </c>
      <c r="D686" s="30">
        <f t="shared" ca="1" si="42"/>
        <v>2.7385916954801515E-2</v>
      </c>
      <c r="E686" s="56">
        <v>34989.980000000003</v>
      </c>
      <c r="F686" s="56">
        <v>169192.07</v>
      </c>
      <c r="G686" s="56">
        <v>280008.3</v>
      </c>
      <c r="H686" s="46">
        <v>413420.11</v>
      </c>
      <c r="I686" s="46">
        <v>421394.82</v>
      </c>
      <c r="J686" s="46">
        <v>1315603.82</v>
      </c>
      <c r="K686" s="46">
        <v>2297168.9</v>
      </c>
      <c r="L686" s="46">
        <v>3336789.98</v>
      </c>
      <c r="M686" s="46"/>
      <c r="O686" s="46"/>
    </row>
    <row r="687" spans="1:15" x14ac:dyDescent="0.2">
      <c r="A687" s="5">
        <v>659</v>
      </c>
      <c r="B687" s="28">
        <f t="shared" ca="1" si="44"/>
        <v>814827.20612622797</v>
      </c>
      <c r="C687" s="29">
        <f t="shared" ca="1" si="43"/>
        <v>-7.7197741346727092E-2</v>
      </c>
      <c r="D687" s="30">
        <f t="shared" ca="1" si="42"/>
        <v>1.0150820734193856E-3</v>
      </c>
      <c r="E687" s="56">
        <v>30158.84</v>
      </c>
      <c r="F687" s="56">
        <v>134289.48000000001</v>
      </c>
      <c r="G687" s="56">
        <v>378933.01</v>
      </c>
      <c r="H687" s="46">
        <v>984856.38</v>
      </c>
      <c r="I687" s="46">
        <v>2469761.9900000002</v>
      </c>
      <c r="J687" s="46">
        <v>2864627.33</v>
      </c>
      <c r="K687" s="46">
        <v>4874124.1100000003</v>
      </c>
      <c r="L687" s="46">
        <v>11591784.4</v>
      </c>
      <c r="M687" s="46"/>
      <c r="O687" s="46"/>
    </row>
    <row r="688" spans="1:15" x14ac:dyDescent="0.2">
      <c r="A688" s="5">
        <v>660</v>
      </c>
      <c r="B688" s="28">
        <f t="shared" ca="1" si="44"/>
        <v>789613.27207066957</v>
      </c>
      <c r="C688" s="29">
        <f t="shared" ca="1" si="43"/>
        <v>-0.87814988217063816</v>
      </c>
      <c r="D688" s="30">
        <f t="shared" ca="1" si="42"/>
        <v>-3.1683652150053913E-2</v>
      </c>
      <c r="E688" s="56">
        <v>69563.81</v>
      </c>
      <c r="F688" s="56">
        <v>174171.76</v>
      </c>
      <c r="G688" s="56">
        <v>322616.78999999998</v>
      </c>
      <c r="H688" s="46">
        <v>445636.48</v>
      </c>
      <c r="I688" s="46">
        <v>1379612.01</v>
      </c>
      <c r="J688" s="46">
        <v>1749424.97</v>
      </c>
      <c r="K688" s="46">
        <v>3288329.74</v>
      </c>
      <c r="L688" s="46">
        <v>4859132.9000000004</v>
      </c>
      <c r="M688" s="46"/>
      <c r="O688" s="46"/>
    </row>
    <row r="689" spans="1:15" x14ac:dyDescent="0.2">
      <c r="A689" s="5">
        <v>661</v>
      </c>
      <c r="B689" s="28">
        <f t="shared" ca="1" si="44"/>
        <v>848813.25126198342</v>
      </c>
      <c r="C689" s="29">
        <f t="shared" ca="1" si="43"/>
        <v>1.7157045932506982</v>
      </c>
      <c r="D689" s="30">
        <f t="shared" ca="1" si="42"/>
        <v>7.4210013380226175E-2</v>
      </c>
      <c r="E689" s="56">
        <v>30248.19</v>
      </c>
      <c r="F689" s="56">
        <v>105363.2</v>
      </c>
      <c r="G689" s="56">
        <v>298725.45</v>
      </c>
      <c r="H689" s="46">
        <v>522503.6</v>
      </c>
      <c r="I689" s="46">
        <v>1196861.6000000001</v>
      </c>
      <c r="J689" s="46">
        <v>3664863.51</v>
      </c>
      <c r="K689" s="46">
        <v>3819234.75</v>
      </c>
      <c r="L689" s="46">
        <v>3321272.3199999998</v>
      </c>
      <c r="M689" s="46"/>
      <c r="O689" s="46"/>
    </row>
    <row r="690" spans="1:15" x14ac:dyDescent="0.2">
      <c r="A690" s="5">
        <v>662</v>
      </c>
      <c r="B690" s="28">
        <f t="shared" ca="1" si="44"/>
        <v>834441.13475970994</v>
      </c>
      <c r="C690" s="29">
        <f t="shared" ca="1" si="43"/>
        <v>-0.53420453990629224</v>
      </c>
      <c r="D690" s="30">
        <f t="shared" ca="1" si="42"/>
        <v>-1.7642142350811164E-2</v>
      </c>
      <c r="E690" s="56">
        <v>53249.54</v>
      </c>
      <c r="F690" s="56">
        <v>109043.85</v>
      </c>
      <c r="G690" s="56">
        <v>180267.44</v>
      </c>
      <c r="H690" s="46">
        <v>373920.67</v>
      </c>
      <c r="I690" s="46">
        <v>440940.86</v>
      </c>
      <c r="J690" s="46">
        <v>538161.79</v>
      </c>
      <c r="K690" s="46">
        <v>990889.28</v>
      </c>
      <c r="L690" s="46">
        <v>2234595.5499999998</v>
      </c>
      <c r="M690" s="46"/>
      <c r="O690" s="46"/>
    </row>
    <row r="691" spans="1:15" x14ac:dyDescent="0.2">
      <c r="A691" s="5">
        <v>663</v>
      </c>
      <c r="B691" s="28">
        <f t="shared" ca="1" si="44"/>
        <v>890860.44455803139</v>
      </c>
      <c r="C691" s="29">
        <f t="shared" ca="1" si="43"/>
        <v>1.5364243542637683</v>
      </c>
      <c r="D691" s="30">
        <f t="shared" ca="1" si="42"/>
        <v>6.6890928272189482E-2</v>
      </c>
      <c r="E691" s="56">
        <v>57478.36</v>
      </c>
      <c r="F691" s="56">
        <v>183393.5</v>
      </c>
      <c r="G691" s="56">
        <v>574039.15</v>
      </c>
      <c r="H691" s="46">
        <v>1060219.9099999999</v>
      </c>
      <c r="I691" s="46">
        <v>1107408.8799999999</v>
      </c>
      <c r="J691" s="46">
        <v>2919838.98</v>
      </c>
      <c r="K691" s="46">
        <v>10653529.060000001</v>
      </c>
      <c r="L691" s="46">
        <v>20897561.440000001</v>
      </c>
      <c r="M691" s="46"/>
      <c r="O691" s="46"/>
    </row>
    <row r="692" spans="1:15" x14ac:dyDescent="0.2">
      <c r="A692" s="5">
        <v>664</v>
      </c>
      <c r="B692" s="28">
        <f t="shared" ca="1" si="44"/>
        <v>872414.15290389443</v>
      </c>
      <c r="C692" s="29">
        <f t="shared" ca="1" si="43"/>
        <v>-0.62583070323294454</v>
      </c>
      <c r="D692" s="30">
        <f t="shared" ca="1" si="42"/>
        <v>-2.1382764804798015E-2</v>
      </c>
      <c r="E692" s="56">
        <v>72392.73</v>
      </c>
      <c r="F692" s="56">
        <v>127642.86</v>
      </c>
      <c r="G692" s="56">
        <v>260776.72</v>
      </c>
      <c r="H692" s="46">
        <v>607941.94999999995</v>
      </c>
      <c r="I692" s="46">
        <v>1176472.71</v>
      </c>
      <c r="J692" s="46">
        <v>2029220.5</v>
      </c>
      <c r="K692" s="46">
        <v>2991529.57</v>
      </c>
      <c r="L692" s="46">
        <v>7834084.2000000002</v>
      </c>
      <c r="M692" s="46"/>
      <c r="O692" s="46"/>
    </row>
    <row r="693" spans="1:15" x14ac:dyDescent="0.2">
      <c r="A693" s="5">
        <v>665</v>
      </c>
      <c r="B693" s="28">
        <f t="shared" ca="1" si="44"/>
        <v>867537.40618496132</v>
      </c>
      <c r="C693" s="29">
        <f t="shared" ca="1" si="43"/>
        <v>-0.25591118583823469</v>
      </c>
      <c r="D693" s="30">
        <f t="shared" ca="1" si="42"/>
        <v>-6.2808637462372597E-3</v>
      </c>
      <c r="E693" s="56">
        <v>66248.55</v>
      </c>
      <c r="F693" s="56">
        <v>97339.58</v>
      </c>
      <c r="G693" s="56">
        <v>214907.87</v>
      </c>
      <c r="H693" s="46">
        <v>327099.53999999998</v>
      </c>
      <c r="I693" s="46">
        <v>661517.02</v>
      </c>
      <c r="J693" s="46">
        <v>617263.98</v>
      </c>
      <c r="K693" s="46">
        <v>1513877.57</v>
      </c>
      <c r="L693" s="46">
        <v>1993916.69</v>
      </c>
      <c r="M693" s="46"/>
      <c r="O693" s="46"/>
    </row>
    <row r="694" spans="1:15" x14ac:dyDescent="0.2">
      <c r="A694" s="5">
        <v>666</v>
      </c>
      <c r="B694" s="28">
        <f t="shared" ca="1" si="44"/>
        <v>823048.77728812024</v>
      </c>
      <c r="C694" s="29">
        <f t="shared" ca="1" si="43"/>
        <v>-1.3752165519313539</v>
      </c>
      <c r="D694" s="30">
        <f t="shared" ca="1" si="42"/>
        <v>-5.1976313967691694E-2</v>
      </c>
      <c r="E694" s="56">
        <v>53254.91</v>
      </c>
      <c r="F694" s="56">
        <v>77616.39</v>
      </c>
      <c r="G694" s="56">
        <v>120055.78</v>
      </c>
      <c r="H694" s="46">
        <v>279635.39</v>
      </c>
      <c r="I694" s="46">
        <v>526000.68000000005</v>
      </c>
      <c r="J694" s="46">
        <v>1013654.74</v>
      </c>
      <c r="K694" s="46">
        <v>1324382.01</v>
      </c>
      <c r="L694" s="46">
        <v>2763672.21</v>
      </c>
      <c r="M694" s="46"/>
      <c r="O694" s="46"/>
    </row>
    <row r="695" spans="1:15" x14ac:dyDescent="0.2">
      <c r="A695" s="5">
        <v>667</v>
      </c>
      <c r="B695" s="28">
        <f t="shared" ca="1" si="44"/>
        <v>856316.83641589002</v>
      </c>
      <c r="C695" s="29">
        <f t="shared" ca="1" si="43"/>
        <v>0.87009533155283469</v>
      </c>
      <c r="D695" s="30">
        <f t="shared" ca="1" si="42"/>
        <v>3.9688159831369953E-2</v>
      </c>
      <c r="E695" s="56">
        <v>34803.19</v>
      </c>
      <c r="F695" s="56">
        <v>171864.9</v>
      </c>
      <c r="G695" s="56">
        <v>262956.88</v>
      </c>
      <c r="H695" s="46">
        <v>375663.4</v>
      </c>
      <c r="I695" s="46">
        <v>466038.33</v>
      </c>
      <c r="J695" s="46">
        <v>2144829.61</v>
      </c>
      <c r="K695" s="46">
        <v>2856121.17</v>
      </c>
      <c r="L695" s="46">
        <v>8543947.6999999993</v>
      </c>
      <c r="M695" s="46"/>
      <c r="O695" s="46"/>
    </row>
    <row r="696" spans="1:15" x14ac:dyDescent="0.2">
      <c r="A696" s="5">
        <v>668</v>
      </c>
      <c r="B696" s="28">
        <f t="shared" ca="1" si="44"/>
        <v>854363.28892874613</v>
      </c>
      <c r="C696" s="29">
        <f t="shared" ca="1" si="43"/>
        <v>-0.17518533234902492</v>
      </c>
      <c r="D696" s="30">
        <f t="shared" ca="1" si="42"/>
        <v>-2.985244577916644E-3</v>
      </c>
      <c r="E696" s="56">
        <v>84403.77</v>
      </c>
      <c r="F696" s="56">
        <v>254002.98</v>
      </c>
      <c r="G696" s="56">
        <v>248383.96</v>
      </c>
      <c r="H696" s="46">
        <v>505411.36</v>
      </c>
      <c r="I696" s="46">
        <v>1605213.1</v>
      </c>
      <c r="J696" s="46">
        <v>2616761.54</v>
      </c>
      <c r="K696" s="46">
        <v>3107770.93</v>
      </c>
      <c r="L696" s="46">
        <v>4250160.33</v>
      </c>
      <c r="M696" s="46"/>
      <c r="O696" s="46"/>
    </row>
    <row r="697" spans="1:15" x14ac:dyDescent="0.2">
      <c r="A697" s="5">
        <v>669</v>
      </c>
      <c r="B697" s="28">
        <f t="shared" ca="1" si="44"/>
        <v>755518.62311243243</v>
      </c>
      <c r="C697" s="29">
        <f t="shared" ca="1" si="43"/>
        <v>-2.9532551366792705</v>
      </c>
      <c r="D697" s="30">
        <f t="shared" ca="1" si="42"/>
        <v>-0.11639946941862678</v>
      </c>
      <c r="E697" s="56">
        <v>46361.72</v>
      </c>
      <c r="F697" s="56">
        <v>146505.53</v>
      </c>
      <c r="G697" s="56">
        <v>264782.31</v>
      </c>
      <c r="H697" s="46">
        <v>891593.83</v>
      </c>
      <c r="I697" s="46">
        <v>3374950.6</v>
      </c>
      <c r="J697" s="46">
        <v>11593717.23</v>
      </c>
      <c r="K697" s="46">
        <v>10276358.449999999</v>
      </c>
      <c r="L697" s="46">
        <v>13849365.869999999</v>
      </c>
      <c r="M697" s="46"/>
      <c r="O697" s="46"/>
    </row>
    <row r="698" spans="1:15" x14ac:dyDescent="0.2">
      <c r="A698" s="5">
        <v>670</v>
      </c>
      <c r="B698" s="28">
        <f t="shared" ca="1" si="44"/>
        <v>800653.57507396978</v>
      </c>
      <c r="C698" s="29">
        <f t="shared" ca="1" si="43"/>
        <v>1.3417293207572785</v>
      </c>
      <c r="D698" s="30">
        <f t="shared" ca="1" si="42"/>
        <v>5.8942536813106572E-2</v>
      </c>
      <c r="E698" s="56">
        <v>25939.81</v>
      </c>
      <c r="F698" s="56">
        <v>89957.7</v>
      </c>
      <c r="G698" s="56">
        <v>155416.97</v>
      </c>
      <c r="H698" s="46">
        <v>188203.99</v>
      </c>
      <c r="I698" s="46">
        <v>365331.16</v>
      </c>
      <c r="J698" s="46">
        <v>222334.31</v>
      </c>
      <c r="K698" s="46">
        <v>294994.62</v>
      </c>
      <c r="L698" s="46">
        <v>593699.74</v>
      </c>
      <c r="M698" s="46"/>
      <c r="O698" s="46"/>
    </row>
    <row r="699" spans="1:15" x14ac:dyDescent="0.2">
      <c r="A699" s="5">
        <v>671</v>
      </c>
      <c r="B699" s="28">
        <f t="shared" ca="1" si="44"/>
        <v>810020.57813540963</v>
      </c>
      <c r="C699" s="29">
        <f t="shared" ca="1" si="43"/>
        <v>0.16606768131822772</v>
      </c>
      <c r="D699" s="30">
        <f t="shared" ca="1" si="42"/>
        <v>1.0946351366613073E-2</v>
      </c>
      <c r="E699" s="56">
        <v>62936.02</v>
      </c>
      <c r="F699" s="56">
        <v>135881.37</v>
      </c>
      <c r="G699" s="56">
        <v>378981.75</v>
      </c>
      <c r="H699" s="46">
        <v>776169.4</v>
      </c>
      <c r="I699" s="46">
        <v>1539341.2</v>
      </c>
      <c r="J699" s="46">
        <v>3312101.81</v>
      </c>
      <c r="K699" s="46">
        <v>10740971.26</v>
      </c>
      <c r="L699" s="46">
        <v>18402202.75</v>
      </c>
      <c r="M699" s="46"/>
      <c r="O699" s="46"/>
    </row>
    <row r="700" spans="1:15" x14ac:dyDescent="0.2">
      <c r="A700" s="5">
        <v>672</v>
      </c>
      <c r="B700" s="28">
        <f t="shared" ca="1" si="44"/>
        <v>776438.14507216401</v>
      </c>
      <c r="C700" s="29">
        <f t="shared" ca="1" si="43"/>
        <v>-1.13581727463046</v>
      </c>
      <c r="D700" s="30">
        <f t="shared" ca="1" si="42"/>
        <v>-4.2202879398054269E-2</v>
      </c>
      <c r="E700" s="56">
        <v>53578.83</v>
      </c>
      <c r="F700" s="56">
        <v>150739.94</v>
      </c>
      <c r="G700" s="56">
        <v>338489.1</v>
      </c>
      <c r="H700" s="46">
        <v>802721.72</v>
      </c>
      <c r="I700" s="46">
        <v>2100399.35</v>
      </c>
      <c r="J700" s="46">
        <v>4174589.65</v>
      </c>
      <c r="K700" s="46">
        <v>5772793.3099999996</v>
      </c>
      <c r="L700" s="46">
        <v>15173636.140000001</v>
      </c>
      <c r="M700" s="46"/>
      <c r="O700" s="46"/>
    </row>
    <row r="701" spans="1:15" x14ac:dyDescent="0.2">
      <c r="A701" s="5">
        <v>673</v>
      </c>
      <c r="B701" s="28">
        <f t="shared" ca="1" si="44"/>
        <v>770165.42589356215</v>
      </c>
      <c r="C701" s="29">
        <f t="shared" ca="1" si="43"/>
        <v>-0.31896839936892857</v>
      </c>
      <c r="D701" s="30">
        <f t="shared" ref="D701:D764" ca="1" si="45">$D$20+(C701*$D$21)</f>
        <v>-8.8551637087693168E-3</v>
      </c>
      <c r="E701" s="56">
        <v>63110.45</v>
      </c>
      <c r="F701" s="56">
        <v>157689.04999999999</v>
      </c>
      <c r="G701" s="56">
        <v>308626.88</v>
      </c>
      <c r="H701" s="46">
        <v>751442.53</v>
      </c>
      <c r="I701" s="46">
        <v>797031.03</v>
      </c>
      <c r="J701" s="46">
        <v>2410508.5</v>
      </c>
      <c r="K701" s="46">
        <v>2907228.38</v>
      </c>
      <c r="L701" s="46">
        <v>2685415.62</v>
      </c>
      <c r="M701" s="46"/>
      <c r="O701" s="46"/>
    </row>
    <row r="702" spans="1:15" x14ac:dyDescent="0.2">
      <c r="A702" s="5">
        <v>674</v>
      </c>
      <c r="B702" s="28">
        <f t="shared" ca="1" si="44"/>
        <v>757814.50703538698</v>
      </c>
      <c r="C702" s="29">
        <f t="shared" ca="1" si="43"/>
        <v>-0.51405047540277859</v>
      </c>
      <c r="D702" s="30">
        <f t="shared" ca="1" si="45"/>
        <v>-1.6819356112865377E-2</v>
      </c>
      <c r="E702" s="56">
        <v>65179.86</v>
      </c>
      <c r="F702" s="56">
        <v>143888.03</v>
      </c>
      <c r="G702" s="56">
        <v>238701.64</v>
      </c>
      <c r="H702" s="46">
        <v>357659.81</v>
      </c>
      <c r="I702" s="46">
        <v>498220.17</v>
      </c>
      <c r="J702" s="46">
        <v>1056721.1200000001</v>
      </c>
      <c r="K702" s="46">
        <v>1252300.8600000001</v>
      </c>
      <c r="L702" s="46">
        <v>2013168.86</v>
      </c>
      <c r="M702" s="46"/>
      <c r="O702" s="46"/>
    </row>
    <row r="703" spans="1:15" x14ac:dyDescent="0.2">
      <c r="A703" s="5">
        <v>675</v>
      </c>
      <c r="B703" s="28">
        <f t="shared" ca="1" si="44"/>
        <v>790199.22867042746</v>
      </c>
      <c r="C703" s="29">
        <f t="shared" ca="1" si="43"/>
        <v>0.92522850354320485</v>
      </c>
      <c r="D703" s="30">
        <f t="shared" ca="1" si="45"/>
        <v>4.1938962152661831E-2</v>
      </c>
      <c r="E703" s="56">
        <v>69979.509999999995</v>
      </c>
      <c r="F703" s="56">
        <v>134970.26</v>
      </c>
      <c r="G703" s="56">
        <v>304091.92</v>
      </c>
      <c r="H703" s="46">
        <v>916885.01</v>
      </c>
      <c r="I703" s="46">
        <v>1690186.88</v>
      </c>
      <c r="J703" s="46">
        <v>4328675.8099999996</v>
      </c>
      <c r="K703" s="46">
        <v>10889858.699999999</v>
      </c>
      <c r="L703" s="46">
        <v>16969761.140000001</v>
      </c>
      <c r="M703" s="46"/>
      <c r="O703" s="46"/>
    </row>
    <row r="704" spans="1:15" x14ac:dyDescent="0.2">
      <c r="A704" s="5">
        <v>676</v>
      </c>
      <c r="B704" s="28">
        <f t="shared" ca="1" si="44"/>
        <v>751533.5445479562</v>
      </c>
      <c r="C704" s="29">
        <f t="shared" ca="1" si="43"/>
        <v>-1.3193205370418966</v>
      </c>
      <c r="D704" s="30">
        <f t="shared" ca="1" si="45"/>
        <v>-4.969436871545533E-2</v>
      </c>
      <c r="E704" s="56">
        <v>39507.74</v>
      </c>
      <c r="F704" s="56">
        <v>158713.98000000001</v>
      </c>
      <c r="G704" s="56">
        <v>293476.53000000003</v>
      </c>
      <c r="H704" s="46">
        <v>370284.24</v>
      </c>
      <c r="I704" s="46">
        <v>924136.98</v>
      </c>
      <c r="J704" s="46">
        <v>1960222.63</v>
      </c>
      <c r="K704" s="46">
        <v>1779735.12</v>
      </c>
      <c r="L704" s="46">
        <v>1754913.1</v>
      </c>
      <c r="M704" s="46"/>
      <c r="O704" s="46"/>
    </row>
    <row r="705" spans="1:15" x14ac:dyDescent="0.2">
      <c r="A705" s="5">
        <v>677</v>
      </c>
      <c r="B705" s="28">
        <f t="shared" ca="1" si="44"/>
        <v>823963.06204721192</v>
      </c>
      <c r="C705" s="29">
        <f t="shared" ca="1" si="43"/>
        <v>2.2390029158069242</v>
      </c>
      <c r="D705" s="30">
        <f t="shared" ca="1" si="45"/>
        <v>9.5573577938844814E-2</v>
      </c>
      <c r="E705" s="56">
        <v>53731.92</v>
      </c>
      <c r="F705" s="56">
        <v>255505.32</v>
      </c>
      <c r="G705" s="56">
        <v>175561.16</v>
      </c>
      <c r="H705" s="46">
        <v>182815.14</v>
      </c>
      <c r="I705" s="46">
        <v>202231.17</v>
      </c>
      <c r="J705" s="46">
        <v>245646.63</v>
      </c>
      <c r="K705" s="46">
        <v>247943.72</v>
      </c>
      <c r="L705" s="46">
        <v>388036.36</v>
      </c>
      <c r="M705" s="46"/>
      <c r="O705" s="46"/>
    </row>
    <row r="706" spans="1:15" x14ac:dyDescent="0.2">
      <c r="A706" s="5">
        <v>678</v>
      </c>
      <c r="B706" s="28">
        <f t="shared" ca="1" si="44"/>
        <v>790468.32637923991</v>
      </c>
      <c r="C706" s="29">
        <f t="shared" ca="1" si="43"/>
        <v>-1.1157177644247538</v>
      </c>
      <c r="D706" s="30">
        <f t="shared" ca="1" si="45"/>
        <v>-4.1382320329990216E-2</v>
      </c>
      <c r="E706" s="56">
        <v>63431.56</v>
      </c>
      <c r="F706" s="56">
        <v>243285.19</v>
      </c>
      <c r="G706" s="56">
        <v>524015.59</v>
      </c>
      <c r="H706" s="46">
        <v>803303.09</v>
      </c>
      <c r="I706" s="46">
        <v>2696940.38</v>
      </c>
      <c r="J706" s="46">
        <v>5079110.57</v>
      </c>
      <c r="K706" s="46">
        <v>4557251.8</v>
      </c>
      <c r="L706" s="46">
        <v>2765145.21</v>
      </c>
      <c r="M706" s="46"/>
      <c r="O706" s="46"/>
    </row>
    <row r="707" spans="1:15" x14ac:dyDescent="0.2">
      <c r="A707" s="5">
        <v>679</v>
      </c>
      <c r="B707" s="28">
        <f t="shared" ca="1" si="44"/>
        <v>796902.66546518775</v>
      </c>
      <c r="C707" s="29">
        <f t="shared" ca="1" si="43"/>
        <v>7.8645664853338057E-2</v>
      </c>
      <c r="D707" s="30">
        <f t="shared" ca="1" si="45"/>
        <v>7.3773624895435846E-3</v>
      </c>
      <c r="E707" s="56">
        <v>88080.69</v>
      </c>
      <c r="F707" s="56">
        <v>275013.68</v>
      </c>
      <c r="G707" s="56">
        <v>508182.97</v>
      </c>
      <c r="H707" s="46">
        <v>625123.44999999995</v>
      </c>
      <c r="I707" s="46">
        <v>2863841.11</v>
      </c>
      <c r="J707" s="46">
        <v>4019480.63</v>
      </c>
      <c r="K707" s="46">
        <v>4472450.37</v>
      </c>
      <c r="L707" s="46">
        <v>9443582.9299999997</v>
      </c>
      <c r="M707" s="46"/>
      <c r="O707" s="46"/>
    </row>
    <row r="708" spans="1:15" x14ac:dyDescent="0.2">
      <c r="A708" s="5">
        <v>680</v>
      </c>
      <c r="B708" s="28">
        <f t="shared" ca="1" si="44"/>
        <v>818954.5180761728</v>
      </c>
      <c r="C708" s="29">
        <f t="shared" ca="1" si="43"/>
        <v>0.55723191326624355</v>
      </c>
      <c r="D708" s="30">
        <f t="shared" ca="1" si="45"/>
        <v>2.691556426495182E-2</v>
      </c>
      <c r="E708" s="56">
        <v>47783.46</v>
      </c>
      <c r="F708" s="56">
        <v>124907.31</v>
      </c>
      <c r="G708" s="56">
        <v>427309.87</v>
      </c>
      <c r="H708" s="46">
        <v>537679.07999999996</v>
      </c>
      <c r="I708" s="46">
        <v>1155140.98</v>
      </c>
      <c r="J708" s="46">
        <v>1344684.72</v>
      </c>
      <c r="K708" s="46">
        <v>2202737.2000000002</v>
      </c>
      <c r="L708" s="46">
        <v>2812795.07</v>
      </c>
      <c r="M708" s="46"/>
      <c r="O708" s="46"/>
    </row>
    <row r="709" spans="1:15" x14ac:dyDescent="0.2">
      <c r="A709" s="5">
        <v>681</v>
      </c>
      <c r="B709" s="28">
        <f t="shared" ca="1" si="44"/>
        <v>847028.50226047134</v>
      </c>
      <c r="C709" s="29">
        <f t="shared" ca="1" si="43"/>
        <v>0.71960093187012475</v>
      </c>
      <c r="D709" s="30">
        <f t="shared" ca="1" si="45"/>
        <v>3.354425169188479E-2</v>
      </c>
      <c r="E709" s="56">
        <v>42892.39</v>
      </c>
      <c r="F709" s="56">
        <v>198380.58</v>
      </c>
      <c r="G709" s="56">
        <v>272811.74</v>
      </c>
      <c r="H709" s="46">
        <v>184181.95</v>
      </c>
      <c r="I709" s="46">
        <v>513137.76</v>
      </c>
      <c r="J709" s="46">
        <v>646593.14</v>
      </c>
      <c r="K709" s="46">
        <v>1536716.22</v>
      </c>
      <c r="L709" s="46">
        <v>4225929.91</v>
      </c>
      <c r="M709" s="46"/>
      <c r="O709" s="46"/>
    </row>
    <row r="710" spans="1:15" x14ac:dyDescent="0.2">
      <c r="A710" s="5">
        <v>682</v>
      </c>
      <c r="B710" s="28">
        <f t="shared" ca="1" si="44"/>
        <v>877425.21487658587</v>
      </c>
      <c r="C710" s="29">
        <f t="shared" ca="1" si="43"/>
        <v>0.75953777036729087</v>
      </c>
      <c r="D710" s="30">
        <f t="shared" ca="1" si="45"/>
        <v>3.5174666296184737E-2</v>
      </c>
      <c r="E710" s="56">
        <v>72635.11</v>
      </c>
      <c r="F710" s="56">
        <v>134603.56</v>
      </c>
      <c r="G710" s="56">
        <v>253620.85</v>
      </c>
      <c r="H710" s="46">
        <v>419413.75</v>
      </c>
      <c r="I710" s="46">
        <v>532081.68000000005</v>
      </c>
      <c r="J710" s="46">
        <v>1096115.18</v>
      </c>
      <c r="K710" s="46">
        <v>2013470.02</v>
      </c>
      <c r="L710" s="46">
        <v>2034149.95</v>
      </c>
      <c r="M710" s="46"/>
      <c r="O710" s="46"/>
    </row>
    <row r="711" spans="1:15" x14ac:dyDescent="0.2">
      <c r="A711" s="5">
        <v>683</v>
      </c>
      <c r="B711" s="28">
        <f t="shared" ca="1" si="44"/>
        <v>901141.54063409218</v>
      </c>
      <c r="C711" s="29">
        <f t="shared" ca="1" si="43"/>
        <v>0.5431943253891367</v>
      </c>
      <c r="D711" s="30">
        <f t="shared" ca="1" si="45"/>
        <v>2.6342482139645306E-2</v>
      </c>
      <c r="E711" s="56">
        <v>91515.24</v>
      </c>
      <c r="F711" s="56">
        <v>114781.8</v>
      </c>
      <c r="G711" s="56">
        <v>365772.71</v>
      </c>
      <c r="H711" s="46">
        <v>819288.01</v>
      </c>
      <c r="I711" s="46">
        <v>1038339.8</v>
      </c>
      <c r="J711" s="46">
        <v>1669854.88</v>
      </c>
      <c r="K711" s="46">
        <v>5335797.4400000004</v>
      </c>
      <c r="L711" s="46">
        <v>4512325.26</v>
      </c>
      <c r="M711" s="46"/>
      <c r="O711" s="46"/>
    </row>
    <row r="712" spans="1:15" x14ac:dyDescent="0.2">
      <c r="A712" s="5">
        <v>684</v>
      </c>
      <c r="B712" s="28">
        <f t="shared" ca="1" si="44"/>
        <v>894716.53111739259</v>
      </c>
      <c r="C712" s="29">
        <f t="shared" ca="1" si="43"/>
        <v>-0.29309164393981191</v>
      </c>
      <c r="D712" s="30">
        <f t="shared" ca="1" si="45"/>
        <v>-7.7987495921004795E-3</v>
      </c>
      <c r="E712" s="56">
        <v>57562.07</v>
      </c>
      <c r="F712" s="56">
        <v>179154.25</v>
      </c>
      <c r="G712" s="56">
        <v>298317.89</v>
      </c>
      <c r="H712" s="46">
        <v>474179.91</v>
      </c>
      <c r="I712" s="46">
        <v>912458.72</v>
      </c>
      <c r="J712" s="46">
        <v>1560043.94</v>
      </c>
      <c r="K712" s="46">
        <v>2289391.73</v>
      </c>
      <c r="L712" s="46">
        <v>3299924.68</v>
      </c>
      <c r="M712" s="46"/>
      <c r="O712" s="46"/>
    </row>
    <row r="713" spans="1:15" x14ac:dyDescent="0.2">
      <c r="A713" s="5">
        <v>685</v>
      </c>
      <c r="B713" s="28">
        <f t="shared" ca="1" si="44"/>
        <v>900961.94128547283</v>
      </c>
      <c r="C713" s="29">
        <f t="shared" ca="1" si="43"/>
        <v>5.2418082304395465E-2</v>
      </c>
      <c r="D713" s="30">
        <f t="shared" ca="1" si="45"/>
        <v>6.3066259156830187E-3</v>
      </c>
      <c r="E713" s="56">
        <v>57151.88</v>
      </c>
      <c r="F713" s="56">
        <v>117712.57</v>
      </c>
      <c r="G713" s="56">
        <v>299324.76</v>
      </c>
      <c r="H713" s="46">
        <v>587299.88</v>
      </c>
      <c r="I713" s="46">
        <v>406708.82</v>
      </c>
      <c r="J713" s="46">
        <v>567361.48</v>
      </c>
      <c r="K713" s="46">
        <v>954252.85</v>
      </c>
      <c r="L713" s="46">
        <v>3505129.88</v>
      </c>
      <c r="M713" s="46"/>
      <c r="O713" s="46"/>
    </row>
    <row r="714" spans="1:15" x14ac:dyDescent="0.2">
      <c r="A714" s="5">
        <v>686</v>
      </c>
      <c r="B714" s="28">
        <f t="shared" ca="1" si="44"/>
        <v>870280.71811810986</v>
      </c>
      <c r="C714" s="29">
        <f t="shared" ca="1" si="43"/>
        <v>-0.95259538868110027</v>
      </c>
      <c r="D714" s="30">
        <f t="shared" ca="1" si="45"/>
        <v>-3.472287722661517E-2</v>
      </c>
      <c r="E714" s="56">
        <v>39091.019999999997</v>
      </c>
      <c r="F714" s="56">
        <v>132948.56</v>
      </c>
      <c r="G714" s="56">
        <v>250114.62</v>
      </c>
      <c r="H714" s="46">
        <v>441982.2</v>
      </c>
      <c r="I714" s="46">
        <v>936589.48</v>
      </c>
      <c r="J714" s="46">
        <v>1021944.33</v>
      </c>
      <c r="K714" s="46">
        <v>4010513.58</v>
      </c>
      <c r="L714" s="46">
        <v>7321255.5800000001</v>
      </c>
      <c r="M714" s="46"/>
      <c r="O714" s="46"/>
    </row>
    <row r="715" spans="1:15" x14ac:dyDescent="0.2">
      <c r="A715" s="5">
        <v>687</v>
      </c>
      <c r="B715" s="28">
        <f t="shared" ca="1" si="44"/>
        <v>909912.72264400672</v>
      </c>
      <c r="C715" s="29">
        <f t="shared" ca="1" si="43"/>
        <v>0.99645376565683286</v>
      </c>
      <c r="D715" s="30">
        <f t="shared" ca="1" si="45"/>
        <v>4.484672130223475E-2</v>
      </c>
      <c r="E715" s="56">
        <v>63712.29</v>
      </c>
      <c r="F715" s="56">
        <v>362496.2</v>
      </c>
      <c r="G715" s="56">
        <v>386949.67</v>
      </c>
      <c r="H715" s="46">
        <v>585115.77</v>
      </c>
      <c r="I715" s="46">
        <v>1221469.1399999999</v>
      </c>
      <c r="J715" s="46">
        <v>2860396.01</v>
      </c>
      <c r="K715" s="46">
        <v>1825583.99</v>
      </c>
      <c r="L715" s="46">
        <v>2208507.91</v>
      </c>
      <c r="M715" s="46"/>
      <c r="O715" s="46"/>
    </row>
    <row r="716" spans="1:15" x14ac:dyDescent="0.2">
      <c r="A716" s="5">
        <v>688</v>
      </c>
      <c r="B716" s="28">
        <f t="shared" ca="1" si="44"/>
        <v>862457.41071563924</v>
      </c>
      <c r="C716" s="29">
        <f t="shared" ca="1" si="43"/>
        <v>-1.3957880552525677</v>
      </c>
      <c r="D716" s="30">
        <f t="shared" ca="1" si="45"/>
        <v>-5.2816142074007408E-2</v>
      </c>
      <c r="E716" s="56">
        <v>65656.98</v>
      </c>
      <c r="F716" s="56">
        <v>134834.48000000001</v>
      </c>
      <c r="G716" s="56">
        <v>167371.9</v>
      </c>
      <c r="H716" s="46">
        <v>541691.62</v>
      </c>
      <c r="I716" s="46">
        <v>539342.56999999995</v>
      </c>
      <c r="J716" s="46">
        <v>613367.13</v>
      </c>
      <c r="K716" s="46">
        <v>1482289.8</v>
      </c>
      <c r="L716" s="46">
        <v>1068231.42</v>
      </c>
      <c r="M716" s="46"/>
      <c r="O716" s="46"/>
    </row>
    <row r="717" spans="1:15" x14ac:dyDescent="0.2">
      <c r="A717" s="5">
        <v>689</v>
      </c>
      <c r="B717" s="28">
        <f t="shared" ca="1" si="44"/>
        <v>828226.67529802362</v>
      </c>
      <c r="C717" s="29">
        <f t="shared" ca="1" si="43"/>
        <v>-1.0913782700972892</v>
      </c>
      <c r="D717" s="30">
        <f t="shared" ca="1" si="45"/>
        <v>-4.0388664634995984E-2</v>
      </c>
      <c r="E717" s="56">
        <v>56755.08</v>
      </c>
      <c r="F717" s="56">
        <v>183397.56</v>
      </c>
      <c r="G717" s="56">
        <v>834153.35</v>
      </c>
      <c r="H717" s="46">
        <v>1981376.14</v>
      </c>
      <c r="I717" s="46">
        <v>2128710.92</v>
      </c>
      <c r="J717" s="46">
        <v>3594297.1</v>
      </c>
      <c r="K717" s="46">
        <v>5552660.6500000004</v>
      </c>
      <c r="L717" s="46">
        <v>4678601.34</v>
      </c>
      <c r="M717" s="46"/>
      <c r="O717" s="46"/>
    </row>
    <row r="718" spans="1:15" x14ac:dyDescent="0.2">
      <c r="A718" s="5">
        <v>690</v>
      </c>
      <c r="B718" s="28">
        <f t="shared" ca="1" si="44"/>
        <v>892108.72090688196</v>
      </c>
      <c r="C718" s="29">
        <f t="shared" ca="1" si="43"/>
        <v>1.7694297155303991</v>
      </c>
      <c r="D718" s="30">
        <f t="shared" ca="1" si="45"/>
        <v>7.6403332312791158E-2</v>
      </c>
      <c r="E718" s="56">
        <v>62384.6</v>
      </c>
      <c r="F718" s="56">
        <v>355977.27</v>
      </c>
      <c r="G718" s="56">
        <v>500820.13</v>
      </c>
      <c r="H718" s="46">
        <v>720568.61</v>
      </c>
      <c r="I718" s="46">
        <v>1104276.17</v>
      </c>
      <c r="J718" s="46">
        <v>1906236.95</v>
      </c>
      <c r="K718" s="46">
        <v>3496996.99</v>
      </c>
      <c r="L718" s="46">
        <v>4342280.88</v>
      </c>
      <c r="M718" s="46"/>
      <c r="O718" s="46"/>
    </row>
    <row r="719" spans="1:15" x14ac:dyDescent="0.2">
      <c r="A719" s="5">
        <v>691</v>
      </c>
      <c r="B719" s="28">
        <f t="shared" ca="1" si="44"/>
        <v>867407.92808022548</v>
      </c>
      <c r="C719" s="29">
        <f t="shared" ca="1" si="43"/>
        <v>-0.79682954352471502</v>
      </c>
      <c r="D719" s="30">
        <f t="shared" ca="1" si="45"/>
        <v>-2.836376322683986E-2</v>
      </c>
      <c r="E719" s="56">
        <v>44106.35</v>
      </c>
      <c r="F719" s="56">
        <v>262121.71</v>
      </c>
      <c r="G719" s="56">
        <v>297754.82</v>
      </c>
      <c r="H719" s="46">
        <v>690200.12</v>
      </c>
      <c r="I719" s="46">
        <v>963766.58</v>
      </c>
      <c r="J719" s="46">
        <v>1038006.51</v>
      </c>
      <c r="K719" s="46">
        <v>913138.28</v>
      </c>
      <c r="L719" s="46">
        <v>1176398.6200000001</v>
      </c>
      <c r="M719" s="46"/>
      <c r="O719" s="46"/>
    </row>
    <row r="720" spans="1:15" x14ac:dyDescent="0.2">
      <c r="A720" s="5">
        <v>692</v>
      </c>
      <c r="B720" s="28">
        <f t="shared" ca="1" si="44"/>
        <v>852136.6736632036</v>
      </c>
      <c r="C720" s="29">
        <f t="shared" ca="1" si="43"/>
        <v>-0.55033160195366737</v>
      </c>
      <c r="D720" s="30">
        <f t="shared" ca="1" si="45"/>
        <v>-1.830052690191572E-2</v>
      </c>
      <c r="E720" s="56">
        <v>49736.86</v>
      </c>
      <c r="F720" s="56">
        <v>224382.86</v>
      </c>
      <c r="G720" s="56">
        <v>1616637.09</v>
      </c>
      <c r="H720" s="46">
        <v>1427507.2</v>
      </c>
      <c r="I720" s="46">
        <v>1490140.05</v>
      </c>
      <c r="J720" s="46">
        <v>1814263.45</v>
      </c>
      <c r="K720" s="46">
        <v>3701800.63</v>
      </c>
      <c r="L720" s="46">
        <v>9011921.0299999993</v>
      </c>
      <c r="M720" s="46"/>
      <c r="O720" s="46"/>
    </row>
    <row r="721" spans="1:15" x14ac:dyDescent="0.2">
      <c r="A721" s="5">
        <v>693</v>
      </c>
      <c r="B721" s="28">
        <f t="shared" ca="1" si="44"/>
        <v>910191.80950799177</v>
      </c>
      <c r="C721" s="29">
        <f t="shared" ca="1" si="43"/>
        <v>1.5494216717723166</v>
      </c>
      <c r="D721" s="30">
        <f t="shared" ca="1" si="45"/>
        <v>6.7421541537537558E-2</v>
      </c>
      <c r="E721" s="56">
        <v>49519.24</v>
      </c>
      <c r="F721" s="56">
        <v>104325.46</v>
      </c>
      <c r="G721" s="56">
        <v>358576.66</v>
      </c>
      <c r="H721" s="46">
        <v>1155262.74</v>
      </c>
      <c r="I721" s="46">
        <v>1427942.96</v>
      </c>
      <c r="J721" s="46">
        <v>1810016.95</v>
      </c>
      <c r="K721" s="46">
        <v>1299371.1200000001</v>
      </c>
      <c r="L721" s="46">
        <v>2022965.73</v>
      </c>
      <c r="M721" s="46"/>
      <c r="O721" s="46"/>
    </row>
    <row r="722" spans="1:15" x14ac:dyDescent="0.2">
      <c r="A722" s="5">
        <v>694</v>
      </c>
      <c r="B722" s="28">
        <f t="shared" ca="1" si="44"/>
        <v>894254.99677713856</v>
      </c>
      <c r="C722" s="29">
        <f t="shared" ca="1" si="43"/>
        <v>-0.54717190777571023</v>
      </c>
      <c r="D722" s="30">
        <f t="shared" ca="1" si="45"/>
        <v>-1.8171532927261758E-2</v>
      </c>
      <c r="E722" s="56">
        <v>58322.26</v>
      </c>
      <c r="F722" s="56">
        <v>143237.14000000001</v>
      </c>
      <c r="G722" s="56">
        <v>280603.3</v>
      </c>
      <c r="H722" s="46">
        <v>652612.49</v>
      </c>
      <c r="I722" s="46">
        <v>580516.93999999994</v>
      </c>
      <c r="J722" s="46">
        <v>1165618.1499999999</v>
      </c>
      <c r="K722" s="46">
        <v>2637860.4700000002</v>
      </c>
      <c r="L722" s="46">
        <v>2142054.67</v>
      </c>
      <c r="M722" s="46"/>
      <c r="O722" s="46"/>
    </row>
    <row r="723" spans="1:15" x14ac:dyDescent="0.2">
      <c r="A723" s="5">
        <v>695</v>
      </c>
      <c r="B723" s="28">
        <f t="shared" ca="1" si="44"/>
        <v>884167.83108597458</v>
      </c>
      <c r="C723" s="29">
        <f t="shared" ca="1" si="43"/>
        <v>-0.39487432752238566</v>
      </c>
      <c r="D723" s="30">
        <f t="shared" ca="1" si="45"/>
        <v>-1.1954010249241483E-2</v>
      </c>
      <c r="E723" s="56">
        <v>73306.63</v>
      </c>
      <c r="F723" s="56">
        <v>210187.44</v>
      </c>
      <c r="G723" s="56">
        <v>374380.75</v>
      </c>
      <c r="H723" s="46">
        <v>603400.46</v>
      </c>
      <c r="I723" s="46">
        <v>1065819.75</v>
      </c>
      <c r="J723" s="46">
        <v>1996909.29</v>
      </c>
      <c r="K723" s="46">
        <v>5138847.1900000004</v>
      </c>
      <c r="L723" s="46">
        <v>6526303.8700000001</v>
      </c>
      <c r="M723" s="46"/>
      <c r="O723" s="46"/>
    </row>
    <row r="724" spans="1:15" x14ac:dyDescent="0.2">
      <c r="A724" s="5">
        <v>696</v>
      </c>
      <c r="B724" s="28">
        <f t="shared" ca="1" si="44"/>
        <v>879299.90528058633</v>
      </c>
      <c r="C724" s="29">
        <f t="shared" ca="1" si="43"/>
        <v>-0.25362162013957579</v>
      </c>
      <c r="D724" s="30">
        <f t="shared" ca="1" si="45"/>
        <v>-6.1873926179990416E-3</v>
      </c>
      <c r="E724" s="56">
        <v>41954.13</v>
      </c>
      <c r="F724" s="56">
        <v>129280</v>
      </c>
      <c r="G724" s="56">
        <v>251545.68</v>
      </c>
      <c r="H724" s="46">
        <v>1169119.95</v>
      </c>
      <c r="I724" s="46">
        <v>2244053.75</v>
      </c>
      <c r="J724" s="46">
        <v>11779672.140000001</v>
      </c>
      <c r="K724" s="46">
        <v>18041035.760000002</v>
      </c>
      <c r="L724" s="46">
        <v>35404756.450000003</v>
      </c>
      <c r="M724" s="46"/>
      <c r="O724" s="46"/>
    </row>
    <row r="725" spans="1:15" x14ac:dyDescent="0.2">
      <c r="A725" s="5">
        <v>697</v>
      </c>
      <c r="B725" s="28">
        <f t="shared" ca="1" si="44"/>
        <v>861899.1686175561</v>
      </c>
      <c r="C725" s="29">
        <f t="shared" ca="1" si="43"/>
        <v>-0.60359060708561896</v>
      </c>
      <c r="D725" s="30">
        <f t="shared" ca="1" si="45"/>
        <v>-2.0474816681608256E-2</v>
      </c>
      <c r="E725" s="56">
        <v>73726.289999999994</v>
      </c>
      <c r="F725" s="56">
        <v>186596.04</v>
      </c>
      <c r="G725" s="56">
        <v>404619.93</v>
      </c>
      <c r="H725" s="46">
        <v>571498.93000000005</v>
      </c>
      <c r="I725" s="46">
        <v>510897.46</v>
      </c>
      <c r="J725" s="46">
        <v>741011.24</v>
      </c>
      <c r="K725" s="46">
        <v>1369441.8</v>
      </c>
      <c r="L725" s="46">
        <v>2110053.89</v>
      </c>
      <c r="M725" s="46"/>
      <c r="O725" s="46"/>
    </row>
    <row r="726" spans="1:15" x14ac:dyDescent="0.2">
      <c r="A726" s="5">
        <v>698</v>
      </c>
      <c r="B726" s="28">
        <f t="shared" ca="1" si="44"/>
        <v>827881.94265355961</v>
      </c>
      <c r="C726" s="29">
        <f t="shared" ca="1" si="43"/>
        <v>-1.0859511686603254</v>
      </c>
      <c r="D726" s="30">
        <f t="shared" ca="1" si="45"/>
        <v>-4.0167104146614535E-2</v>
      </c>
      <c r="E726" s="56">
        <v>55052</v>
      </c>
      <c r="F726" s="56">
        <v>179605.56</v>
      </c>
      <c r="G726" s="56">
        <v>219550.99</v>
      </c>
      <c r="H726" s="46">
        <v>345378.37</v>
      </c>
      <c r="I726" s="46">
        <v>436043.78</v>
      </c>
      <c r="J726" s="46">
        <v>435225.89</v>
      </c>
      <c r="K726" s="46">
        <v>869237.84</v>
      </c>
      <c r="L726" s="46">
        <v>728131.77</v>
      </c>
      <c r="M726" s="46"/>
      <c r="O726" s="46"/>
    </row>
    <row r="727" spans="1:15" x14ac:dyDescent="0.2">
      <c r="A727" s="5">
        <v>699</v>
      </c>
      <c r="B727" s="28">
        <f t="shared" ca="1" si="44"/>
        <v>860001.04916548263</v>
      </c>
      <c r="C727" s="29">
        <f t="shared" ca="1" si="43"/>
        <v>0.83042533480798242</v>
      </c>
      <c r="D727" s="30">
        <f t="shared" ca="1" si="45"/>
        <v>3.806863899599066E-2</v>
      </c>
      <c r="E727" s="56">
        <v>47061.9</v>
      </c>
      <c r="F727" s="56">
        <v>146431.92000000001</v>
      </c>
      <c r="G727" s="56">
        <v>277928.28000000003</v>
      </c>
      <c r="H727" s="46">
        <v>612075.01</v>
      </c>
      <c r="I727" s="46">
        <v>1631533.06</v>
      </c>
      <c r="J727" s="46">
        <v>2842825.9</v>
      </c>
      <c r="K727" s="46">
        <v>3863826.09</v>
      </c>
      <c r="L727" s="46">
        <v>7093202.5499999998</v>
      </c>
      <c r="M727" s="46"/>
      <c r="O727" s="46"/>
    </row>
    <row r="728" spans="1:15" x14ac:dyDescent="0.2">
      <c r="A728" s="5">
        <v>700</v>
      </c>
      <c r="B728" s="28">
        <f t="shared" ca="1" si="44"/>
        <v>913342.81035609427</v>
      </c>
      <c r="C728" s="29">
        <f t="shared" ca="1" si="43"/>
        <v>1.4000712528171186</v>
      </c>
      <c r="D728" s="30">
        <f t="shared" ca="1" si="45"/>
        <v>6.1324336215685435E-2</v>
      </c>
      <c r="E728" s="56">
        <v>33907.74</v>
      </c>
      <c r="F728" s="56">
        <v>97369.7</v>
      </c>
      <c r="G728" s="56">
        <v>330199.42</v>
      </c>
      <c r="H728" s="46">
        <v>862486.41</v>
      </c>
      <c r="I728" s="46">
        <v>1479025.03</v>
      </c>
      <c r="J728" s="46">
        <v>3506129.9</v>
      </c>
      <c r="K728" s="46">
        <v>11164062.470000001</v>
      </c>
      <c r="L728" s="46">
        <v>19897981.219999999</v>
      </c>
      <c r="M728" s="46"/>
      <c r="O728" s="46"/>
    </row>
    <row r="729" spans="1:15" x14ac:dyDescent="0.2">
      <c r="A729" s="5">
        <v>701</v>
      </c>
      <c r="B729" s="28">
        <f t="shared" ca="1" si="44"/>
        <v>891106.03172868839</v>
      </c>
      <c r="C729" s="29">
        <f t="shared" ca="1" si="43"/>
        <v>-0.71459478036305013</v>
      </c>
      <c r="D729" s="30">
        <f t="shared" ca="1" si="45"/>
        <v>-2.5006543079094824E-2</v>
      </c>
      <c r="E729" s="56">
        <v>94625.56</v>
      </c>
      <c r="F729" s="56">
        <v>172495.28</v>
      </c>
      <c r="G729" s="56">
        <v>181366.64</v>
      </c>
      <c r="H729" s="46">
        <v>359579.11</v>
      </c>
      <c r="I729" s="46">
        <v>744521.85</v>
      </c>
      <c r="J729" s="46">
        <v>1002895.48</v>
      </c>
      <c r="K729" s="46">
        <v>1447658.03</v>
      </c>
      <c r="L729" s="46">
        <v>1698376.16</v>
      </c>
      <c r="M729" s="46"/>
      <c r="O729" s="46"/>
    </row>
    <row r="730" spans="1:15" x14ac:dyDescent="0.2">
      <c r="A730" s="5">
        <v>702</v>
      </c>
      <c r="B730" s="28">
        <f t="shared" ca="1" si="44"/>
        <v>950133.87192866567</v>
      </c>
      <c r="C730" s="29">
        <f t="shared" ca="1" si="43"/>
        <v>1.5039377826241285</v>
      </c>
      <c r="D730" s="30">
        <f t="shared" ca="1" si="45"/>
        <v>6.5564669538697995E-2</v>
      </c>
      <c r="E730" s="56">
        <v>67431.399999999994</v>
      </c>
      <c r="F730" s="56">
        <v>111165.22</v>
      </c>
      <c r="G730" s="56">
        <v>232073.82</v>
      </c>
      <c r="H730" s="46">
        <v>475643.56</v>
      </c>
      <c r="I730" s="46">
        <v>836461.28</v>
      </c>
      <c r="J730" s="46">
        <v>1516120.58</v>
      </c>
      <c r="K730" s="46">
        <v>3433086.67</v>
      </c>
      <c r="L730" s="46">
        <v>5101248.47</v>
      </c>
      <c r="M730" s="46"/>
      <c r="O730" s="46"/>
    </row>
    <row r="731" spans="1:15" x14ac:dyDescent="0.2">
      <c r="A731" s="5">
        <v>703</v>
      </c>
      <c r="B731" s="28">
        <f t="shared" ca="1" si="44"/>
        <v>909211.9752318965</v>
      </c>
      <c r="C731" s="29">
        <f t="shared" ca="1" si="43"/>
        <v>-1.1725874220596668</v>
      </c>
      <c r="D731" s="30">
        <f t="shared" ca="1" si="45"/>
        <v>-4.3704014380862057E-2</v>
      </c>
      <c r="E731" s="56">
        <v>102046.76</v>
      </c>
      <c r="F731" s="56">
        <v>221137.89</v>
      </c>
      <c r="G731" s="56">
        <v>480697.1</v>
      </c>
      <c r="H731" s="46">
        <v>636903.52</v>
      </c>
      <c r="I731" s="46">
        <v>1045679.64</v>
      </c>
      <c r="J731" s="46">
        <v>991077.49</v>
      </c>
      <c r="K731" s="46">
        <v>1438494.4</v>
      </c>
      <c r="L731" s="46">
        <v>1617996.42</v>
      </c>
      <c r="M731" s="46"/>
      <c r="O731" s="46"/>
    </row>
    <row r="732" spans="1:15" x14ac:dyDescent="0.2">
      <c r="A732" s="5">
        <v>704</v>
      </c>
      <c r="B732" s="28">
        <f t="shared" ca="1" si="44"/>
        <v>884605.00461183186</v>
      </c>
      <c r="C732" s="29">
        <f t="shared" ca="1" si="43"/>
        <v>-0.78123257552943204</v>
      </c>
      <c r="D732" s="30">
        <f t="shared" ca="1" si="45"/>
        <v>-2.7727019674790472E-2</v>
      </c>
      <c r="E732" s="56">
        <v>69053.02</v>
      </c>
      <c r="F732" s="56">
        <v>338309.35</v>
      </c>
      <c r="G732" s="56">
        <v>694746.24</v>
      </c>
      <c r="H732" s="46">
        <v>1578380.7</v>
      </c>
      <c r="I732" s="46">
        <v>2683115.2799999998</v>
      </c>
      <c r="J732" s="46">
        <v>3863841.32</v>
      </c>
      <c r="K732" s="46">
        <v>4244991.03</v>
      </c>
      <c r="L732" s="46">
        <v>12899098.619999999</v>
      </c>
      <c r="M732" s="46"/>
      <c r="O732" s="46"/>
    </row>
    <row r="733" spans="1:15" x14ac:dyDescent="0.2">
      <c r="A733" s="5">
        <v>705</v>
      </c>
      <c r="B733" s="28">
        <f t="shared" ca="1" si="44"/>
        <v>879822.54076402355</v>
      </c>
      <c r="C733" s="29">
        <f t="shared" ca="1" si="43"/>
        <v>-0.25118025965053076</v>
      </c>
      <c r="D733" s="30">
        <f t="shared" ca="1" si="45"/>
        <v>-6.0877244933931754E-3</v>
      </c>
      <c r="E733" s="56">
        <v>44876.59</v>
      </c>
      <c r="F733" s="56">
        <v>165161.89000000001</v>
      </c>
      <c r="G733" s="56">
        <v>157900.66</v>
      </c>
      <c r="H733" s="46">
        <v>248578.48</v>
      </c>
      <c r="I733" s="46">
        <v>368693.03</v>
      </c>
      <c r="J733" s="46">
        <v>222786.32</v>
      </c>
      <c r="K733" s="46">
        <v>347165.13</v>
      </c>
      <c r="L733" s="46">
        <v>335721.9</v>
      </c>
      <c r="M733" s="46"/>
      <c r="O733" s="46"/>
    </row>
    <row r="734" spans="1:15" x14ac:dyDescent="0.2">
      <c r="A734" s="5">
        <v>706</v>
      </c>
      <c r="B734" s="28">
        <f t="shared" ca="1" si="44"/>
        <v>862094.39015505882</v>
      </c>
      <c r="C734" s="29">
        <f t="shared" ca="1" si="43"/>
        <v>-0.61240812886370422</v>
      </c>
      <c r="D734" s="30">
        <f t="shared" ca="1" si="45"/>
        <v>-2.0834790500811374E-2</v>
      </c>
      <c r="E734" s="56">
        <v>57157.53</v>
      </c>
      <c r="F734" s="56">
        <v>116905.07</v>
      </c>
      <c r="G734" s="56">
        <v>126846.83</v>
      </c>
      <c r="H734" s="46">
        <v>142132.57</v>
      </c>
      <c r="I734" s="46">
        <v>337802.68</v>
      </c>
      <c r="J734" s="46">
        <v>531631.26</v>
      </c>
      <c r="K734" s="46">
        <v>938914.69</v>
      </c>
      <c r="L734" s="46">
        <v>2019095.63</v>
      </c>
      <c r="M734" s="46"/>
      <c r="O734" s="46"/>
    </row>
    <row r="735" spans="1:15" x14ac:dyDescent="0.2">
      <c r="A735" s="5">
        <v>707</v>
      </c>
      <c r="B735" s="28">
        <f t="shared" ca="1" si="44"/>
        <v>858251.5024040885</v>
      </c>
      <c r="C735" s="29">
        <f t="shared" ref="C735:C798" ca="1" si="46">NORMSINV(RAND())</f>
        <v>-0.22837756156392355</v>
      </c>
      <c r="D735" s="30">
        <f t="shared" ca="1" si="45"/>
        <v>-5.1568082422110756E-3</v>
      </c>
      <c r="E735" s="56">
        <v>83027.12</v>
      </c>
      <c r="F735" s="56">
        <v>379581.43</v>
      </c>
      <c r="G735" s="56">
        <v>931273.15</v>
      </c>
      <c r="H735" s="46">
        <v>1303043.98</v>
      </c>
      <c r="I735" s="46">
        <v>5451489.7699999996</v>
      </c>
      <c r="J735" s="46">
        <v>4807770.58</v>
      </c>
      <c r="K735" s="46">
        <v>2956424.8</v>
      </c>
      <c r="L735" s="46">
        <v>1603477.71</v>
      </c>
      <c r="M735" s="46"/>
      <c r="O735" s="46"/>
    </row>
    <row r="736" spans="1:15" x14ac:dyDescent="0.2">
      <c r="A736" s="5">
        <v>708</v>
      </c>
      <c r="B736" s="28">
        <f t="shared" ca="1" si="44"/>
        <v>897587.93924777873</v>
      </c>
      <c r="C736" s="29">
        <f t="shared" ca="1" si="46"/>
        <v>1.0034148765998159</v>
      </c>
      <c r="D736" s="30">
        <f t="shared" ca="1" si="45"/>
        <v>4.5130907466454956E-2</v>
      </c>
      <c r="E736" s="56">
        <v>56177.120000000003</v>
      </c>
      <c r="F736" s="56">
        <v>173998.36</v>
      </c>
      <c r="G736" s="56">
        <v>477675.76</v>
      </c>
      <c r="H736" s="46">
        <v>720309.48</v>
      </c>
      <c r="I736" s="46">
        <v>761672.65</v>
      </c>
      <c r="J736" s="46">
        <v>1145449.28</v>
      </c>
      <c r="K736" s="46">
        <v>2437291.91</v>
      </c>
      <c r="L736" s="46">
        <v>3845373.5</v>
      </c>
      <c r="M736" s="46"/>
      <c r="O736" s="46"/>
    </row>
    <row r="737" spans="1:15" x14ac:dyDescent="0.2">
      <c r="A737" s="5">
        <v>709</v>
      </c>
      <c r="B737" s="28">
        <f t="shared" ca="1" si="44"/>
        <v>878924.89323943411</v>
      </c>
      <c r="C737" s="29">
        <f t="shared" ca="1" si="46"/>
        <v>-0.62782017402921997</v>
      </c>
      <c r="D737" s="30">
        <f t="shared" ca="1" si="45"/>
        <v>-2.1463984609948739E-2</v>
      </c>
      <c r="E737" s="56">
        <v>31763.63</v>
      </c>
      <c r="F737" s="56">
        <v>82941.460000000006</v>
      </c>
      <c r="G737" s="56">
        <v>204393.58</v>
      </c>
      <c r="H737" s="46">
        <v>449562.57</v>
      </c>
      <c r="I737" s="46">
        <v>605514.93999999994</v>
      </c>
      <c r="J737" s="46">
        <v>750262.79</v>
      </c>
      <c r="K737" s="46">
        <v>918560.32</v>
      </c>
      <c r="L737" s="46">
        <v>846061.92</v>
      </c>
      <c r="M737" s="46"/>
      <c r="O737" s="46"/>
    </row>
    <row r="738" spans="1:15" x14ac:dyDescent="0.2">
      <c r="A738" s="5">
        <v>710</v>
      </c>
      <c r="B738" s="28">
        <f t="shared" ca="1" si="44"/>
        <v>882425.75242139178</v>
      </c>
      <c r="C738" s="29">
        <f t="shared" ca="1" si="46"/>
        <v>-2.1294701032420368E-2</v>
      </c>
      <c r="D738" s="30">
        <f t="shared" ca="1" si="45"/>
        <v>3.2973141374241992E-3</v>
      </c>
      <c r="E738" s="56">
        <v>71978.25</v>
      </c>
      <c r="F738" s="56">
        <v>275392.99</v>
      </c>
      <c r="G738" s="56">
        <v>259653.26</v>
      </c>
      <c r="H738" s="46">
        <v>643556.54</v>
      </c>
      <c r="I738" s="46">
        <v>999859.43</v>
      </c>
      <c r="J738" s="46">
        <v>1922651.43</v>
      </c>
      <c r="K738" s="46">
        <v>3450341.93</v>
      </c>
      <c r="L738" s="46">
        <v>6148856.4400000004</v>
      </c>
      <c r="M738" s="46"/>
      <c r="O738" s="46"/>
    </row>
    <row r="739" spans="1:15" x14ac:dyDescent="0.2">
      <c r="A739" s="5">
        <v>711</v>
      </c>
      <c r="B739" s="28">
        <f t="shared" ca="1" si="44"/>
        <v>900711.89499669592</v>
      </c>
      <c r="C739" s="29">
        <f t="shared" ca="1" si="46"/>
        <v>0.38880353553198571</v>
      </c>
      <c r="D739" s="30">
        <f t="shared" ca="1" si="45"/>
        <v>2.0039504537390566E-2</v>
      </c>
      <c r="E739" s="56">
        <v>55295.83</v>
      </c>
      <c r="F739" s="56">
        <v>208330.47</v>
      </c>
      <c r="G739" s="56">
        <v>369444.78</v>
      </c>
      <c r="H739" s="46">
        <v>613919.07999999996</v>
      </c>
      <c r="I739" s="46">
        <v>722024.32</v>
      </c>
      <c r="J739" s="46">
        <v>589322.1</v>
      </c>
      <c r="K739" s="46">
        <v>1118059.9099999999</v>
      </c>
      <c r="L739" s="46">
        <v>4140002.27</v>
      </c>
      <c r="M739" s="46"/>
      <c r="O739" s="46"/>
    </row>
    <row r="740" spans="1:15" x14ac:dyDescent="0.2">
      <c r="A740" s="5">
        <v>712</v>
      </c>
      <c r="B740" s="28">
        <f t="shared" ca="1" si="44"/>
        <v>877722.85470789194</v>
      </c>
      <c r="C740" s="29">
        <f t="shared" ca="1" si="46"/>
        <v>-0.74364227176023001</v>
      </c>
      <c r="D740" s="30">
        <f t="shared" ca="1" si="45"/>
        <v>-2.6192401949611071E-2</v>
      </c>
      <c r="E740" s="56">
        <v>39862.480000000003</v>
      </c>
      <c r="F740" s="56">
        <v>131301.19</v>
      </c>
      <c r="G740" s="56">
        <v>160464.19</v>
      </c>
      <c r="H740" s="46">
        <v>369273.47</v>
      </c>
      <c r="I740" s="46">
        <v>588004.43999999994</v>
      </c>
      <c r="J740" s="46">
        <v>778216.01</v>
      </c>
      <c r="K740" s="46">
        <v>832345.01</v>
      </c>
      <c r="L740" s="46">
        <v>1648185.05</v>
      </c>
      <c r="M740" s="46"/>
      <c r="O740" s="46"/>
    </row>
    <row r="741" spans="1:15" x14ac:dyDescent="0.2">
      <c r="A741" s="5">
        <v>713</v>
      </c>
      <c r="B741" s="28">
        <f t="shared" ref="B741:B804" ca="1" si="47">(B740*(1+D741))+($C$6*(1+$C$8)^19)</f>
        <v>938317.20278014219</v>
      </c>
      <c r="C741" s="29">
        <f t="shared" ca="1" si="46"/>
        <v>1.5721424894836662</v>
      </c>
      <c r="D741" s="30">
        <f t="shared" ca="1" si="45"/>
        <v>6.8349115036397512E-2</v>
      </c>
      <c r="E741" s="56">
        <v>44792.27</v>
      </c>
      <c r="F741" s="56">
        <v>130851.67</v>
      </c>
      <c r="G741" s="56">
        <v>661780.19999999995</v>
      </c>
      <c r="H741" s="46">
        <v>1956735.91</v>
      </c>
      <c r="I741" s="46">
        <v>4595680.63</v>
      </c>
      <c r="J741" s="46">
        <v>7623228.8799999999</v>
      </c>
      <c r="K741" s="46">
        <v>19832922.289999999</v>
      </c>
      <c r="L741" s="46">
        <v>26548790.52</v>
      </c>
      <c r="M741" s="46"/>
      <c r="O741" s="46"/>
    </row>
    <row r="742" spans="1:15" x14ac:dyDescent="0.2">
      <c r="A742" s="5">
        <v>714</v>
      </c>
      <c r="B742" s="28">
        <f t="shared" ca="1" si="47"/>
        <v>944895.19479269534</v>
      </c>
      <c r="C742" s="29">
        <f t="shared" ca="1" si="46"/>
        <v>5.3921965692071444E-2</v>
      </c>
      <c r="D742" s="30">
        <f t="shared" ca="1" si="45"/>
        <v>6.3680216978905906E-3</v>
      </c>
      <c r="E742" s="56">
        <v>60080.65</v>
      </c>
      <c r="F742" s="56">
        <v>74463.86</v>
      </c>
      <c r="G742" s="56">
        <v>217558.71</v>
      </c>
      <c r="H742" s="46">
        <v>438658.4</v>
      </c>
      <c r="I742" s="46">
        <v>895670.39</v>
      </c>
      <c r="J742" s="46">
        <v>1993189.39</v>
      </c>
      <c r="K742" s="46">
        <v>3340753.38</v>
      </c>
      <c r="L742" s="46">
        <v>5308678.24</v>
      </c>
      <c r="M742" s="46"/>
      <c r="O742" s="46"/>
    </row>
    <row r="743" spans="1:15" x14ac:dyDescent="0.2">
      <c r="A743" s="5">
        <v>715</v>
      </c>
      <c r="B743" s="28">
        <f t="shared" ca="1" si="47"/>
        <v>998237.33608884655</v>
      </c>
      <c r="C743" s="29">
        <f t="shared" ca="1" si="46"/>
        <v>1.2651218792386272</v>
      </c>
      <c r="D743" s="30">
        <f t="shared" ca="1" si="45"/>
        <v>5.5815051109426597E-2</v>
      </c>
      <c r="E743" s="56">
        <v>47254.1</v>
      </c>
      <c r="F743" s="56">
        <v>71043.94</v>
      </c>
      <c r="G743" s="56">
        <v>88960.88</v>
      </c>
      <c r="H743" s="46">
        <v>215123.83</v>
      </c>
      <c r="I743" s="46">
        <v>419987.37</v>
      </c>
      <c r="J743" s="46">
        <v>746370.37</v>
      </c>
      <c r="K743" s="46">
        <v>1612099.34</v>
      </c>
      <c r="L743" s="46">
        <v>1446645.97</v>
      </c>
      <c r="M743" s="46"/>
      <c r="O743" s="46"/>
    </row>
    <row r="744" spans="1:15" x14ac:dyDescent="0.2">
      <c r="A744" s="5">
        <v>716</v>
      </c>
      <c r="B744" s="28">
        <f t="shared" ca="1" si="47"/>
        <v>909038.02518523857</v>
      </c>
      <c r="C744" s="29">
        <f t="shared" ca="1" si="46"/>
        <v>-2.3056389423819481</v>
      </c>
      <c r="D744" s="30">
        <f t="shared" ca="1" si="45"/>
        <v>-8.9960648998767295E-2</v>
      </c>
      <c r="E744" s="56">
        <v>56204.639999999999</v>
      </c>
      <c r="F744" s="56">
        <v>168885.72</v>
      </c>
      <c r="G744" s="56">
        <v>180758.6</v>
      </c>
      <c r="H744" s="46">
        <v>497392.14</v>
      </c>
      <c r="I744" s="46">
        <v>1213704.45</v>
      </c>
      <c r="J744" s="46">
        <v>1997583.08</v>
      </c>
      <c r="K744" s="46">
        <v>3185111.23</v>
      </c>
      <c r="L744" s="46">
        <v>2010022.07</v>
      </c>
      <c r="M744" s="46"/>
      <c r="O744" s="46"/>
    </row>
    <row r="745" spans="1:15" x14ac:dyDescent="0.2">
      <c r="A745" s="5">
        <v>717</v>
      </c>
      <c r="B745" s="28">
        <f t="shared" ca="1" si="47"/>
        <v>907369.77692711307</v>
      </c>
      <c r="C745" s="29">
        <f t="shared" ca="1" si="46"/>
        <v>-0.16325676585297175</v>
      </c>
      <c r="D745" s="30">
        <f t="shared" ca="1" si="45"/>
        <v>-2.4982628899468222E-3</v>
      </c>
      <c r="E745" s="56">
        <v>55543.66</v>
      </c>
      <c r="F745" s="56">
        <v>204090.85</v>
      </c>
      <c r="G745" s="56">
        <v>316574.14</v>
      </c>
      <c r="H745" s="46">
        <v>647822.79</v>
      </c>
      <c r="I745" s="46">
        <v>1023544.55</v>
      </c>
      <c r="J745" s="46">
        <v>2321310.46</v>
      </c>
      <c r="K745" s="46">
        <v>2174971.67</v>
      </c>
      <c r="L745" s="46">
        <v>3009563.19</v>
      </c>
      <c r="M745" s="46"/>
      <c r="O745" s="46"/>
    </row>
    <row r="746" spans="1:15" x14ac:dyDescent="0.2">
      <c r="A746" s="5">
        <v>718</v>
      </c>
      <c r="B746" s="28">
        <f t="shared" ca="1" si="47"/>
        <v>870332.55893853365</v>
      </c>
      <c r="C746" s="29">
        <f t="shared" ca="1" si="46"/>
        <v>-1.1181721660003061</v>
      </c>
      <c r="D746" s="30">
        <f t="shared" ca="1" si="45"/>
        <v>-4.1482520854723322E-2</v>
      </c>
      <c r="E746" s="56">
        <v>66799.42</v>
      </c>
      <c r="F746" s="56">
        <v>189698.59</v>
      </c>
      <c r="G746" s="56">
        <v>671721.69</v>
      </c>
      <c r="H746" s="46">
        <v>826138.38</v>
      </c>
      <c r="I746" s="46">
        <v>501118.5</v>
      </c>
      <c r="J746" s="46">
        <v>608707.69999999995</v>
      </c>
      <c r="K746" s="46">
        <v>701008.97</v>
      </c>
      <c r="L746" s="46">
        <v>2017674.43</v>
      </c>
      <c r="M746" s="46"/>
      <c r="O746" s="46"/>
    </row>
    <row r="747" spans="1:15" x14ac:dyDescent="0.2">
      <c r="A747" s="5">
        <v>719</v>
      </c>
      <c r="B747" s="28">
        <f t="shared" ca="1" si="47"/>
        <v>867667.40679818427</v>
      </c>
      <c r="C747" s="29">
        <f t="shared" ca="1" si="46"/>
        <v>-0.194035377084882</v>
      </c>
      <c r="D747" s="30">
        <f t="shared" ca="1" si="45"/>
        <v>-3.7547944317747441E-3</v>
      </c>
      <c r="E747" s="56">
        <v>51201.13</v>
      </c>
      <c r="F747" s="56">
        <v>80208.11</v>
      </c>
      <c r="G747" s="56">
        <v>413082.64</v>
      </c>
      <c r="H747" s="46">
        <v>939735.14</v>
      </c>
      <c r="I747" s="46">
        <v>1562446.1</v>
      </c>
      <c r="J747" s="46">
        <v>1486715.83</v>
      </c>
      <c r="K747" s="46">
        <v>1336204.9099999999</v>
      </c>
      <c r="L747" s="46">
        <v>1015686.66</v>
      </c>
      <c r="M747" s="46"/>
      <c r="O747" s="46"/>
    </row>
    <row r="748" spans="1:15" x14ac:dyDescent="0.2">
      <c r="A748" s="5">
        <v>720</v>
      </c>
      <c r="B748" s="28">
        <f t="shared" ca="1" si="47"/>
        <v>867681.35609959986</v>
      </c>
      <c r="C748" s="29">
        <f t="shared" ca="1" si="46"/>
        <v>-0.11868485492249269</v>
      </c>
      <c r="D748" s="30">
        <f t="shared" ca="1" si="45"/>
        <v>-6.7862224593925706E-4</v>
      </c>
      <c r="E748" s="56">
        <v>59227.64</v>
      </c>
      <c r="F748" s="56">
        <v>72477.179999999993</v>
      </c>
      <c r="G748" s="56">
        <v>114452.84</v>
      </c>
      <c r="H748" s="46">
        <v>330306.96000000002</v>
      </c>
      <c r="I748" s="46">
        <v>482363.48</v>
      </c>
      <c r="J748" s="46">
        <v>1016860.5</v>
      </c>
      <c r="K748" s="46">
        <v>827636.2</v>
      </c>
      <c r="L748" s="46">
        <v>1537340.82</v>
      </c>
      <c r="M748" s="46"/>
      <c r="O748" s="46"/>
    </row>
    <row r="749" spans="1:15" x14ac:dyDescent="0.2">
      <c r="A749" s="5">
        <v>721</v>
      </c>
      <c r="B749" s="28">
        <f t="shared" ca="1" si="47"/>
        <v>826093.2688370063</v>
      </c>
      <c r="C749" s="29">
        <f t="shared" ca="1" si="46"/>
        <v>-1.2931221980606318</v>
      </c>
      <c r="D749" s="30">
        <f t="shared" ca="1" si="45"/>
        <v>-4.8624826005245918E-2</v>
      </c>
      <c r="E749" s="56">
        <v>40658.199999999997</v>
      </c>
      <c r="F749" s="56">
        <v>87218.02</v>
      </c>
      <c r="G749" s="56">
        <v>266436.84000000003</v>
      </c>
      <c r="H749" s="46">
        <v>376437.53</v>
      </c>
      <c r="I749" s="46">
        <v>568159.73</v>
      </c>
      <c r="J749" s="46">
        <v>822467.59</v>
      </c>
      <c r="K749" s="46">
        <v>619888.89</v>
      </c>
      <c r="L749" s="46">
        <v>1184546.77</v>
      </c>
      <c r="M749" s="46"/>
      <c r="O749" s="46"/>
    </row>
    <row r="750" spans="1:15" x14ac:dyDescent="0.2">
      <c r="A750" s="5">
        <v>722</v>
      </c>
      <c r="B750" s="28">
        <f t="shared" ca="1" si="47"/>
        <v>819560.1997527557</v>
      </c>
      <c r="C750" s="29">
        <f t="shared" ca="1" si="46"/>
        <v>-0.31365027557853514</v>
      </c>
      <c r="D750" s="30">
        <f t="shared" ca="1" si="45"/>
        <v>-8.6380522141789838E-3</v>
      </c>
      <c r="E750" s="56">
        <v>57266.51</v>
      </c>
      <c r="F750" s="56">
        <v>204033.07</v>
      </c>
      <c r="G750" s="56">
        <v>221535.81</v>
      </c>
      <c r="H750" s="46">
        <v>300241.84999999998</v>
      </c>
      <c r="I750" s="46">
        <v>353049.59</v>
      </c>
      <c r="J750" s="46">
        <v>1189880.3500000001</v>
      </c>
      <c r="K750" s="46">
        <v>1992238.06</v>
      </c>
      <c r="L750" s="46">
        <v>10323235.15</v>
      </c>
      <c r="M750" s="46"/>
      <c r="O750" s="46"/>
    </row>
    <row r="751" spans="1:15" x14ac:dyDescent="0.2">
      <c r="A751" s="5">
        <v>723</v>
      </c>
      <c r="B751" s="28">
        <f t="shared" ca="1" si="47"/>
        <v>845289.64055612066</v>
      </c>
      <c r="C751" s="29">
        <f t="shared" ca="1" si="46"/>
        <v>0.64892032064145178</v>
      </c>
      <c r="D751" s="30">
        <f t="shared" ca="1" si="45"/>
        <v>3.065872782158012E-2</v>
      </c>
      <c r="E751" s="56">
        <v>60920.63</v>
      </c>
      <c r="F751" s="56">
        <v>92440.16</v>
      </c>
      <c r="G751" s="56">
        <v>220008.94</v>
      </c>
      <c r="H751" s="46">
        <v>324506.62</v>
      </c>
      <c r="I751" s="46">
        <v>1011819.26</v>
      </c>
      <c r="J751" s="46">
        <v>1704252.7</v>
      </c>
      <c r="K751" s="46">
        <v>3086270.19</v>
      </c>
      <c r="L751" s="46">
        <v>4069040.88</v>
      </c>
      <c r="M751" s="46"/>
      <c r="O751" s="46"/>
    </row>
    <row r="752" spans="1:15" x14ac:dyDescent="0.2">
      <c r="A752" s="5">
        <v>724</v>
      </c>
      <c r="B752" s="28">
        <f t="shared" ca="1" si="47"/>
        <v>817519.97947162634</v>
      </c>
      <c r="C752" s="29">
        <f t="shared" ca="1" si="46"/>
        <v>-0.92424147675269441</v>
      </c>
      <c r="D752" s="30">
        <f t="shared" ca="1" si="45"/>
        <v>-3.3565333619341706E-2</v>
      </c>
      <c r="E752" s="56">
        <v>48313.03</v>
      </c>
      <c r="F752" s="56">
        <v>144511.97</v>
      </c>
      <c r="G752" s="56">
        <v>165443.34</v>
      </c>
      <c r="H752" s="46">
        <v>351585.07</v>
      </c>
      <c r="I752" s="46">
        <v>856331.54</v>
      </c>
      <c r="J752" s="46">
        <v>1148948.8500000001</v>
      </c>
      <c r="K752" s="46">
        <v>1827100.62</v>
      </c>
      <c r="L752" s="46">
        <v>4678272.9800000004</v>
      </c>
      <c r="M752" s="46"/>
      <c r="O752" s="46"/>
    </row>
    <row r="753" spans="1:15" x14ac:dyDescent="0.2">
      <c r="A753" s="5">
        <v>725</v>
      </c>
      <c r="B753" s="28">
        <f t="shared" ca="1" si="47"/>
        <v>817859.4764835994</v>
      </c>
      <c r="C753" s="29">
        <f t="shared" ca="1" si="46"/>
        <v>-0.1099503063003248</v>
      </c>
      <c r="D753" s="30">
        <f t="shared" ca="1" si="45"/>
        <v>-3.2203579164190484E-4</v>
      </c>
      <c r="E753" s="56">
        <v>50312.92</v>
      </c>
      <c r="F753" s="56">
        <v>187356.99</v>
      </c>
      <c r="G753" s="56">
        <v>131761.18</v>
      </c>
      <c r="H753" s="46">
        <v>183419.76</v>
      </c>
      <c r="I753" s="46">
        <v>556048.30000000005</v>
      </c>
      <c r="J753" s="46">
        <v>1011729.59</v>
      </c>
      <c r="K753" s="46">
        <v>748882.85</v>
      </c>
      <c r="L753" s="46">
        <v>1097080.67</v>
      </c>
      <c r="M753" s="46"/>
      <c r="O753" s="46"/>
    </row>
    <row r="754" spans="1:15" x14ac:dyDescent="0.2">
      <c r="A754" s="5">
        <v>726</v>
      </c>
      <c r="B754" s="28">
        <f t="shared" ca="1" si="47"/>
        <v>820620.41803170566</v>
      </c>
      <c r="C754" s="29">
        <f t="shared" ca="1" si="46"/>
        <v>-3.742474992166548E-2</v>
      </c>
      <c r="D754" s="30">
        <f t="shared" ca="1" si="45"/>
        <v>2.6388076490109144E-3</v>
      </c>
      <c r="E754" s="56">
        <v>75902.210000000006</v>
      </c>
      <c r="F754" s="56">
        <v>146153.70000000001</v>
      </c>
      <c r="G754" s="56">
        <v>372822.27</v>
      </c>
      <c r="H754" s="46">
        <v>595552.69999999995</v>
      </c>
      <c r="I754" s="46">
        <v>1114772.8899999999</v>
      </c>
      <c r="J754" s="46">
        <v>2031854.21</v>
      </c>
      <c r="K754" s="46">
        <v>5182995.72</v>
      </c>
      <c r="L754" s="46">
        <v>6091866.4199999999</v>
      </c>
      <c r="M754" s="46"/>
      <c r="O754" s="46"/>
    </row>
    <row r="755" spans="1:15" x14ac:dyDescent="0.2">
      <c r="A755" s="5">
        <v>727</v>
      </c>
      <c r="B755" s="28">
        <f t="shared" ca="1" si="47"/>
        <v>840619.58420992945</v>
      </c>
      <c r="C755" s="29">
        <f t="shared" ca="1" si="46"/>
        <v>0.47690571884149457</v>
      </c>
      <c r="D755" s="30">
        <f t="shared" ca="1" si="45"/>
        <v>2.3636261109614653E-2</v>
      </c>
      <c r="E755" s="56">
        <v>48573.65</v>
      </c>
      <c r="F755" s="56">
        <v>108078.33</v>
      </c>
      <c r="G755" s="56">
        <v>385330.15</v>
      </c>
      <c r="H755" s="46">
        <v>882752.15</v>
      </c>
      <c r="I755" s="46">
        <v>2214494.34</v>
      </c>
      <c r="J755" s="46">
        <v>2478013.37</v>
      </c>
      <c r="K755" s="46">
        <v>3384367.01</v>
      </c>
      <c r="L755" s="46">
        <v>2496462.1800000002</v>
      </c>
      <c r="M755" s="46"/>
      <c r="O755" s="46"/>
    </row>
    <row r="756" spans="1:15" x14ac:dyDescent="0.2">
      <c r="A756" s="5">
        <v>728</v>
      </c>
      <c r="B756" s="28">
        <f t="shared" ca="1" si="47"/>
        <v>850667.76816070767</v>
      </c>
      <c r="C756" s="29">
        <f t="shared" ca="1" si="46"/>
        <v>0.17316884804204641</v>
      </c>
      <c r="D756" s="30">
        <f t="shared" ca="1" si="45"/>
        <v>1.1236255284142859E-2</v>
      </c>
      <c r="E756" s="56">
        <v>39481.65</v>
      </c>
      <c r="F756" s="56">
        <v>204267.86</v>
      </c>
      <c r="G756" s="56">
        <v>405415.86</v>
      </c>
      <c r="H756" s="46">
        <v>866439.75</v>
      </c>
      <c r="I756" s="46">
        <v>1170804.52</v>
      </c>
      <c r="J756" s="46">
        <v>1000150.1</v>
      </c>
      <c r="K756" s="46">
        <v>1691635.54</v>
      </c>
      <c r="L756" s="46">
        <v>1491920.7</v>
      </c>
      <c r="M756" s="46"/>
      <c r="O756" s="46"/>
    </row>
    <row r="757" spans="1:15" x14ac:dyDescent="0.2">
      <c r="A757" s="5">
        <v>729</v>
      </c>
      <c r="B757" s="28">
        <f t="shared" ca="1" si="47"/>
        <v>842800.8995359859</v>
      </c>
      <c r="C757" s="29">
        <f t="shared" ca="1" si="46"/>
        <v>-0.3459444447133575</v>
      </c>
      <c r="D757" s="30">
        <f t="shared" ca="1" si="45"/>
        <v>-9.9564561483031916E-3</v>
      </c>
      <c r="E757" s="56">
        <v>62274.79</v>
      </c>
      <c r="F757" s="56">
        <v>315200.45</v>
      </c>
      <c r="G757" s="56">
        <v>934093.51</v>
      </c>
      <c r="H757" s="46">
        <v>2176063.21</v>
      </c>
      <c r="I757" s="46">
        <v>2469816.06</v>
      </c>
      <c r="J757" s="46">
        <v>4517378.1399999997</v>
      </c>
      <c r="K757" s="46">
        <v>5319685.87</v>
      </c>
      <c r="L757" s="46">
        <v>7521036.75</v>
      </c>
      <c r="M757" s="46"/>
      <c r="O757" s="46"/>
    </row>
    <row r="758" spans="1:15" x14ac:dyDescent="0.2">
      <c r="A758" s="5">
        <v>730</v>
      </c>
      <c r="B758" s="28">
        <f t="shared" ca="1" si="47"/>
        <v>855237.16517031414</v>
      </c>
      <c r="C758" s="29">
        <f t="shared" ca="1" si="46"/>
        <v>0.24186294945352249</v>
      </c>
      <c r="D758" s="30">
        <f t="shared" ca="1" si="45"/>
        <v>1.4040680230761493E-2</v>
      </c>
      <c r="E758" s="56">
        <v>53154.559999999998</v>
      </c>
      <c r="F758" s="56">
        <v>97455.53</v>
      </c>
      <c r="G758" s="56">
        <v>285675.09000000003</v>
      </c>
      <c r="H758" s="46">
        <v>325150.59999999998</v>
      </c>
      <c r="I758" s="46">
        <v>621296.43000000005</v>
      </c>
      <c r="J758" s="46">
        <v>2048363.2</v>
      </c>
      <c r="K758" s="46">
        <v>3427215.07</v>
      </c>
      <c r="L758" s="46">
        <v>13284488.060000001</v>
      </c>
      <c r="M758" s="46"/>
      <c r="O758" s="46"/>
    </row>
    <row r="759" spans="1:15" x14ac:dyDescent="0.2">
      <c r="A759" s="5">
        <v>731</v>
      </c>
      <c r="B759" s="28">
        <f t="shared" ca="1" si="47"/>
        <v>893272.10665121628</v>
      </c>
      <c r="C759" s="29">
        <f t="shared" ca="1" si="46"/>
        <v>0.97003499526654091</v>
      </c>
      <c r="D759" s="30">
        <f t="shared" ca="1" si="45"/>
        <v>4.3768179517435349E-2</v>
      </c>
      <c r="E759" s="56">
        <v>85728.19</v>
      </c>
      <c r="F759" s="56">
        <v>314176.28999999998</v>
      </c>
      <c r="G759" s="56">
        <v>1897480.48</v>
      </c>
      <c r="H759" s="46">
        <v>1955466.47</v>
      </c>
      <c r="I759" s="46">
        <v>3548885.39</v>
      </c>
      <c r="J759" s="46">
        <v>7008420.2400000002</v>
      </c>
      <c r="K759" s="46">
        <v>16707214.91</v>
      </c>
      <c r="L759" s="46">
        <v>15254151.91</v>
      </c>
      <c r="M759" s="46"/>
      <c r="O759" s="46"/>
    </row>
    <row r="760" spans="1:15" x14ac:dyDescent="0.2">
      <c r="A760" s="5">
        <v>732</v>
      </c>
      <c r="B760" s="28">
        <f t="shared" ca="1" si="47"/>
        <v>957957.9598586451</v>
      </c>
      <c r="C760" s="29">
        <f t="shared" ca="1" si="46"/>
        <v>1.655194864586947</v>
      </c>
      <c r="D760" s="30">
        <f t="shared" ca="1" si="45"/>
        <v>7.1739714051885312E-2</v>
      </c>
      <c r="E760" s="56">
        <v>41861.64</v>
      </c>
      <c r="F760" s="56">
        <v>100850.35</v>
      </c>
      <c r="G760" s="56">
        <v>196052.36</v>
      </c>
      <c r="H760" s="46">
        <v>198706.17</v>
      </c>
      <c r="I760" s="46">
        <v>288139.44</v>
      </c>
      <c r="J760" s="46">
        <v>869063.35</v>
      </c>
      <c r="K760" s="46">
        <v>3094852.77</v>
      </c>
      <c r="L760" s="46">
        <v>2604259.56</v>
      </c>
      <c r="M760" s="46"/>
      <c r="O760" s="46"/>
    </row>
    <row r="761" spans="1:15" x14ac:dyDescent="0.2">
      <c r="A761" s="5">
        <v>733</v>
      </c>
      <c r="B761" s="28">
        <f t="shared" ca="1" si="47"/>
        <v>943036.33352684963</v>
      </c>
      <c r="C761" s="29">
        <f t="shared" ca="1" si="46"/>
        <v>-0.49901940844197284</v>
      </c>
      <c r="D761" s="30">
        <f t="shared" ca="1" si="45"/>
        <v>-1.6205715373805697E-2</v>
      </c>
      <c r="E761" s="56">
        <v>52334.37</v>
      </c>
      <c r="F761" s="56">
        <v>167117.75</v>
      </c>
      <c r="G761" s="56">
        <v>340023.63</v>
      </c>
      <c r="H761" s="46">
        <v>484751.53</v>
      </c>
      <c r="I761" s="46">
        <v>889976.11</v>
      </c>
      <c r="J761" s="46">
        <v>1609114.7</v>
      </c>
      <c r="K761" s="46">
        <v>1140161.8899999999</v>
      </c>
      <c r="L761" s="46">
        <v>1682065.77</v>
      </c>
      <c r="M761" s="46"/>
      <c r="O761" s="46"/>
    </row>
    <row r="762" spans="1:15" x14ac:dyDescent="0.2">
      <c r="A762" s="5">
        <v>734</v>
      </c>
      <c r="B762" s="28">
        <f t="shared" ca="1" si="47"/>
        <v>964469.96674284129</v>
      </c>
      <c r="C762" s="29">
        <f t="shared" ca="1" si="46"/>
        <v>0.43900924761425919</v>
      </c>
      <c r="D762" s="30">
        <f t="shared" ca="1" si="45"/>
        <v>2.2089144150301471E-2</v>
      </c>
      <c r="E762" s="56">
        <v>43154.42</v>
      </c>
      <c r="F762" s="56">
        <v>119590.43</v>
      </c>
      <c r="G762" s="56">
        <v>701080.15</v>
      </c>
      <c r="H762" s="46">
        <v>1011036.2</v>
      </c>
      <c r="I762" s="46">
        <v>2523890.96</v>
      </c>
      <c r="J762" s="46">
        <v>3181070.27</v>
      </c>
      <c r="K762" s="46">
        <v>3222130.53</v>
      </c>
      <c r="L762" s="46">
        <v>4221532.3499999996</v>
      </c>
      <c r="M762" s="46"/>
      <c r="O762" s="46"/>
    </row>
    <row r="763" spans="1:15" x14ac:dyDescent="0.2">
      <c r="A763" s="5">
        <v>735</v>
      </c>
      <c r="B763" s="28">
        <f t="shared" ca="1" si="47"/>
        <v>1011478.7730550261</v>
      </c>
      <c r="C763" s="29">
        <f t="shared" ca="1" si="46"/>
        <v>1.0765242959524401</v>
      </c>
      <c r="D763" s="30">
        <f t="shared" ca="1" si="45"/>
        <v>4.811558701320641E-2</v>
      </c>
      <c r="E763" s="56">
        <v>68602.44</v>
      </c>
      <c r="F763" s="56">
        <v>188601.07</v>
      </c>
      <c r="G763" s="56">
        <v>763647.11</v>
      </c>
      <c r="H763" s="46">
        <v>2426802.13</v>
      </c>
      <c r="I763" s="46">
        <v>7568253.9500000002</v>
      </c>
      <c r="J763" s="46">
        <v>9537347.1899999995</v>
      </c>
      <c r="K763" s="46">
        <v>13070454.24</v>
      </c>
      <c r="L763" s="46">
        <v>20393532</v>
      </c>
      <c r="M763" s="46"/>
      <c r="O763" s="46"/>
    </row>
    <row r="764" spans="1:15" x14ac:dyDescent="0.2">
      <c r="A764" s="5">
        <v>736</v>
      </c>
      <c r="B764" s="28">
        <f t="shared" ca="1" si="47"/>
        <v>1049656.7578358317</v>
      </c>
      <c r="C764" s="29">
        <f t="shared" ca="1" si="46"/>
        <v>0.80789383807722492</v>
      </c>
      <c r="D764" s="30">
        <f t="shared" ca="1" si="45"/>
        <v>3.7148794493798272E-2</v>
      </c>
      <c r="E764" s="56">
        <v>60224.800000000003</v>
      </c>
      <c r="F764" s="56">
        <v>166697.06</v>
      </c>
      <c r="G764" s="56">
        <v>1032824.89</v>
      </c>
      <c r="H764" s="46">
        <v>882629.08</v>
      </c>
      <c r="I764" s="46">
        <v>1965063.74</v>
      </c>
      <c r="J764" s="46">
        <v>4027629.68</v>
      </c>
      <c r="K764" s="46">
        <v>2604581.5099999998</v>
      </c>
      <c r="L764" s="46">
        <v>1552343.86</v>
      </c>
      <c r="M764" s="46"/>
      <c r="O764" s="46"/>
    </row>
    <row r="765" spans="1:15" x14ac:dyDescent="0.2">
      <c r="A765" s="5">
        <v>737</v>
      </c>
      <c r="B765" s="28">
        <f t="shared" ca="1" si="47"/>
        <v>1030254.7920355975</v>
      </c>
      <c r="C765" s="29">
        <f t="shared" ca="1" si="46"/>
        <v>-0.56889457918733521</v>
      </c>
      <c r="D765" s="30">
        <f t="shared" ref="D765:D828" ca="1" si="48">$D$20+(C765*$D$21)</f>
        <v>-1.9058357274072169E-2</v>
      </c>
      <c r="E765" s="56">
        <v>47299.78</v>
      </c>
      <c r="F765" s="56">
        <v>82766.62</v>
      </c>
      <c r="G765" s="56">
        <v>342273.84</v>
      </c>
      <c r="H765" s="46">
        <v>248695.52</v>
      </c>
      <c r="I765" s="46">
        <v>388907.91</v>
      </c>
      <c r="J765" s="46">
        <v>519767.19</v>
      </c>
      <c r="K765" s="46">
        <v>784000.6</v>
      </c>
      <c r="L765" s="46">
        <v>1196693.8899999999</v>
      </c>
      <c r="M765" s="46"/>
      <c r="O765" s="46"/>
    </row>
    <row r="766" spans="1:15" x14ac:dyDescent="0.2">
      <c r="A766" s="5">
        <v>738</v>
      </c>
      <c r="B766" s="28">
        <f t="shared" ca="1" si="47"/>
        <v>1050205.8045720574</v>
      </c>
      <c r="C766" s="29">
        <f t="shared" ca="1" si="46"/>
        <v>0.35795352372067035</v>
      </c>
      <c r="D766" s="30">
        <f t="shared" ca="1" si="48"/>
        <v>1.878005807911462E-2</v>
      </c>
      <c r="E766" s="56">
        <v>66441.95</v>
      </c>
      <c r="F766" s="56">
        <v>203818.94</v>
      </c>
      <c r="G766" s="56">
        <v>513156.81</v>
      </c>
      <c r="H766" s="46">
        <v>442679.06</v>
      </c>
      <c r="I766" s="46">
        <v>899871.08</v>
      </c>
      <c r="J766" s="46">
        <v>584452.92000000004</v>
      </c>
      <c r="K766" s="46">
        <v>569431.35</v>
      </c>
      <c r="L766" s="46">
        <v>707685.29</v>
      </c>
      <c r="M766" s="46"/>
      <c r="O766" s="46"/>
    </row>
    <row r="767" spans="1:15" x14ac:dyDescent="0.2">
      <c r="A767" s="5">
        <v>739</v>
      </c>
      <c r="B767" s="28">
        <f t="shared" ca="1" si="47"/>
        <v>1041193.8452101534</v>
      </c>
      <c r="C767" s="29">
        <f t="shared" ca="1" si="46"/>
        <v>-0.32631502598317458</v>
      </c>
      <c r="D767" s="30">
        <f t="shared" ca="1" si="48"/>
        <v>-9.1550884843635411E-3</v>
      </c>
      <c r="E767" s="56">
        <v>65663.97</v>
      </c>
      <c r="F767" s="56">
        <v>225066.28</v>
      </c>
      <c r="G767" s="56">
        <v>487308</v>
      </c>
      <c r="H767" s="46">
        <v>1472900.56</v>
      </c>
      <c r="I767" s="46">
        <v>5297173.13</v>
      </c>
      <c r="J767" s="46">
        <v>3734233.97</v>
      </c>
      <c r="K767" s="46">
        <v>4062217.3</v>
      </c>
      <c r="L767" s="46">
        <v>5033570.01</v>
      </c>
      <c r="M767" s="46"/>
      <c r="O767" s="46"/>
    </row>
    <row r="768" spans="1:15" x14ac:dyDescent="0.2">
      <c r="A768" s="5">
        <v>740</v>
      </c>
      <c r="B768" s="28">
        <f t="shared" ca="1" si="47"/>
        <v>1027762.3937043949</v>
      </c>
      <c r="C768" s="29">
        <f t="shared" ca="1" si="46"/>
        <v>-0.43222802744458494</v>
      </c>
      <c r="D768" s="30">
        <f t="shared" ca="1" si="48"/>
        <v>-1.3478968662815283E-2</v>
      </c>
      <c r="E768" s="56">
        <v>62049.17</v>
      </c>
      <c r="F768" s="56">
        <v>210858.63</v>
      </c>
      <c r="G768" s="56">
        <v>500096.76</v>
      </c>
      <c r="H768" s="46">
        <v>881561.54</v>
      </c>
      <c r="I768" s="46">
        <v>836612.33</v>
      </c>
      <c r="J768" s="46">
        <v>1159063.1599999999</v>
      </c>
      <c r="K768" s="46">
        <v>1119447.02</v>
      </c>
      <c r="L768" s="46">
        <v>922589.32</v>
      </c>
      <c r="M768" s="46"/>
      <c r="O768" s="46"/>
    </row>
    <row r="769" spans="1:15" x14ac:dyDescent="0.2">
      <c r="A769" s="5">
        <v>741</v>
      </c>
      <c r="B769" s="28">
        <f t="shared" ca="1" si="47"/>
        <v>1051929.3995889665</v>
      </c>
      <c r="C769" s="29">
        <f t="shared" ca="1" si="46"/>
        <v>0.45954983368750923</v>
      </c>
      <c r="D769" s="30">
        <f t="shared" ca="1" si="48"/>
        <v>2.292771006525449E-2</v>
      </c>
      <c r="E769" s="56">
        <v>65753.36</v>
      </c>
      <c r="F769" s="56">
        <v>119856.23</v>
      </c>
      <c r="G769" s="56">
        <v>317941.49</v>
      </c>
      <c r="H769" s="46">
        <v>703915.37</v>
      </c>
      <c r="I769" s="46">
        <v>859895.07</v>
      </c>
      <c r="J769" s="46">
        <v>1581884.73</v>
      </c>
      <c r="K769" s="46">
        <v>3376408.97</v>
      </c>
      <c r="L769" s="46">
        <v>2516832.04</v>
      </c>
      <c r="M769" s="46"/>
      <c r="O769" s="46"/>
    </row>
    <row r="770" spans="1:15" x14ac:dyDescent="0.2">
      <c r="A770" s="5">
        <v>742</v>
      </c>
      <c r="B770" s="28">
        <f t="shared" ca="1" si="47"/>
        <v>1019820.2505944431</v>
      </c>
      <c r="C770" s="29">
        <f t="shared" ca="1" si="46"/>
        <v>-0.86378148511071617</v>
      </c>
      <c r="D770" s="30">
        <f t="shared" ca="1" si="48"/>
        <v>-3.1097064796411999E-2</v>
      </c>
      <c r="E770" s="56">
        <v>95278.65</v>
      </c>
      <c r="F770" s="56">
        <v>201210.48</v>
      </c>
      <c r="G770" s="56">
        <v>569023.52</v>
      </c>
      <c r="H770" s="46">
        <v>990253.84</v>
      </c>
      <c r="I770" s="46">
        <v>2569695.9500000002</v>
      </c>
      <c r="J770" s="46">
        <v>4749406.99</v>
      </c>
      <c r="K770" s="46">
        <v>12204273.34</v>
      </c>
      <c r="L770" s="46">
        <v>18931096.43</v>
      </c>
      <c r="M770" s="46"/>
      <c r="O770" s="46"/>
    </row>
    <row r="771" spans="1:15" x14ac:dyDescent="0.2">
      <c r="A771" s="5">
        <v>743</v>
      </c>
      <c r="B771" s="28">
        <f t="shared" ca="1" si="47"/>
        <v>1067857.0093881877</v>
      </c>
      <c r="C771" s="29">
        <f t="shared" ca="1" si="46"/>
        <v>1.0372472768659409</v>
      </c>
      <c r="D771" s="30">
        <f t="shared" ca="1" si="48"/>
        <v>4.6512109423548428E-2</v>
      </c>
      <c r="E771" s="56">
        <v>58377.14</v>
      </c>
      <c r="F771" s="56">
        <v>149466.26999999999</v>
      </c>
      <c r="G771" s="56">
        <v>429679.15</v>
      </c>
      <c r="H771" s="46">
        <v>755455.19</v>
      </c>
      <c r="I771" s="46">
        <v>997421.84</v>
      </c>
      <c r="J771" s="46">
        <v>2975382.1</v>
      </c>
      <c r="K771" s="46">
        <v>5600801.3499999996</v>
      </c>
      <c r="L771" s="46">
        <v>7177069.8499999996</v>
      </c>
      <c r="M771" s="46"/>
      <c r="O771" s="46"/>
    </row>
    <row r="772" spans="1:15" x14ac:dyDescent="0.2">
      <c r="A772" s="5">
        <v>744</v>
      </c>
      <c r="B772" s="28">
        <f t="shared" ca="1" si="47"/>
        <v>1080098.7288693478</v>
      </c>
      <c r="C772" s="29">
        <f t="shared" ca="1" si="46"/>
        <v>0.16491649043117199</v>
      </c>
      <c r="D772" s="30">
        <f t="shared" ca="1" si="48"/>
        <v>1.0899354195449266E-2</v>
      </c>
      <c r="E772" s="56">
        <v>58317.41</v>
      </c>
      <c r="F772" s="56">
        <v>61046.25</v>
      </c>
      <c r="G772" s="56">
        <v>143979.6</v>
      </c>
      <c r="H772" s="46">
        <v>268535.19</v>
      </c>
      <c r="I772" s="46">
        <v>1335355.9099999999</v>
      </c>
      <c r="J772" s="46">
        <v>4211334.6399999997</v>
      </c>
      <c r="K772" s="46">
        <v>14543940.779999999</v>
      </c>
      <c r="L772" s="46">
        <v>25449758.010000002</v>
      </c>
      <c r="M772" s="46"/>
      <c r="O772" s="46"/>
    </row>
    <row r="773" spans="1:15" x14ac:dyDescent="0.2">
      <c r="A773" s="5">
        <v>745</v>
      </c>
      <c r="B773" s="28">
        <f t="shared" ca="1" si="47"/>
        <v>1087907.5311772623</v>
      </c>
      <c r="C773" s="29">
        <f t="shared" ca="1" si="46"/>
        <v>6.1359171871853184E-2</v>
      </c>
      <c r="D773" s="30">
        <f t="shared" ca="1" si="48"/>
        <v>6.6716443687629082E-3</v>
      </c>
      <c r="E773" s="56">
        <v>56364.3</v>
      </c>
      <c r="F773" s="56">
        <v>227823.46</v>
      </c>
      <c r="G773" s="56">
        <v>467654.55</v>
      </c>
      <c r="H773" s="46">
        <v>599347.66</v>
      </c>
      <c r="I773" s="46">
        <v>757404.83</v>
      </c>
      <c r="J773" s="46">
        <v>1943998.44</v>
      </c>
      <c r="K773" s="46">
        <v>2433786.85</v>
      </c>
      <c r="L773" s="46">
        <v>3112844.06</v>
      </c>
      <c r="M773" s="46"/>
      <c r="O773" s="46"/>
    </row>
    <row r="774" spans="1:15" x14ac:dyDescent="0.2">
      <c r="A774" s="5">
        <v>746</v>
      </c>
      <c r="B774" s="28">
        <f t="shared" ca="1" si="47"/>
        <v>1027943.2192617364</v>
      </c>
      <c r="C774" s="29">
        <f t="shared" ca="1" si="46"/>
        <v>-1.4657665790283085</v>
      </c>
      <c r="D774" s="30">
        <f t="shared" ca="1" si="48"/>
        <v>-5.5673003344070514E-2</v>
      </c>
      <c r="E774" s="56">
        <v>49960.78</v>
      </c>
      <c r="F774" s="56">
        <v>137092.32</v>
      </c>
      <c r="G774" s="56">
        <v>341478.49</v>
      </c>
      <c r="H774" s="46">
        <v>746005.25</v>
      </c>
      <c r="I774" s="46">
        <v>1234557.3999999999</v>
      </c>
      <c r="J774" s="46">
        <v>2928291</v>
      </c>
      <c r="K774" s="46">
        <v>4454913.54</v>
      </c>
      <c r="L774" s="46">
        <v>10404669.289999999</v>
      </c>
      <c r="M774" s="46"/>
      <c r="O774" s="46"/>
    </row>
    <row r="775" spans="1:15" x14ac:dyDescent="0.2">
      <c r="A775" s="5">
        <v>747</v>
      </c>
      <c r="B775" s="28">
        <f t="shared" ca="1" si="47"/>
        <v>1106032.2438290908</v>
      </c>
      <c r="C775" s="29">
        <f t="shared" ca="1" si="46"/>
        <v>1.7443608409520535</v>
      </c>
      <c r="D775" s="30">
        <f t="shared" ca="1" si="48"/>
        <v>7.5379899793744903E-2</v>
      </c>
      <c r="E775" s="56">
        <v>59162.01</v>
      </c>
      <c r="F775" s="56">
        <v>114036.94</v>
      </c>
      <c r="G775" s="56">
        <v>412048.38</v>
      </c>
      <c r="H775" s="46">
        <v>2028153.55</v>
      </c>
      <c r="I775" s="46">
        <v>2243198.16</v>
      </c>
      <c r="J775" s="46">
        <v>2483059.4700000002</v>
      </c>
      <c r="K775" s="46">
        <v>3701063</v>
      </c>
      <c r="L775" s="46">
        <v>3078059.27</v>
      </c>
      <c r="M775" s="46"/>
      <c r="O775" s="46"/>
    </row>
    <row r="776" spans="1:15" x14ac:dyDescent="0.2">
      <c r="A776" s="5">
        <v>748</v>
      </c>
      <c r="B776" s="28">
        <f t="shared" ca="1" si="47"/>
        <v>1107129.4908890317</v>
      </c>
      <c r="C776" s="29">
        <f t="shared" ca="1" si="46"/>
        <v>-9.1111016596781544E-2</v>
      </c>
      <c r="D776" s="30">
        <f t="shared" ca="1" si="48"/>
        <v>4.4707498986059496E-4</v>
      </c>
      <c r="E776" s="56">
        <v>63257.32</v>
      </c>
      <c r="F776" s="56">
        <v>160615.82999999999</v>
      </c>
      <c r="G776" s="56">
        <v>289927.98</v>
      </c>
      <c r="H776" s="46">
        <v>272651.13</v>
      </c>
      <c r="I776" s="46">
        <v>465610.67</v>
      </c>
      <c r="J776" s="46">
        <v>677322.63</v>
      </c>
      <c r="K776" s="46">
        <v>1871510.06</v>
      </c>
      <c r="L776" s="46">
        <v>3733260.39</v>
      </c>
      <c r="M776" s="46"/>
      <c r="O776" s="46"/>
    </row>
    <row r="777" spans="1:15" x14ac:dyDescent="0.2">
      <c r="A777" s="5">
        <v>749</v>
      </c>
      <c r="B777" s="28">
        <f t="shared" ca="1" si="47"/>
        <v>1070561.5908447208</v>
      </c>
      <c r="C777" s="29">
        <f t="shared" ca="1" si="46"/>
        <v>-0.92445159557096102</v>
      </c>
      <c r="D777" s="30">
        <f t="shared" ca="1" si="48"/>
        <v>-3.3573911684176866E-2</v>
      </c>
      <c r="E777" s="56">
        <v>40944.629999999997</v>
      </c>
      <c r="F777" s="56">
        <v>182822.1</v>
      </c>
      <c r="G777" s="56">
        <v>250768.22</v>
      </c>
      <c r="H777" s="46">
        <v>819771.77</v>
      </c>
      <c r="I777" s="46">
        <v>791947.81</v>
      </c>
      <c r="J777" s="46">
        <v>1414163.28</v>
      </c>
      <c r="K777" s="46">
        <v>4767238.99</v>
      </c>
      <c r="L777" s="46">
        <v>5443574.0199999996</v>
      </c>
      <c r="M777" s="46"/>
      <c r="O777" s="46"/>
    </row>
    <row r="778" spans="1:15" x14ac:dyDescent="0.2">
      <c r="A778" s="5">
        <v>750</v>
      </c>
      <c r="B778" s="28">
        <f t="shared" ca="1" si="47"/>
        <v>1151825.7374167098</v>
      </c>
      <c r="C778" s="29">
        <f t="shared" ca="1" si="46"/>
        <v>1.7435040476453918</v>
      </c>
      <c r="D778" s="30">
        <f t="shared" ca="1" si="48"/>
        <v>7.5344921353472344E-2</v>
      </c>
      <c r="E778" s="56">
        <v>57366.03</v>
      </c>
      <c r="F778" s="56">
        <v>98920.44</v>
      </c>
      <c r="G778" s="56">
        <v>248545.56</v>
      </c>
      <c r="H778" s="46">
        <v>409219.38</v>
      </c>
      <c r="I778" s="46">
        <v>605004.51</v>
      </c>
      <c r="J778" s="46">
        <v>831243.26</v>
      </c>
      <c r="K778" s="46">
        <v>1219914.0900000001</v>
      </c>
      <c r="L778" s="46">
        <v>2357947.96</v>
      </c>
      <c r="M778" s="46"/>
      <c r="O778" s="46"/>
    </row>
    <row r="779" spans="1:15" x14ac:dyDescent="0.2">
      <c r="A779" s="5">
        <v>751</v>
      </c>
      <c r="B779" s="28">
        <f t="shared" ca="1" si="47"/>
        <v>1133289.2859492896</v>
      </c>
      <c r="C779" s="29">
        <f t="shared" ca="1" si="46"/>
        <v>-0.50907955387743276</v>
      </c>
      <c r="D779" s="30">
        <f t="shared" ca="1" si="48"/>
        <v>-1.6616419091390132E-2</v>
      </c>
      <c r="E779" s="56">
        <v>40234.35</v>
      </c>
      <c r="F779" s="56">
        <v>137007.74</v>
      </c>
      <c r="G779" s="56">
        <v>345057.79</v>
      </c>
      <c r="H779" s="46">
        <v>590011.07999999996</v>
      </c>
      <c r="I779" s="46">
        <v>843292.33</v>
      </c>
      <c r="J779" s="46">
        <v>1062475.17</v>
      </c>
      <c r="K779" s="46">
        <v>2971528.38</v>
      </c>
      <c r="L779" s="46">
        <v>4096357.63</v>
      </c>
      <c r="M779" s="46"/>
      <c r="O779" s="46"/>
    </row>
    <row r="780" spans="1:15" x14ac:dyDescent="0.2">
      <c r="A780" s="5">
        <v>752</v>
      </c>
      <c r="B780" s="28">
        <f t="shared" ca="1" si="47"/>
        <v>1083313.101366726</v>
      </c>
      <c r="C780" s="29">
        <f t="shared" ca="1" si="46"/>
        <v>-1.1952747797947381</v>
      </c>
      <c r="D780" s="30">
        <f t="shared" ca="1" si="48"/>
        <v>-4.4630221881910549E-2</v>
      </c>
      <c r="E780" s="56">
        <v>59658.22</v>
      </c>
      <c r="F780" s="56">
        <v>95730.97</v>
      </c>
      <c r="G780" s="56">
        <v>190479.15</v>
      </c>
      <c r="H780" s="46">
        <v>519393.46</v>
      </c>
      <c r="I780" s="46">
        <v>860522.87</v>
      </c>
      <c r="J780" s="46">
        <v>978255.67</v>
      </c>
      <c r="K780" s="46">
        <v>1344217.15</v>
      </c>
      <c r="L780" s="46">
        <v>1384515.28</v>
      </c>
      <c r="M780" s="46"/>
      <c r="O780" s="46"/>
    </row>
    <row r="781" spans="1:15" x14ac:dyDescent="0.2">
      <c r="A781" s="5">
        <v>753</v>
      </c>
      <c r="B781" s="28">
        <f t="shared" ca="1" si="47"/>
        <v>1162405.7429846379</v>
      </c>
      <c r="C781" s="29">
        <f t="shared" ca="1" si="46"/>
        <v>1.672680066269262</v>
      </c>
      <c r="D781" s="30">
        <f t="shared" ca="1" si="48"/>
        <v>7.2453544421407404E-2</v>
      </c>
      <c r="E781" s="56">
        <v>53360.77</v>
      </c>
      <c r="F781" s="56">
        <v>111709.79</v>
      </c>
      <c r="G781" s="56">
        <v>373477.38</v>
      </c>
      <c r="H781" s="46">
        <v>602165.68000000005</v>
      </c>
      <c r="I781" s="46">
        <v>486526.86</v>
      </c>
      <c r="J781" s="46">
        <v>431556.44</v>
      </c>
      <c r="K781" s="46">
        <v>570415.49</v>
      </c>
      <c r="L781" s="46">
        <v>672504.18</v>
      </c>
      <c r="M781" s="46"/>
      <c r="O781" s="46"/>
    </row>
    <row r="782" spans="1:15" x14ac:dyDescent="0.2">
      <c r="A782" s="5">
        <v>754</v>
      </c>
      <c r="B782" s="28">
        <f t="shared" ca="1" si="47"/>
        <v>1173540.1536771653</v>
      </c>
      <c r="C782" s="29">
        <f t="shared" ca="1" si="46"/>
        <v>0.11986690206837526</v>
      </c>
      <c r="D782" s="30">
        <f t="shared" ca="1" si="48"/>
        <v>9.0602124519280156E-3</v>
      </c>
      <c r="E782" s="56">
        <v>48622.74</v>
      </c>
      <c r="F782" s="56">
        <v>167078.16</v>
      </c>
      <c r="G782" s="56">
        <v>315610.84000000003</v>
      </c>
      <c r="H782" s="46">
        <v>367295.46</v>
      </c>
      <c r="I782" s="46">
        <v>1311329.3899999999</v>
      </c>
      <c r="J782" s="46">
        <v>3485731.61</v>
      </c>
      <c r="K782" s="46">
        <v>6809296.0800000001</v>
      </c>
      <c r="L782" s="46">
        <v>7759314.6600000001</v>
      </c>
      <c r="M782" s="46"/>
      <c r="O782" s="46"/>
    </row>
    <row r="783" spans="1:15" x14ac:dyDescent="0.2">
      <c r="A783" s="5">
        <v>755</v>
      </c>
      <c r="B783" s="28">
        <f t="shared" ca="1" si="47"/>
        <v>1195784.686703939</v>
      </c>
      <c r="C783" s="29">
        <f t="shared" ca="1" si="46"/>
        <v>0.34965900402103434</v>
      </c>
      <c r="D783" s="30">
        <f t="shared" ca="1" si="48"/>
        <v>1.8441435730355095E-2</v>
      </c>
      <c r="E783" s="56">
        <v>71936.7</v>
      </c>
      <c r="F783" s="56">
        <v>172743.16</v>
      </c>
      <c r="G783" s="56">
        <v>417430.25</v>
      </c>
      <c r="H783" s="46">
        <v>623418.91</v>
      </c>
      <c r="I783" s="46">
        <v>429794.37</v>
      </c>
      <c r="J783" s="46">
        <v>735418.07</v>
      </c>
      <c r="K783" s="46">
        <v>1712390.07</v>
      </c>
      <c r="L783" s="46">
        <v>3160184.97</v>
      </c>
      <c r="M783" s="46"/>
      <c r="O783" s="46"/>
    </row>
    <row r="784" spans="1:15" x14ac:dyDescent="0.2">
      <c r="A784" s="5">
        <v>756</v>
      </c>
      <c r="B784" s="28">
        <f t="shared" ca="1" si="47"/>
        <v>1239651.5371576853</v>
      </c>
      <c r="C784" s="29">
        <f t="shared" ca="1" si="46"/>
        <v>0.78417545911109288</v>
      </c>
      <c r="D784" s="30">
        <f t="shared" ca="1" si="48"/>
        <v>3.6180495727248525E-2</v>
      </c>
      <c r="E784" s="56">
        <v>48950.99</v>
      </c>
      <c r="F784" s="56">
        <v>91014.32</v>
      </c>
      <c r="G784" s="56">
        <v>102202.46</v>
      </c>
      <c r="H784" s="46">
        <v>483536.22</v>
      </c>
      <c r="I784" s="46">
        <v>549774.44999999995</v>
      </c>
      <c r="J784" s="46">
        <v>853847.6</v>
      </c>
      <c r="K784" s="46">
        <v>1510655.67</v>
      </c>
      <c r="L784" s="46">
        <v>2664266.37</v>
      </c>
      <c r="M784" s="46"/>
      <c r="O784" s="46"/>
    </row>
    <row r="785" spans="1:15" x14ac:dyDescent="0.2">
      <c r="A785" s="5">
        <v>757</v>
      </c>
      <c r="B785" s="28">
        <f t="shared" ca="1" si="47"/>
        <v>1251960.634112637</v>
      </c>
      <c r="C785" s="29">
        <f t="shared" ca="1" si="46"/>
        <v>0.12924916737426612</v>
      </c>
      <c r="D785" s="30">
        <f t="shared" ca="1" si="48"/>
        <v>9.4432418291088508E-3</v>
      </c>
      <c r="E785" s="56">
        <v>69072.08</v>
      </c>
      <c r="F785" s="56">
        <v>247325.95</v>
      </c>
      <c r="G785" s="56">
        <v>363344.02</v>
      </c>
      <c r="H785" s="46">
        <v>534359.01</v>
      </c>
      <c r="I785" s="46">
        <v>1275988.57</v>
      </c>
      <c r="J785" s="46">
        <v>1078170.07</v>
      </c>
      <c r="K785" s="46">
        <v>2217552.4900000002</v>
      </c>
      <c r="L785" s="46">
        <v>3918448.01</v>
      </c>
      <c r="M785" s="46"/>
      <c r="O785" s="46"/>
    </row>
    <row r="786" spans="1:15" x14ac:dyDescent="0.2">
      <c r="A786" s="5">
        <v>758</v>
      </c>
      <c r="B786" s="28">
        <f t="shared" ca="1" si="47"/>
        <v>1233838.5151200329</v>
      </c>
      <c r="C786" s="29">
        <f t="shared" ca="1" si="46"/>
        <v>-0.46841878266454712</v>
      </c>
      <c r="D786" s="30">
        <f t="shared" ca="1" si="48"/>
        <v>-1.4956450057729852E-2</v>
      </c>
      <c r="E786" s="56">
        <v>45646.14</v>
      </c>
      <c r="F786" s="56">
        <v>168804.02</v>
      </c>
      <c r="G786" s="56">
        <v>759428.23</v>
      </c>
      <c r="H786" s="46">
        <v>1853889</v>
      </c>
      <c r="I786" s="46">
        <v>2020416.49</v>
      </c>
      <c r="J786" s="46">
        <v>1100397.22</v>
      </c>
      <c r="K786" s="46">
        <v>1489580.44</v>
      </c>
      <c r="L786" s="46">
        <v>1893520.62</v>
      </c>
      <c r="M786" s="46"/>
      <c r="O786" s="46"/>
    </row>
    <row r="787" spans="1:15" x14ac:dyDescent="0.2">
      <c r="A787" s="5">
        <v>759</v>
      </c>
      <c r="B787" s="28">
        <f t="shared" ca="1" si="47"/>
        <v>1350964.187187725</v>
      </c>
      <c r="C787" s="29">
        <f t="shared" ca="1" si="46"/>
        <v>2.2112200590098787</v>
      </c>
      <c r="D787" s="30">
        <f t="shared" ca="1" si="48"/>
        <v>9.4439347559685208E-2</v>
      </c>
      <c r="E787" s="56">
        <v>51389.83</v>
      </c>
      <c r="F787" s="56">
        <v>128219.13</v>
      </c>
      <c r="G787" s="56">
        <v>232211.21</v>
      </c>
      <c r="H787" s="46">
        <v>471927.44</v>
      </c>
      <c r="I787" s="46">
        <v>538844.56000000006</v>
      </c>
      <c r="J787" s="46">
        <v>1708534.98</v>
      </c>
      <c r="K787" s="46">
        <v>1577847.69</v>
      </c>
      <c r="L787" s="46">
        <v>3164429.08</v>
      </c>
      <c r="M787" s="46"/>
      <c r="O787" s="46"/>
    </row>
    <row r="788" spans="1:15" x14ac:dyDescent="0.2">
      <c r="A788" s="5">
        <v>760</v>
      </c>
      <c r="B788" s="28">
        <f t="shared" ca="1" si="47"/>
        <v>1363829.6794678383</v>
      </c>
      <c r="C788" s="29">
        <f t="shared" ca="1" si="46"/>
        <v>0.12027852196351053</v>
      </c>
      <c r="D788" s="30">
        <f t="shared" ca="1" si="48"/>
        <v>9.0770167637790056E-3</v>
      </c>
      <c r="E788" s="56">
        <v>52793.440000000002</v>
      </c>
      <c r="F788" s="56">
        <v>225199.15</v>
      </c>
      <c r="G788" s="56">
        <v>1219119.8600000001</v>
      </c>
      <c r="H788" s="46">
        <v>3539705.22</v>
      </c>
      <c r="I788" s="46">
        <v>5756619.1900000004</v>
      </c>
      <c r="J788" s="46">
        <v>4536945.3</v>
      </c>
      <c r="K788" s="46">
        <v>7214144.8200000003</v>
      </c>
      <c r="L788" s="46">
        <v>6712203.8300000001</v>
      </c>
      <c r="M788" s="46"/>
      <c r="O788" s="46"/>
    </row>
    <row r="789" spans="1:15" x14ac:dyDescent="0.2">
      <c r="A789" s="5">
        <v>761</v>
      </c>
      <c r="B789" s="28">
        <f t="shared" ca="1" si="47"/>
        <v>1396271.8150340128</v>
      </c>
      <c r="C789" s="29">
        <f t="shared" ca="1" si="46"/>
        <v>0.46978502944485018</v>
      </c>
      <c r="D789" s="30">
        <f t="shared" ca="1" si="48"/>
        <v>2.3345560182304232E-2</v>
      </c>
      <c r="E789" s="56">
        <v>55774.34</v>
      </c>
      <c r="F789" s="56">
        <v>154023.57999999999</v>
      </c>
      <c r="G789" s="56">
        <v>333985.55</v>
      </c>
      <c r="H789" s="46">
        <v>1102899.99</v>
      </c>
      <c r="I789" s="46">
        <v>1918906.49</v>
      </c>
      <c r="J789" s="46">
        <v>8142789.3700000001</v>
      </c>
      <c r="K789" s="46">
        <v>7930162.8600000003</v>
      </c>
      <c r="L789" s="46">
        <v>9716573.2599999998</v>
      </c>
      <c r="M789" s="46"/>
      <c r="O789" s="46"/>
    </row>
    <row r="790" spans="1:15" x14ac:dyDescent="0.2">
      <c r="A790" s="5">
        <v>762</v>
      </c>
      <c r="B790" s="28">
        <f t="shared" ca="1" si="47"/>
        <v>1406597.9102549851</v>
      </c>
      <c r="C790" s="29">
        <f t="shared" ca="1" si="46"/>
        <v>6.8514965162954064E-2</v>
      </c>
      <c r="D790" s="30">
        <f t="shared" ca="1" si="48"/>
        <v>6.9637784065633796E-3</v>
      </c>
      <c r="E790" s="56">
        <v>62347.96</v>
      </c>
      <c r="F790" s="56">
        <v>184695.18</v>
      </c>
      <c r="G790" s="56">
        <v>318116.95</v>
      </c>
      <c r="H790" s="46">
        <v>399205.9</v>
      </c>
      <c r="I790" s="46">
        <v>313820.63</v>
      </c>
      <c r="J790" s="46">
        <v>811551.12</v>
      </c>
      <c r="K790" s="46">
        <v>1663202.68</v>
      </c>
      <c r="L790" s="46">
        <v>1194034.44</v>
      </c>
      <c r="M790" s="46"/>
      <c r="O790" s="46"/>
    </row>
    <row r="791" spans="1:15" x14ac:dyDescent="0.2">
      <c r="A791" s="5">
        <v>763</v>
      </c>
      <c r="B791" s="28">
        <f t="shared" ca="1" si="47"/>
        <v>1388896.7378957036</v>
      </c>
      <c r="C791" s="29">
        <f t="shared" ca="1" si="46"/>
        <v>-0.42081210853542306</v>
      </c>
      <c r="D791" s="30">
        <f t="shared" ca="1" si="48"/>
        <v>-1.3012915724941339E-2</v>
      </c>
      <c r="E791" s="56">
        <v>30083.43</v>
      </c>
      <c r="F791" s="56">
        <v>68666.37</v>
      </c>
      <c r="G791" s="56">
        <v>175703.74</v>
      </c>
      <c r="H791" s="46">
        <v>578764.38</v>
      </c>
      <c r="I791" s="46">
        <v>1259681.93</v>
      </c>
      <c r="J791" s="46">
        <v>673225.29</v>
      </c>
      <c r="K791" s="46">
        <v>1444317.38</v>
      </c>
      <c r="L791" s="46">
        <v>1888919.8</v>
      </c>
      <c r="M791" s="46"/>
      <c r="O791" s="46"/>
    </row>
    <row r="792" spans="1:15" x14ac:dyDescent="0.2">
      <c r="A792" s="5">
        <v>764</v>
      </c>
      <c r="B792" s="28">
        <f t="shared" ca="1" si="47"/>
        <v>1392370.1884507451</v>
      </c>
      <c r="C792" s="29">
        <f t="shared" ca="1" si="46"/>
        <v>-5.1434059731524352E-2</v>
      </c>
      <c r="D792" s="30">
        <f t="shared" ca="1" si="48"/>
        <v>2.0668799709655629E-3</v>
      </c>
      <c r="E792" s="56">
        <v>50601.67</v>
      </c>
      <c r="F792" s="56">
        <v>86563.69</v>
      </c>
      <c r="G792" s="56">
        <v>169900.61</v>
      </c>
      <c r="H792" s="46">
        <v>511030.54</v>
      </c>
      <c r="I792" s="46">
        <v>1021374.54</v>
      </c>
      <c r="J792" s="46">
        <v>2120511</v>
      </c>
      <c r="K792" s="46">
        <v>4336281.46</v>
      </c>
      <c r="L792" s="46">
        <v>6266152.3200000003</v>
      </c>
      <c r="M792" s="46"/>
      <c r="O792" s="46"/>
    </row>
    <row r="793" spans="1:15" x14ac:dyDescent="0.2">
      <c r="A793" s="5">
        <v>765</v>
      </c>
      <c r="B793" s="28">
        <f t="shared" ca="1" si="47"/>
        <v>1368933.0832851545</v>
      </c>
      <c r="C793" s="29">
        <f t="shared" ca="1" si="46"/>
        <v>-0.52497705962576946</v>
      </c>
      <c r="D793" s="30">
        <f t="shared" ca="1" si="48"/>
        <v>-1.7265432045829924E-2</v>
      </c>
      <c r="E793" s="56">
        <v>73670.789999999994</v>
      </c>
      <c r="F793" s="56">
        <v>133017.93</v>
      </c>
      <c r="G793" s="56">
        <v>367498.97</v>
      </c>
      <c r="H793" s="46">
        <v>502011.47</v>
      </c>
      <c r="I793" s="46">
        <v>488621.07</v>
      </c>
      <c r="J793" s="46">
        <v>1083505.92</v>
      </c>
      <c r="K793" s="46">
        <v>1956792.92</v>
      </c>
      <c r="L793" s="46">
        <v>3833963.4</v>
      </c>
      <c r="M793" s="46"/>
      <c r="O793" s="46"/>
    </row>
    <row r="794" spans="1:15" x14ac:dyDescent="0.2">
      <c r="A794" s="5">
        <v>766</v>
      </c>
      <c r="B794" s="28">
        <f t="shared" ca="1" si="47"/>
        <v>1418144.9819354285</v>
      </c>
      <c r="C794" s="29">
        <f t="shared" ca="1" si="46"/>
        <v>0.76772162322759008</v>
      </c>
      <c r="D794" s="30">
        <f t="shared" ca="1" si="48"/>
        <v>3.5508770690147226E-2</v>
      </c>
      <c r="E794" s="56">
        <v>58460.72</v>
      </c>
      <c r="F794" s="56">
        <v>176111.35999999999</v>
      </c>
      <c r="G794" s="56">
        <v>237746.54</v>
      </c>
      <c r="H794" s="46">
        <v>364314.19</v>
      </c>
      <c r="I794" s="46">
        <v>892352</v>
      </c>
      <c r="J794" s="46">
        <v>2684912.73</v>
      </c>
      <c r="K794" s="46">
        <v>4306061.57</v>
      </c>
      <c r="L794" s="46">
        <v>11739208.300000001</v>
      </c>
      <c r="M794" s="46"/>
      <c r="O794" s="46"/>
    </row>
    <row r="795" spans="1:15" x14ac:dyDescent="0.2">
      <c r="A795" s="5">
        <v>767</v>
      </c>
      <c r="B795" s="28">
        <f t="shared" ca="1" si="47"/>
        <v>1357045.3116774731</v>
      </c>
      <c r="C795" s="29">
        <f t="shared" ca="1" si="46"/>
        <v>-1.1678169201247919</v>
      </c>
      <c r="D795" s="30">
        <f t="shared" ca="1" si="48"/>
        <v>-4.350925945490533E-2</v>
      </c>
      <c r="E795" s="56">
        <v>76759.259999999995</v>
      </c>
      <c r="F795" s="56">
        <v>403726.3</v>
      </c>
      <c r="G795" s="56">
        <v>1303292.53</v>
      </c>
      <c r="H795" s="46">
        <v>2155248.17</v>
      </c>
      <c r="I795" s="46">
        <v>2783529.16</v>
      </c>
      <c r="J795" s="46">
        <v>3837542.46</v>
      </c>
      <c r="K795" s="46">
        <v>4611941.08</v>
      </c>
      <c r="L795" s="46">
        <v>7211388.0300000003</v>
      </c>
      <c r="M795" s="46"/>
      <c r="O795" s="46"/>
    </row>
    <row r="796" spans="1:15" x14ac:dyDescent="0.2">
      <c r="A796" s="5">
        <v>768</v>
      </c>
      <c r="B796" s="28">
        <f t="shared" ca="1" si="47"/>
        <v>1365009.9201777354</v>
      </c>
      <c r="C796" s="29">
        <f t="shared" ca="1" si="46"/>
        <v>3.0820399022961756E-2</v>
      </c>
      <c r="D796" s="30">
        <f t="shared" ca="1" si="48"/>
        <v>5.424904187920492E-3</v>
      </c>
      <c r="E796" s="56">
        <v>41071.730000000003</v>
      </c>
      <c r="F796" s="56">
        <v>214728</v>
      </c>
      <c r="G796" s="56">
        <v>239043.04</v>
      </c>
      <c r="H796" s="46">
        <v>321123.28999999998</v>
      </c>
      <c r="I796" s="46">
        <v>822014.32</v>
      </c>
      <c r="J796" s="46">
        <v>610277.49</v>
      </c>
      <c r="K796" s="46">
        <v>1670018.97</v>
      </c>
      <c r="L796" s="46">
        <v>1504696.52</v>
      </c>
      <c r="M796" s="46"/>
      <c r="O796" s="46"/>
    </row>
    <row r="797" spans="1:15" x14ac:dyDescent="0.2">
      <c r="A797" s="5">
        <v>769</v>
      </c>
      <c r="B797" s="28">
        <f t="shared" ca="1" si="47"/>
        <v>1314675.2545443655</v>
      </c>
      <c r="C797" s="29">
        <f t="shared" ca="1" si="46"/>
        <v>-1.0161266419900716</v>
      </c>
      <c r="D797" s="30">
        <f t="shared" ca="1" si="48"/>
        <v>-3.7316529782056587E-2</v>
      </c>
      <c r="E797" s="56">
        <v>52304.61</v>
      </c>
      <c r="F797" s="56">
        <v>145160.29</v>
      </c>
      <c r="G797" s="56">
        <v>175517.6</v>
      </c>
      <c r="H797" s="46">
        <v>521203.32</v>
      </c>
      <c r="I797" s="46">
        <v>1391549.99</v>
      </c>
      <c r="J797" s="46">
        <v>641125.23</v>
      </c>
      <c r="K797" s="46">
        <v>706033.57</v>
      </c>
      <c r="L797" s="46">
        <v>596865.24</v>
      </c>
      <c r="M797" s="46"/>
      <c r="O797" s="46"/>
    </row>
    <row r="798" spans="1:15" x14ac:dyDescent="0.2">
      <c r="A798" s="5">
        <v>770</v>
      </c>
      <c r="B798" s="28">
        <f t="shared" ca="1" si="47"/>
        <v>1422319.2676339285</v>
      </c>
      <c r="C798" s="29">
        <f t="shared" ca="1" si="46"/>
        <v>1.8923196708303989</v>
      </c>
      <c r="D798" s="30">
        <f t="shared" ca="1" si="48"/>
        <v>8.14202937294317E-2</v>
      </c>
      <c r="E798" s="56">
        <v>42999.57</v>
      </c>
      <c r="F798" s="56">
        <v>141367.46</v>
      </c>
      <c r="G798" s="56">
        <v>496915.09</v>
      </c>
      <c r="H798" s="46">
        <v>711613.32</v>
      </c>
      <c r="I798" s="46">
        <v>1248150.83</v>
      </c>
      <c r="J798" s="46">
        <v>2603588.56</v>
      </c>
      <c r="K798" s="46">
        <v>2816613.27</v>
      </c>
      <c r="L798" s="46">
        <v>7074478.6500000004</v>
      </c>
      <c r="M798" s="46"/>
      <c r="O798" s="46"/>
    </row>
    <row r="799" spans="1:15" x14ac:dyDescent="0.2">
      <c r="A799" s="5">
        <v>771</v>
      </c>
      <c r="B799" s="28">
        <f t="shared" ca="1" si="47"/>
        <v>1498935.4678790099</v>
      </c>
      <c r="C799" s="29">
        <f t="shared" ref="C799:C862" ca="1" si="49">NORMSINV(RAND())</f>
        <v>1.2070260312707548</v>
      </c>
      <c r="D799" s="30">
        <f t="shared" ca="1" si="48"/>
        <v>5.3443298047833362E-2</v>
      </c>
      <c r="E799" s="56">
        <v>54710.78</v>
      </c>
      <c r="F799" s="56">
        <v>221468.24</v>
      </c>
      <c r="G799" s="56">
        <v>465055.39</v>
      </c>
      <c r="H799" s="46">
        <v>977832.12</v>
      </c>
      <c r="I799" s="46">
        <v>1717949.96</v>
      </c>
      <c r="J799" s="46">
        <v>1658212.89</v>
      </c>
      <c r="K799" s="46">
        <v>2388358.36</v>
      </c>
      <c r="L799" s="46">
        <v>5590452.1699999999</v>
      </c>
      <c r="M799" s="46"/>
      <c r="O799" s="46"/>
    </row>
    <row r="800" spans="1:15" x14ac:dyDescent="0.2">
      <c r="A800" s="5">
        <v>772</v>
      </c>
      <c r="B800" s="28">
        <f t="shared" ca="1" si="47"/>
        <v>1544132.1732671228</v>
      </c>
      <c r="C800" s="29">
        <f t="shared" ca="1" si="49"/>
        <v>0.62667105355280206</v>
      </c>
      <c r="D800" s="30">
        <f t="shared" ca="1" si="48"/>
        <v>2.9750405296278606E-2</v>
      </c>
      <c r="E800" s="56">
        <v>60083.06</v>
      </c>
      <c r="F800" s="56">
        <v>118269.91</v>
      </c>
      <c r="G800" s="56">
        <v>142707.88</v>
      </c>
      <c r="H800" s="46">
        <v>505235.55</v>
      </c>
      <c r="I800" s="46">
        <v>1033524.63</v>
      </c>
      <c r="J800" s="46">
        <v>1629651.23</v>
      </c>
      <c r="K800" s="46">
        <v>4968961.7300000004</v>
      </c>
      <c r="L800" s="46">
        <v>6009866.3399999999</v>
      </c>
      <c r="M800" s="46"/>
      <c r="O800" s="46"/>
    </row>
    <row r="801" spans="1:15" x14ac:dyDescent="0.2">
      <c r="A801" s="5">
        <v>773</v>
      </c>
      <c r="B801" s="28">
        <f t="shared" ca="1" si="47"/>
        <v>1557227.1936091441</v>
      </c>
      <c r="C801" s="29">
        <f t="shared" ca="1" si="49"/>
        <v>9.6105190695898207E-2</v>
      </c>
      <c r="D801" s="30">
        <f t="shared" ca="1" si="48"/>
        <v>8.0901446472970671E-3</v>
      </c>
      <c r="E801" s="56">
        <v>44715.09</v>
      </c>
      <c r="F801" s="56">
        <v>71027.28</v>
      </c>
      <c r="G801" s="56">
        <v>234187.38</v>
      </c>
      <c r="H801" s="46">
        <v>550025.91</v>
      </c>
      <c r="I801" s="46">
        <v>1464712.59</v>
      </c>
      <c r="J801" s="46">
        <v>1250426.8899999999</v>
      </c>
      <c r="K801" s="46">
        <v>2417746.2799999998</v>
      </c>
      <c r="L801" s="46">
        <v>4647972.72</v>
      </c>
      <c r="M801" s="46"/>
      <c r="O801" s="46"/>
    </row>
    <row r="802" spans="1:15" x14ac:dyDescent="0.2">
      <c r="A802" s="5">
        <v>774</v>
      </c>
      <c r="B802" s="28">
        <f t="shared" ca="1" si="47"/>
        <v>1496181.9094339795</v>
      </c>
      <c r="C802" s="29">
        <f t="shared" ca="1" si="49"/>
        <v>-1.0717745934644549</v>
      </c>
      <c r="D802" s="30">
        <f t="shared" ca="1" si="48"/>
        <v>-3.9588347887779887E-2</v>
      </c>
      <c r="E802" s="56">
        <v>46094.36</v>
      </c>
      <c r="F802" s="56">
        <v>103232.22</v>
      </c>
      <c r="G802" s="56">
        <v>241197.82</v>
      </c>
      <c r="H802" s="46">
        <v>521676.9</v>
      </c>
      <c r="I802" s="46">
        <v>912616.66</v>
      </c>
      <c r="J802" s="46">
        <v>1356505.13</v>
      </c>
      <c r="K802" s="46">
        <v>1817257.75</v>
      </c>
      <c r="L802" s="46">
        <v>1109959.8400000001</v>
      </c>
      <c r="M802" s="46"/>
      <c r="O802" s="46"/>
    </row>
    <row r="803" spans="1:15" x14ac:dyDescent="0.2">
      <c r="A803" s="5">
        <v>775</v>
      </c>
      <c r="B803" s="28">
        <f t="shared" ca="1" si="47"/>
        <v>1458396.5131195025</v>
      </c>
      <c r="C803" s="29">
        <f t="shared" ca="1" si="49"/>
        <v>-0.73053788440669787</v>
      </c>
      <c r="D803" s="30">
        <f t="shared" ca="1" si="48"/>
        <v>-2.5657417576145494E-2</v>
      </c>
      <c r="E803" s="56">
        <v>53314.99</v>
      </c>
      <c r="F803" s="56">
        <v>49499.57</v>
      </c>
      <c r="G803" s="56">
        <v>203358.4</v>
      </c>
      <c r="H803" s="46">
        <v>442401.19</v>
      </c>
      <c r="I803" s="46">
        <v>740196.19</v>
      </c>
      <c r="J803" s="46">
        <v>1436932.95</v>
      </c>
      <c r="K803" s="46">
        <v>1540886.57</v>
      </c>
      <c r="L803" s="46">
        <v>2678947.77</v>
      </c>
      <c r="M803" s="46"/>
      <c r="O803" s="46"/>
    </row>
    <row r="804" spans="1:15" x14ac:dyDescent="0.2">
      <c r="A804" s="5">
        <v>776</v>
      </c>
      <c r="B804" s="28">
        <f t="shared" ca="1" si="47"/>
        <v>1347742.6490482686</v>
      </c>
      <c r="C804" s="29">
        <f t="shared" ca="1" si="49"/>
        <v>-1.9707032542339378</v>
      </c>
      <c r="D804" s="30">
        <f t="shared" ca="1" si="48"/>
        <v>-7.6286956788591015E-2</v>
      </c>
      <c r="E804" s="56">
        <v>66963.360000000001</v>
      </c>
      <c r="F804" s="56">
        <v>123731.82</v>
      </c>
      <c r="G804" s="56">
        <v>210146.32</v>
      </c>
      <c r="H804" s="46">
        <v>487716.11</v>
      </c>
      <c r="I804" s="46">
        <v>852989.32</v>
      </c>
      <c r="J804" s="46">
        <v>1774900.66</v>
      </c>
      <c r="K804" s="46">
        <v>4294965.62</v>
      </c>
      <c r="L804" s="46">
        <v>7447778.1200000001</v>
      </c>
      <c r="M804" s="46"/>
      <c r="O804" s="46"/>
    </row>
    <row r="805" spans="1:15" x14ac:dyDescent="0.2">
      <c r="A805" s="5">
        <v>777</v>
      </c>
      <c r="B805" s="28">
        <f t="shared" ref="B805:B868" ca="1" si="50">(B804*(1+D805))+($C$6*(1+$C$8)^19)</f>
        <v>1397324.8362721938</v>
      </c>
      <c r="C805" s="29">
        <f t="shared" ca="1" si="49"/>
        <v>0.78812705809068884</v>
      </c>
      <c r="D805" s="30">
        <f t="shared" ca="1" si="48"/>
        <v>3.6341819080050408E-2</v>
      </c>
      <c r="E805" s="56">
        <v>63077.07</v>
      </c>
      <c r="F805" s="56">
        <v>98997.89</v>
      </c>
      <c r="G805" s="56">
        <v>234677.71</v>
      </c>
      <c r="H805" s="46">
        <v>254067.11</v>
      </c>
      <c r="I805" s="46">
        <v>487874.71</v>
      </c>
      <c r="J805" s="46">
        <v>889576.7</v>
      </c>
      <c r="K805" s="46">
        <v>1163749.1000000001</v>
      </c>
      <c r="L805" s="46">
        <v>1363351.09</v>
      </c>
      <c r="M805" s="46"/>
      <c r="O805" s="46"/>
    </row>
    <row r="806" spans="1:15" x14ac:dyDescent="0.2">
      <c r="A806" s="5">
        <v>778</v>
      </c>
      <c r="B806" s="28">
        <f t="shared" ca="1" si="50"/>
        <v>1577685.0485598659</v>
      </c>
      <c r="C806" s="29">
        <f t="shared" ca="1" si="49"/>
        <v>3.0490593077713064</v>
      </c>
      <c r="D806" s="30">
        <f t="shared" ca="1" si="48"/>
        <v>0.12864399165872323</v>
      </c>
      <c r="E806" s="56">
        <v>75388.69</v>
      </c>
      <c r="F806" s="56">
        <v>198578.06</v>
      </c>
      <c r="G806" s="56">
        <v>248471.08</v>
      </c>
      <c r="H806" s="46">
        <v>409544.06</v>
      </c>
      <c r="I806" s="46">
        <v>598511.43999999994</v>
      </c>
      <c r="J806" s="46">
        <v>1185222.0900000001</v>
      </c>
      <c r="K806" s="46">
        <v>1605209.34</v>
      </c>
      <c r="L806" s="46">
        <v>1412944.84</v>
      </c>
      <c r="M806" s="46"/>
      <c r="O806" s="46"/>
    </row>
    <row r="807" spans="1:15" x14ac:dyDescent="0.2">
      <c r="A807" s="5">
        <v>779</v>
      </c>
      <c r="B807" s="28">
        <f t="shared" ca="1" si="50"/>
        <v>1549058.1664429114</v>
      </c>
      <c r="C807" s="29">
        <f t="shared" ca="1" si="49"/>
        <v>-0.55587715751648303</v>
      </c>
      <c r="D807" s="30">
        <f t="shared" ca="1" si="48"/>
        <v>-1.8526923259734904E-2</v>
      </c>
      <c r="E807" s="56">
        <v>64226.080000000002</v>
      </c>
      <c r="F807" s="56">
        <v>149731.17000000001</v>
      </c>
      <c r="G807" s="56">
        <v>177158.91</v>
      </c>
      <c r="H807" s="46">
        <v>638261.62</v>
      </c>
      <c r="I807" s="46">
        <v>1219899.73</v>
      </c>
      <c r="J807" s="46">
        <v>907942.97</v>
      </c>
      <c r="K807" s="46">
        <v>2141256.61</v>
      </c>
      <c r="L807" s="46">
        <v>4646346.97</v>
      </c>
      <c r="M807" s="46"/>
      <c r="O807" s="46"/>
    </row>
    <row r="808" spans="1:15" x14ac:dyDescent="0.2">
      <c r="A808" s="5">
        <v>780</v>
      </c>
      <c r="B808" s="28">
        <f t="shared" ca="1" si="50"/>
        <v>1536189.2238216593</v>
      </c>
      <c r="C808" s="29">
        <f t="shared" ca="1" si="49"/>
        <v>-0.31508710278317548</v>
      </c>
      <c r="D808" s="30">
        <f t="shared" ca="1" si="48"/>
        <v>-8.6967104391776212E-3</v>
      </c>
      <c r="E808" s="56">
        <v>46900.34</v>
      </c>
      <c r="F808" s="56">
        <v>247063.07</v>
      </c>
      <c r="G808" s="56">
        <v>499791.48</v>
      </c>
      <c r="H808" s="46">
        <v>903513.99</v>
      </c>
      <c r="I808" s="46">
        <v>1785788.39</v>
      </c>
      <c r="J808" s="46">
        <v>4659770.92</v>
      </c>
      <c r="K808" s="46">
        <v>8791386.5199999996</v>
      </c>
      <c r="L808" s="46">
        <v>23634286.239999998</v>
      </c>
      <c r="M808" s="46"/>
      <c r="O808" s="46"/>
    </row>
    <row r="809" spans="1:15" x14ac:dyDescent="0.2">
      <c r="A809" s="5">
        <v>781</v>
      </c>
      <c r="B809" s="28">
        <f t="shared" ca="1" si="50"/>
        <v>1612995.4427549941</v>
      </c>
      <c r="C809" s="29">
        <f t="shared" ca="1" si="49"/>
        <v>1.11301982779143</v>
      </c>
      <c r="D809" s="30">
        <f t="shared" ca="1" si="48"/>
        <v>4.9605510861490121E-2</v>
      </c>
      <c r="E809" s="56">
        <v>39090.78</v>
      </c>
      <c r="F809" s="56">
        <v>79138.23</v>
      </c>
      <c r="G809" s="56">
        <v>139925.10999999999</v>
      </c>
      <c r="H809" s="46">
        <v>303226.46000000002</v>
      </c>
      <c r="I809" s="46">
        <v>557463.52</v>
      </c>
      <c r="J809" s="46">
        <v>726823.94</v>
      </c>
      <c r="K809" s="46">
        <v>661180.26</v>
      </c>
      <c r="L809" s="46">
        <v>2371562.7999999998</v>
      </c>
      <c r="M809" s="46"/>
      <c r="O809" s="46"/>
    </row>
    <row r="810" spans="1:15" x14ac:dyDescent="0.2">
      <c r="A810" s="5">
        <v>782</v>
      </c>
      <c r="B810" s="28">
        <f t="shared" ca="1" si="50"/>
        <v>1636535.9588345902</v>
      </c>
      <c r="C810" s="29">
        <f t="shared" ca="1" si="49"/>
        <v>0.24626984373665581</v>
      </c>
      <c r="D810" s="30">
        <f t="shared" ca="1" si="48"/>
        <v>1.422059093649591E-2</v>
      </c>
      <c r="E810" s="56">
        <v>61007.45</v>
      </c>
      <c r="F810" s="56">
        <v>314349.39</v>
      </c>
      <c r="G810" s="56">
        <v>931438.2</v>
      </c>
      <c r="H810" s="46">
        <v>1249055.6299999999</v>
      </c>
      <c r="I810" s="46">
        <v>1868360.48</v>
      </c>
      <c r="J810" s="46">
        <v>2538446.0099999998</v>
      </c>
      <c r="K810" s="46">
        <v>2712024.68</v>
      </c>
      <c r="L810" s="46">
        <v>6164039.6799999997</v>
      </c>
      <c r="M810" s="46"/>
      <c r="O810" s="46"/>
    </row>
    <row r="811" spans="1:15" x14ac:dyDescent="0.2">
      <c r="A811" s="5">
        <v>783</v>
      </c>
      <c r="B811" s="28">
        <f t="shared" ca="1" si="50"/>
        <v>1669577.4900252845</v>
      </c>
      <c r="C811" s="29">
        <f t="shared" ca="1" si="49"/>
        <v>0.38346602101380106</v>
      </c>
      <c r="D811" s="30">
        <f t="shared" ca="1" si="48"/>
        <v>1.9821601419653074E-2</v>
      </c>
      <c r="E811" s="56">
        <v>88845.67</v>
      </c>
      <c r="F811" s="56">
        <v>180660.25</v>
      </c>
      <c r="G811" s="56">
        <v>297613.51</v>
      </c>
      <c r="H811" s="46">
        <v>817690.02</v>
      </c>
      <c r="I811" s="46">
        <v>1973617.9</v>
      </c>
      <c r="J811" s="46">
        <v>1174598.17</v>
      </c>
      <c r="K811" s="46">
        <v>1133924.03</v>
      </c>
      <c r="L811" s="46">
        <v>3082796.95</v>
      </c>
      <c r="M811" s="46"/>
      <c r="O811" s="46"/>
    </row>
    <row r="812" spans="1:15" x14ac:dyDescent="0.2">
      <c r="A812" s="5">
        <v>784</v>
      </c>
      <c r="B812" s="28">
        <f t="shared" ca="1" si="50"/>
        <v>1716947.0918334487</v>
      </c>
      <c r="C812" s="29">
        <f t="shared" ca="1" si="49"/>
        <v>0.58406888638841759</v>
      </c>
      <c r="D812" s="30">
        <f t="shared" ca="1" si="48"/>
        <v>2.8011179104787037E-2</v>
      </c>
      <c r="E812" s="56">
        <v>37947.620000000003</v>
      </c>
      <c r="F812" s="56">
        <v>102477.86</v>
      </c>
      <c r="G812" s="56">
        <v>147029.16</v>
      </c>
      <c r="H812" s="46">
        <v>394127.99</v>
      </c>
      <c r="I812" s="46">
        <v>1033224.96</v>
      </c>
      <c r="J812" s="46">
        <v>1319141.47</v>
      </c>
      <c r="K812" s="46">
        <v>887555.92</v>
      </c>
      <c r="L812" s="46">
        <v>1117338.26</v>
      </c>
      <c r="M812" s="46"/>
      <c r="O812" s="46"/>
    </row>
    <row r="813" spans="1:15" x14ac:dyDescent="0.2">
      <c r="A813" s="5">
        <v>785</v>
      </c>
      <c r="B813" s="28">
        <f t="shared" ca="1" si="50"/>
        <v>1730150.9374506627</v>
      </c>
      <c r="C813" s="29">
        <f t="shared" ca="1" si="49"/>
        <v>7.7711731940781736E-2</v>
      </c>
      <c r="D813" s="30">
        <f t="shared" ca="1" si="48"/>
        <v>7.339234838047679E-3</v>
      </c>
      <c r="E813" s="56">
        <v>66029.240000000005</v>
      </c>
      <c r="F813" s="56">
        <v>67855.899999999994</v>
      </c>
      <c r="G813" s="56">
        <v>243138.87</v>
      </c>
      <c r="H813" s="46">
        <v>402445.19</v>
      </c>
      <c r="I813" s="46">
        <v>290775.12</v>
      </c>
      <c r="J813" s="46">
        <v>773765.16</v>
      </c>
      <c r="K813" s="46">
        <v>1449743.88</v>
      </c>
      <c r="L813" s="46">
        <v>1972179.48</v>
      </c>
      <c r="M813" s="46"/>
      <c r="O813" s="46"/>
    </row>
    <row r="814" spans="1:15" x14ac:dyDescent="0.2">
      <c r="A814" s="5">
        <v>786</v>
      </c>
      <c r="B814" s="28">
        <f t="shared" ca="1" si="50"/>
        <v>1774175.2677828553</v>
      </c>
      <c r="C814" s="29">
        <f t="shared" ca="1" si="49"/>
        <v>0.51268586623045798</v>
      </c>
      <c r="D814" s="30">
        <f t="shared" ca="1" si="48"/>
        <v>2.5096979510023591E-2</v>
      </c>
      <c r="E814" s="56">
        <v>79896.77</v>
      </c>
      <c r="F814" s="56">
        <v>269471.49</v>
      </c>
      <c r="G814" s="56">
        <v>360328.42</v>
      </c>
      <c r="H814" s="46">
        <v>588636.89</v>
      </c>
      <c r="I814" s="46">
        <v>747252.44</v>
      </c>
      <c r="J814" s="46">
        <v>1890291.2</v>
      </c>
      <c r="K814" s="46">
        <v>2466015.11</v>
      </c>
      <c r="L814" s="46">
        <v>4524398.76</v>
      </c>
      <c r="M814" s="46"/>
      <c r="O814" s="46"/>
    </row>
    <row r="815" spans="1:15" x14ac:dyDescent="0.2">
      <c r="A815" s="5">
        <v>787</v>
      </c>
      <c r="B815" s="28">
        <f t="shared" ca="1" si="50"/>
        <v>1913417.8467822638</v>
      </c>
      <c r="C815" s="29">
        <f t="shared" ca="1" si="49"/>
        <v>1.8120486799795763</v>
      </c>
      <c r="D815" s="30">
        <f t="shared" ca="1" si="48"/>
        <v>7.8143244250562835E-2</v>
      </c>
      <c r="E815" s="56">
        <v>68098.539999999994</v>
      </c>
      <c r="F815" s="56">
        <v>79383.12</v>
      </c>
      <c r="G815" s="56">
        <v>84136.74</v>
      </c>
      <c r="H815" s="46">
        <v>192070.31</v>
      </c>
      <c r="I815" s="46">
        <v>322662.59999999998</v>
      </c>
      <c r="J815" s="46">
        <v>436064.2</v>
      </c>
      <c r="K815" s="46">
        <v>698467.13</v>
      </c>
      <c r="L815" s="46">
        <v>989525.95</v>
      </c>
      <c r="M815" s="46"/>
      <c r="O815" s="46"/>
    </row>
    <row r="816" spans="1:15" x14ac:dyDescent="0.2">
      <c r="A816" s="5">
        <v>788</v>
      </c>
      <c r="B816" s="28">
        <f t="shared" ca="1" si="50"/>
        <v>1829691.3673558007</v>
      </c>
      <c r="C816" s="29">
        <f t="shared" ca="1" si="49"/>
        <v>-1.1816152199556558</v>
      </c>
      <c r="D816" s="30">
        <f t="shared" ca="1" si="48"/>
        <v>-4.4072572686631131E-2</v>
      </c>
      <c r="E816" s="56">
        <v>76506.59</v>
      </c>
      <c r="F816" s="56">
        <v>252921.47</v>
      </c>
      <c r="G816" s="56">
        <v>450782.4</v>
      </c>
      <c r="H816" s="46">
        <v>908954.34</v>
      </c>
      <c r="I816" s="46">
        <v>2054478.31</v>
      </c>
      <c r="J816" s="46">
        <v>3988727.29</v>
      </c>
      <c r="K816" s="46">
        <v>10859271.720000001</v>
      </c>
      <c r="L816" s="46">
        <v>7481205.6900000004</v>
      </c>
      <c r="M816" s="46"/>
      <c r="O816" s="46"/>
    </row>
    <row r="817" spans="1:15" x14ac:dyDescent="0.2">
      <c r="A817" s="5">
        <v>789</v>
      </c>
      <c r="B817" s="28">
        <f t="shared" ca="1" si="50"/>
        <v>1751964.9422813342</v>
      </c>
      <c r="C817" s="29">
        <f t="shared" ca="1" si="49"/>
        <v>-1.1506900417848498</v>
      </c>
      <c r="D817" s="30">
        <f t="shared" ca="1" si="48"/>
        <v>-4.2810057574578939E-2</v>
      </c>
      <c r="E817" s="56">
        <v>45921.62</v>
      </c>
      <c r="F817" s="56">
        <v>108870.34</v>
      </c>
      <c r="G817" s="56">
        <v>320876.59000000003</v>
      </c>
      <c r="H817" s="46">
        <v>262102.6</v>
      </c>
      <c r="I817" s="46">
        <v>390675.66</v>
      </c>
      <c r="J817" s="46">
        <v>306169.32</v>
      </c>
      <c r="K817" s="46">
        <v>401447.25</v>
      </c>
      <c r="L817" s="46">
        <v>932640.86</v>
      </c>
      <c r="M817" s="46"/>
      <c r="O817" s="46"/>
    </row>
    <row r="818" spans="1:15" x14ac:dyDescent="0.2">
      <c r="A818" s="5">
        <v>790</v>
      </c>
      <c r="B818" s="28">
        <f t="shared" ca="1" si="50"/>
        <v>1851182.8969848354</v>
      </c>
      <c r="C818" s="29">
        <f t="shared" ca="1" si="49"/>
        <v>1.2767148834976809</v>
      </c>
      <c r="D818" s="30">
        <f t="shared" ca="1" si="48"/>
        <v>5.6288333526436495E-2</v>
      </c>
      <c r="E818" s="56">
        <v>56580.45</v>
      </c>
      <c r="F818" s="56">
        <v>227844.83</v>
      </c>
      <c r="G818" s="56">
        <v>323677.01</v>
      </c>
      <c r="H818" s="46">
        <v>365453.13</v>
      </c>
      <c r="I818" s="46">
        <v>483370.53</v>
      </c>
      <c r="J818" s="46">
        <v>512769.07</v>
      </c>
      <c r="K818" s="46">
        <v>652835.18000000005</v>
      </c>
      <c r="L818" s="46">
        <v>1595634.59</v>
      </c>
      <c r="M818" s="46"/>
      <c r="O818" s="46"/>
    </row>
    <row r="819" spans="1:15" x14ac:dyDescent="0.2">
      <c r="A819" s="5">
        <v>791</v>
      </c>
      <c r="B819" s="28">
        <f t="shared" ca="1" si="50"/>
        <v>1873389.1333803944</v>
      </c>
      <c r="C819" s="29">
        <f t="shared" ca="1" si="49"/>
        <v>0.18379555415028778</v>
      </c>
      <c r="D819" s="30">
        <f t="shared" ca="1" si="48"/>
        <v>1.1670088744338003E-2</v>
      </c>
      <c r="E819" s="56">
        <v>63142.8</v>
      </c>
      <c r="F819" s="56">
        <v>225247.2</v>
      </c>
      <c r="G819" s="56">
        <v>537652.76</v>
      </c>
      <c r="H819" s="46">
        <v>530413.17000000004</v>
      </c>
      <c r="I819" s="46">
        <v>874064.08</v>
      </c>
      <c r="J819" s="46">
        <v>1227135.73</v>
      </c>
      <c r="K819" s="46">
        <v>2700870.62</v>
      </c>
      <c r="L819" s="46">
        <v>6981579.9800000004</v>
      </c>
      <c r="M819" s="46"/>
      <c r="O819" s="46"/>
    </row>
    <row r="820" spans="1:15" x14ac:dyDescent="0.2">
      <c r="A820" s="5">
        <v>792</v>
      </c>
      <c r="B820" s="28">
        <f t="shared" ca="1" si="50"/>
        <v>1946122.9067048801</v>
      </c>
      <c r="C820" s="29">
        <f t="shared" ca="1" si="49"/>
        <v>0.84106370542741737</v>
      </c>
      <c r="D820" s="30">
        <f t="shared" ca="1" si="48"/>
        <v>3.8502948657861191E-2</v>
      </c>
      <c r="E820" s="56">
        <v>39921.269999999997</v>
      </c>
      <c r="F820" s="56">
        <v>200943.15</v>
      </c>
      <c r="G820" s="56">
        <v>300805.36</v>
      </c>
      <c r="H820" s="46">
        <v>545143.99</v>
      </c>
      <c r="I820" s="46">
        <v>429948.04</v>
      </c>
      <c r="J820" s="46">
        <v>887296.02</v>
      </c>
      <c r="K820" s="46">
        <v>1055626.04</v>
      </c>
      <c r="L820" s="46">
        <v>1336382.18</v>
      </c>
      <c r="M820" s="46"/>
      <c r="O820" s="46"/>
    </row>
    <row r="821" spans="1:15" x14ac:dyDescent="0.2">
      <c r="A821" s="5">
        <v>793</v>
      </c>
      <c r="B821" s="28">
        <f t="shared" ca="1" si="50"/>
        <v>1923444.6580025724</v>
      </c>
      <c r="C821" s="29">
        <f t="shared" ca="1" si="49"/>
        <v>-0.39508884238791347</v>
      </c>
      <c r="D821" s="30">
        <f t="shared" ca="1" si="48"/>
        <v>-1.1962767781954566E-2</v>
      </c>
      <c r="E821" s="56">
        <v>41947.11</v>
      </c>
      <c r="F821" s="56">
        <v>180826.6</v>
      </c>
      <c r="G821" s="56">
        <v>243262.09</v>
      </c>
      <c r="H821" s="46">
        <v>433545.95</v>
      </c>
      <c r="I821" s="46">
        <v>939540.77</v>
      </c>
      <c r="J821" s="46">
        <v>1556971.35</v>
      </c>
      <c r="K821" s="46">
        <v>1537886.42</v>
      </c>
      <c r="L821" s="46">
        <v>2278412.41</v>
      </c>
      <c r="M821" s="46"/>
      <c r="O821" s="46"/>
    </row>
    <row r="822" spans="1:15" x14ac:dyDescent="0.2">
      <c r="A822" s="5">
        <v>794</v>
      </c>
      <c r="B822" s="28">
        <f t="shared" ca="1" si="50"/>
        <v>1910740.9426985905</v>
      </c>
      <c r="C822" s="29">
        <f t="shared" ca="1" si="49"/>
        <v>-0.27151895565773287</v>
      </c>
      <c r="D822" s="30">
        <f t="shared" ca="1" si="48"/>
        <v>-6.9180482809136209E-3</v>
      </c>
      <c r="E822" s="56">
        <v>48521.65</v>
      </c>
      <c r="F822" s="56">
        <v>131328.63</v>
      </c>
      <c r="G822" s="56">
        <v>212751.29</v>
      </c>
      <c r="H822" s="46">
        <v>327629.83</v>
      </c>
      <c r="I822" s="46">
        <v>467673.53</v>
      </c>
      <c r="J822" s="46">
        <v>1501479.85</v>
      </c>
      <c r="K822" s="46">
        <v>2777489.23</v>
      </c>
      <c r="L822" s="46">
        <v>2683685.73</v>
      </c>
      <c r="M822" s="46"/>
      <c r="O822" s="46"/>
    </row>
    <row r="823" spans="1:15" x14ac:dyDescent="0.2">
      <c r="A823" s="5">
        <v>795</v>
      </c>
      <c r="B823" s="28">
        <f t="shared" ca="1" si="50"/>
        <v>1947723.6870802508</v>
      </c>
      <c r="C823" s="29">
        <f t="shared" ca="1" si="49"/>
        <v>0.36431396883991707</v>
      </c>
      <c r="D823" s="30">
        <f t="shared" ca="1" si="48"/>
        <v>1.9039722163766787E-2</v>
      </c>
      <c r="E823" s="56">
        <v>60657.03</v>
      </c>
      <c r="F823" s="56">
        <v>213335.09</v>
      </c>
      <c r="G823" s="56">
        <v>414021.51</v>
      </c>
      <c r="H823" s="46">
        <v>605434.47</v>
      </c>
      <c r="I823" s="46">
        <v>789097.24</v>
      </c>
      <c r="J823" s="46">
        <v>1924562.96</v>
      </c>
      <c r="K823" s="46">
        <v>4634677.05</v>
      </c>
      <c r="L823" s="46">
        <v>8242674.9000000004</v>
      </c>
      <c r="M823" s="46"/>
      <c r="O823" s="46"/>
    </row>
    <row r="824" spans="1:15" x14ac:dyDescent="0.2">
      <c r="A824" s="5">
        <v>796</v>
      </c>
      <c r="B824" s="28">
        <f t="shared" ca="1" si="50"/>
        <v>1931224.1989581785</v>
      </c>
      <c r="C824" s="29">
        <f t="shared" ca="1" si="49"/>
        <v>-0.31714288981078587</v>
      </c>
      <c r="D824" s="30">
        <f t="shared" ca="1" si="48"/>
        <v>-8.7806375931355971E-3</v>
      </c>
      <c r="E824" s="56">
        <v>50741.120000000003</v>
      </c>
      <c r="F824" s="56">
        <v>102904.25</v>
      </c>
      <c r="G824" s="56">
        <v>180971.66</v>
      </c>
      <c r="H824" s="46">
        <v>346818.86</v>
      </c>
      <c r="I824" s="46">
        <v>507562.28</v>
      </c>
      <c r="J824" s="46">
        <v>669654.78</v>
      </c>
      <c r="K824" s="46">
        <v>962913.9</v>
      </c>
      <c r="L824" s="46">
        <v>1889055.62</v>
      </c>
      <c r="M824" s="46"/>
      <c r="O824" s="46"/>
    </row>
    <row r="825" spans="1:15" x14ac:dyDescent="0.2">
      <c r="A825" s="5">
        <v>797</v>
      </c>
      <c r="B825" s="28">
        <f t="shared" ca="1" si="50"/>
        <v>1920864.6752480038</v>
      </c>
      <c r="C825" s="29">
        <f t="shared" ca="1" si="49"/>
        <v>-0.24110351790845053</v>
      </c>
      <c r="D825" s="30">
        <f t="shared" ca="1" si="48"/>
        <v>-5.6763432344281656E-3</v>
      </c>
      <c r="E825" s="56">
        <v>83765.45</v>
      </c>
      <c r="F825" s="56">
        <v>232005.09</v>
      </c>
      <c r="G825" s="56">
        <v>483252.72</v>
      </c>
      <c r="H825" s="46">
        <v>1095800.55</v>
      </c>
      <c r="I825" s="46">
        <v>2163661.77</v>
      </c>
      <c r="J825" s="46">
        <v>5116206.25</v>
      </c>
      <c r="K825" s="46">
        <v>8851051.5299999993</v>
      </c>
      <c r="L825" s="46">
        <v>11737719.5</v>
      </c>
      <c r="M825" s="46"/>
      <c r="O825" s="46"/>
    </row>
    <row r="826" spans="1:15" x14ac:dyDescent="0.2">
      <c r="A826" s="5">
        <v>798</v>
      </c>
      <c r="B826" s="28">
        <f t="shared" ca="1" si="50"/>
        <v>1939526.8439469705</v>
      </c>
      <c r="C826" s="29">
        <f t="shared" ca="1" si="49"/>
        <v>0.12823170113982033</v>
      </c>
      <c r="D826" s="30">
        <f t="shared" ca="1" si="48"/>
        <v>9.4017039440271316E-3</v>
      </c>
      <c r="E826" s="56">
        <v>48981.64</v>
      </c>
      <c r="F826" s="56">
        <v>179705.66</v>
      </c>
      <c r="G826" s="56">
        <v>518491.19</v>
      </c>
      <c r="H826" s="46">
        <v>794388.62</v>
      </c>
      <c r="I826" s="46">
        <v>1806735.79</v>
      </c>
      <c r="J826" s="46">
        <v>1973769.54</v>
      </c>
      <c r="K826" s="46">
        <v>1608399.43</v>
      </c>
      <c r="L826" s="46">
        <v>3092356.47</v>
      </c>
      <c r="M826" s="46"/>
      <c r="O826" s="46"/>
    </row>
    <row r="827" spans="1:15" x14ac:dyDescent="0.2">
      <c r="A827" s="5">
        <v>799</v>
      </c>
      <c r="B827" s="28">
        <f t="shared" ca="1" si="50"/>
        <v>2098220.1698736884</v>
      </c>
      <c r="C827" s="29">
        <f t="shared" ca="1" si="49"/>
        <v>1.8945135458224804</v>
      </c>
      <c r="D827" s="30">
        <f t="shared" ca="1" si="48"/>
        <v>8.1509858300932575E-2</v>
      </c>
      <c r="E827" s="56">
        <v>49154.47</v>
      </c>
      <c r="F827" s="56">
        <v>226251.36</v>
      </c>
      <c r="G827" s="56">
        <v>386354.3</v>
      </c>
      <c r="H827" s="46">
        <v>299894.51</v>
      </c>
      <c r="I827" s="46">
        <v>1022271.49</v>
      </c>
      <c r="J827" s="46">
        <v>1093645.77</v>
      </c>
      <c r="K827" s="46">
        <v>2409605.56</v>
      </c>
      <c r="L827" s="46">
        <v>2260469.9700000002</v>
      </c>
      <c r="M827" s="46"/>
      <c r="O827" s="46"/>
    </row>
    <row r="828" spans="1:15" x14ac:dyDescent="0.2">
      <c r="A828" s="5">
        <v>800</v>
      </c>
      <c r="B828" s="28">
        <f t="shared" ca="1" si="50"/>
        <v>1964705.543407812</v>
      </c>
      <c r="C828" s="29">
        <f t="shared" ca="1" si="49"/>
        <v>-1.6677661205947447</v>
      </c>
      <c r="D828" s="30">
        <f t="shared" ca="1" si="48"/>
        <v>-6.3919600095968671E-2</v>
      </c>
      <c r="E828" s="56">
        <v>55802.64</v>
      </c>
      <c r="F828" s="56">
        <v>275115.36</v>
      </c>
      <c r="G828" s="56">
        <v>491818.73</v>
      </c>
      <c r="H828" s="46">
        <v>499575.98</v>
      </c>
      <c r="I828" s="46">
        <v>1206937.31</v>
      </c>
      <c r="J828" s="46">
        <v>2424468.1</v>
      </c>
      <c r="K828" s="46">
        <v>4182841.27</v>
      </c>
      <c r="L828" s="46">
        <v>11881607.93</v>
      </c>
      <c r="M828" s="46"/>
      <c r="O828" s="46"/>
    </row>
    <row r="829" spans="1:15" x14ac:dyDescent="0.2">
      <c r="A829" s="5">
        <v>801</v>
      </c>
      <c r="B829" s="28">
        <f t="shared" ca="1" si="50"/>
        <v>1959889.1975674422</v>
      </c>
      <c r="C829" s="29">
        <f t="shared" ca="1" si="49"/>
        <v>-0.16962468061452762</v>
      </c>
      <c r="D829" s="30">
        <f t="shared" ref="D829:D892" ca="1" si="51">$D$20+(C829*$D$21)</f>
        <v>-2.7582319214693009E-3</v>
      </c>
      <c r="E829" s="56">
        <v>79279.17</v>
      </c>
      <c r="F829" s="56">
        <v>244922.42</v>
      </c>
      <c r="G829" s="56">
        <v>385759.47</v>
      </c>
      <c r="H829" s="46">
        <v>525049.19999999995</v>
      </c>
      <c r="I829" s="46">
        <v>668585.11</v>
      </c>
      <c r="J829" s="46">
        <v>1231076.8899999999</v>
      </c>
      <c r="K829" s="46">
        <v>1656633.51</v>
      </c>
      <c r="L829" s="46">
        <v>2921219.53</v>
      </c>
      <c r="M829" s="46"/>
      <c r="O829" s="46"/>
    </row>
    <row r="830" spans="1:15" x14ac:dyDescent="0.2">
      <c r="A830" s="5">
        <v>802</v>
      </c>
      <c r="B830" s="28">
        <f t="shared" ca="1" si="50"/>
        <v>2092806.9793391684</v>
      </c>
      <c r="C830" s="29">
        <f t="shared" ca="1" si="49"/>
        <v>1.551624626474478</v>
      </c>
      <c r="D830" s="30">
        <f t="shared" ca="1" si="51"/>
        <v>6.7511476786650232E-2</v>
      </c>
      <c r="E830" s="56">
        <v>67455.62</v>
      </c>
      <c r="F830" s="56">
        <v>161604.46</v>
      </c>
      <c r="G830" s="56">
        <v>358429.59</v>
      </c>
      <c r="H830" s="46">
        <v>967138.83</v>
      </c>
      <c r="I830" s="46">
        <v>801974.23</v>
      </c>
      <c r="J830" s="46">
        <v>840548.5</v>
      </c>
      <c r="K830" s="46">
        <v>439437.03</v>
      </c>
      <c r="L830" s="46">
        <v>634016.93999999994</v>
      </c>
      <c r="M830" s="46"/>
      <c r="O830" s="46"/>
    </row>
    <row r="831" spans="1:15" x14ac:dyDescent="0.2">
      <c r="A831" s="5">
        <v>803</v>
      </c>
      <c r="B831" s="28">
        <f t="shared" ca="1" si="50"/>
        <v>2124711.2294267607</v>
      </c>
      <c r="C831" s="29">
        <f t="shared" ca="1" si="49"/>
        <v>0.26430071566398028</v>
      </c>
      <c r="D831" s="30">
        <f t="shared" ca="1" si="51"/>
        <v>1.4956698200486215E-2</v>
      </c>
      <c r="E831" s="56">
        <v>56971.07</v>
      </c>
      <c r="F831" s="56">
        <v>135560.12</v>
      </c>
      <c r="G831" s="56">
        <v>178053.94</v>
      </c>
      <c r="H831" s="46">
        <v>207542.93</v>
      </c>
      <c r="I831" s="46">
        <v>372006.62</v>
      </c>
      <c r="J831" s="46">
        <v>737229.97</v>
      </c>
      <c r="K831" s="46">
        <v>1326209.68</v>
      </c>
      <c r="L831" s="46">
        <v>2082622.36</v>
      </c>
      <c r="M831" s="46"/>
      <c r="O831" s="46"/>
    </row>
    <row r="832" spans="1:15" x14ac:dyDescent="0.2">
      <c r="A832" s="5">
        <v>804</v>
      </c>
      <c r="B832" s="28">
        <f t="shared" ca="1" si="50"/>
        <v>2105080.4228873109</v>
      </c>
      <c r="C832" s="29">
        <f t="shared" ca="1" si="49"/>
        <v>-0.33532639525438435</v>
      </c>
      <c r="D832" s="30">
        <f t="shared" ca="1" si="51"/>
        <v>-9.5229760943345391E-3</v>
      </c>
      <c r="E832" s="56">
        <v>59139.18</v>
      </c>
      <c r="F832" s="56">
        <v>158001.45000000001</v>
      </c>
      <c r="G832" s="56">
        <v>283549.99</v>
      </c>
      <c r="H832" s="46">
        <v>661356.56999999995</v>
      </c>
      <c r="I832" s="46">
        <v>1005326.58</v>
      </c>
      <c r="J832" s="46">
        <v>1006519.53</v>
      </c>
      <c r="K832" s="46">
        <v>2695519.41</v>
      </c>
      <c r="L832" s="46">
        <v>3887269.64</v>
      </c>
      <c r="M832" s="46"/>
      <c r="O832" s="46"/>
    </row>
    <row r="833" spans="1:15" x14ac:dyDescent="0.2">
      <c r="A833" s="5">
        <v>805</v>
      </c>
      <c r="B833" s="28">
        <f t="shared" ca="1" si="50"/>
        <v>2178487.1945304982</v>
      </c>
      <c r="C833" s="29">
        <f t="shared" ca="1" si="49"/>
        <v>0.74509159875641662</v>
      </c>
      <c r="D833" s="30">
        <f t="shared" ca="1" si="51"/>
        <v>3.4584903809796036E-2</v>
      </c>
      <c r="E833" s="56">
        <v>39414.82</v>
      </c>
      <c r="F833" s="56">
        <v>107132.05</v>
      </c>
      <c r="G833" s="56">
        <v>284343.09999999998</v>
      </c>
      <c r="H833" s="46">
        <v>639089.86</v>
      </c>
      <c r="I833" s="46">
        <v>1380248.61</v>
      </c>
      <c r="J833" s="46">
        <v>4367622.59</v>
      </c>
      <c r="K833" s="46">
        <v>4382728.67</v>
      </c>
      <c r="L833" s="46">
        <v>9974445.3800000008</v>
      </c>
      <c r="M833" s="46"/>
      <c r="O833" s="46"/>
    </row>
    <row r="834" spans="1:15" x14ac:dyDescent="0.2">
      <c r="A834" s="5">
        <v>806</v>
      </c>
      <c r="B834" s="28">
        <f t="shared" ca="1" si="50"/>
        <v>2259599.1174387024</v>
      </c>
      <c r="C834" s="29">
        <f t="shared" ca="1" si="49"/>
        <v>0.8031824032923004</v>
      </c>
      <c r="D834" s="30">
        <f t="shared" ca="1" si="51"/>
        <v>3.6956450974140527E-2</v>
      </c>
      <c r="E834" s="56">
        <v>47641.15</v>
      </c>
      <c r="F834" s="56">
        <v>102866.35</v>
      </c>
      <c r="G834" s="56">
        <v>211360.74</v>
      </c>
      <c r="H834" s="46">
        <v>577309.56000000006</v>
      </c>
      <c r="I834" s="46">
        <v>462082.6</v>
      </c>
      <c r="J834" s="46">
        <v>1047029.51</v>
      </c>
      <c r="K834" s="46">
        <v>1713519.51</v>
      </c>
      <c r="L834" s="46">
        <v>3578241.73</v>
      </c>
      <c r="M834" s="46"/>
      <c r="O834" s="46"/>
    </row>
    <row r="835" spans="1:15" x14ac:dyDescent="0.2">
      <c r="A835" s="5">
        <v>807</v>
      </c>
      <c r="B835" s="28">
        <f t="shared" ca="1" si="50"/>
        <v>2341159.7402137881</v>
      </c>
      <c r="C835" s="29">
        <f t="shared" ca="1" si="49"/>
        <v>0.7755512795031495</v>
      </c>
      <c r="D835" s="30">
        <f t="shared" ca="1" si="51"/>
        <v>3.5828415069088904E-2</v>
      </c>
      <c r="E835" s="56">
        <v>71026.77</v>
      </c>
      <c r="F835" s="56">
        <v>211871.26</v>
      </c>
      <c r="G835" s="56">
        <v>291857.12</v>
      </c>
      <c r="H835" s="46">
        <v>549089.56000000006</v>
      </c>
      <c r="I835" s="46">
        <v>3295753.71</v>
      </c>
      <c r="J835" s="46">
        <v>12736863.560000001</v>
      </c>
      <c r="K835" s="46">
        <v>11002693.109999999</v>
      </c>
      <c r="L835" s="46">
        <v>9699743.3900000006</v>
      </c>
      <c r="M835" s="46"/>
      <c r="O835" s="46"/>
    </row>
    <row r="836" spans="1:15" x14ac:dyDescent="0.2">
      <c r="A836" s="5">
        <v>808</v>
      </c>
      <c r="B836" s="28">
        <f t="shared" ca="1" si="50"/>
        <v>2497958.4280853877</v>
      </c>
      <c r="C836" s="29">
        <f t="shared" ca="1" si="49"/>
        <v>1.5321720111971426</v>
      </c>
      <c r="D836" s="30">
        <f t="shared" ca="1" si="51"/>
        <v>6.6717327093447895E-2</v>
      </c>
      <c r="E836" s="56">
        <v>34402.720000000001</v>
      </c>
      <c r="F836" s="56">
        <v>85541.97</v>
      </c>
      <c r="G836" s="56">
        <v>169071.85</v>
      </c>
      <c r="H836" s="46">
        <v>242429.86</v>
      </c>
      <c r="I836" s="46">
        <v>449156.13</v>
      </c>
      <c r="J836" s="46">
        <v>976371.25</v>
      </c>
      <c r="K836" s="46">
        <v>2129806.0099999998</v>
      </c>
      <c r="L836" s="46">
        <v>3127614.48</v>
      </c>
      <c r="M836" s="46"/>
      <c r="O836" s="46"/>
    </row>
    <row r="837" spans="1:15" x14ac:dyDescent="0.2">
      <c r="A837" s="5">
        <v>809</v>
      </c>
      <c r="B837" s="28">
        <f t="shared" ca="1" si="50"/>
        <v>2635815.7663871427</v>
      </c>
      <c r="C837" s="29">
        <f t="shared" ca="1" si="49"/>
        <v>1.243851690579548</v>
      </c>
      <c r="D837" s="30">
        <f t="shared" ca="1" si="51"/>
        <v>5.4946699293635305E-2</v>
      </c>
      <c r="E837" s="56">
        <v>47911.97</v>
      </c>
      <c r="F837" s="56">
        <v>158839.91</v>
      </c>
      <c r="G837" s="56">
        <v>322138.15000000002</v>
      </c>
      <c r="H837" s="46">
        <v>553855.79</v>
      </c>
      <c r="I837" s="46">
        <v>889371.56</v>
      </c>
      <c r="J837" s="46">
        <v>1057342.3</v>
      </c>
      <c r="K837" s="46">
        <v>1233493.6299999999</v>
      </c>
      <c r="L837" s="46">
        <v>3141155.18</v>
      </c>
      <c r="M837" s="46"/>
      <c r="O837" s="46"/>
    </row>
    <row r="838" spans="1:15" x14ac:dyDescent="0.2">
      <c r="A838" s="5">
        <v>810</v>
      </c>
      <c r="B838" s="28">
        <f t="shared" ca="1" si="50"/>
        <v>2718679.9143793075</v>
      </c>
      <c r="C838" s="29">
        <f t="shared" ca="1" si="49"/>
        <v>0.6624010958966069</v>
      </c>
      <c r="D838" s="30">
        <f t="shared" ca="1" si="51"/>
        <v>3.1209078166784584E-2</v>
      </c>
      <c r="E838" s="56">
        <v>53730.13</v>
      </c>
      <c r="F838" s="56">
        <v>122749.7</v>
      </c>
      <c r="G838" s="56">
        <v>242642.9</v>
      </c>
      <c r="H838" s="46">
        <v>409730.97</v>
      </c>
      <c r="I838" s="46">
        <v>989447.25</v>
      </c>
      <c r="J838" s="46">
        <v>1027265.49</v>
      </c>
      <c r="K838" s="46">
        <v>1995333.62</v>
      </c>
      <c r="L838" s="46">
        <v>4493177.7699999996</v>
      </c>
      <c r="M838" s="46"/>
      <c r="O838" s="46"/>
    </row>
    <row r="839" spans="1:15" x14ac:dyDescent="0.2">
      <c r="A839" s="5">
        <v>811</v>
      </c>
      <c r="B839" s="28">
        <f t="shared" ca="1" si="50"/>
        <v>2987771.5606135945</v>
      </c>
      <c r="C839" s="29">
        <f t="shared" ca="1" si="49"/>
        <v>2.3169823707133279</v>
      </c>
      <c r="D839" s="30">
        <f t="shared" ca="1" si="51"/>
        <v>9.8757075854529142E-2</v>
      </c>
      <c r="E839" s="56">
        <v>68939.95</v>
      </c>
      <c r="F839" s="56">
        <v>215981.78</v>
      </c>
      <c r="G839" s="56">
        <v>387323.44</v>
      </c>
      <c r="H839" s="46">
        <v>580350.18000000005</v>
      </c>
      <c r="I839" s="46">
        <v>826098.14</v>
      </c>
      <c r="J839" s="46">
        <v>1623078</v>
      </c>
      <c r="K839" s="46">
        <v>1707433.55</v>
      </c>
      <c r="L839" s="46">
        <v>4587280.96</v>
      </c>
      <c r="M839" s="46"/>
      <c r="O839" s="46"/>
    </row>
    <row r="840" spans="1:15" x14ac:dyDescent="0.2">
      <c r="A840" s="5">
        <v>812</v>
      </c>
      <c r="B840" s="28">
        <f t="shared" ca="1" si="50"/>
        <v>3200821.2318936889</v>
      </c>
      <c r="C840" s="29">
        <f t="shared" ca="1" si="49"/>
        <v>1.6396591421229056</v>
      </c>
      <c r="D840" s="30">
        <f t="shared" ca="1" si="51"/>
        <v>7.1105470838178711E-2</v>
      </c>
      <c r="E840" s="56">
        <v>60069.89</v>
      </c>
      <c r="F840" s="56">
        <v>275500.52</v>
      </c>
      <c r="G840" s="56">
        <v>796102.74</v>
      </c>
      <c r="H840" s="46">
        <v>1353617.55</v>
      </c>
      <c r="I840" s="46">
        <v>3971255.69</v>
      </c>
      <c r="J840" s="46">
        <v>4639496.09</v>
      </c>
      <c r="K840" s="46">
        <v>7691494.3300000001</v>
      </c>
      <c r="L840" s="46">
        <v>5385476.21</v>
      </c>
      <c r="M840" s="46"/>
      <c r="O840" s="46"/>
    </row>
    <row r="841" spans="1:15" x14ac:dyDescent="0.2">
      <c r="A841" s="5">
        <v>813</v>
      </c>
      <c r="B841" s="28">
        <f t="shared" ca="1" si="50"/>
        <v>3198151.5082491799</v>
      </c>
      <c r="C841" s="29">
        <f t="shared" ca="1" si="49"/>
        <v>-0.12710543934923291</v>
      </c>
      <c r="D841" s="30">
        <f t="shared" ca="1" si="51"/>
        <v>-1.0223911656315901E-3</v>
      </c>
      <c r="E841" s="56">
        <v>52142.74</v>
      </c>
      <c r="F841" s="56">
        <v>90468.62</v>
      </c>
      <c r="G841" s="56">
        <v>145437.87</v>
      </c>
      <c r="H841" s="46">
        <v>415491.99</v>
      </c>
      <c r="I841" s="46">
        <v>933327.99</v>
      </c>
      <c r="J841" s="46">
        <v>2432393.98</v>
      </c>
      <c r="K841" s="46">
        <v>2363738.37</v>
      </c>
      <c r="L841" s="46">
        <v>5441471.5099999998</v>
      </c>
      <c r="M841" s="46"/>
      <c r="O841" s="46"/>
    </row>
    <row r="842" spans="1:15" x14ac:dyDescent="0.2">
      <c r="A842" s="5">
        <v>814</v>
      </c>
      <c r="B842" s="28">
        <f t="shared" ca="1" si="50"/>
        <v>3240060.7730858205</v>
      </c>
      <c r="C842" s="29">
        <f t="shared" ca="1" si="49"/>
        <v>0.21430768276132772</v>
      </c>
      <c r="D842" s="30">
        <f t="shared" ca="1" si="51"/>
        <v>1.291574117872506E-2</v>
      </c>
      <c r="E842" s="56">
        <v>58125.45</v>
      </c>
      <c r="F842" s="56">
        <v>156270.21</v>
      </c>
      <c r="G842" s="56">
        <v>478102.62</v>
      </c>
      <c r="H842" s="46">
        <v>426417.59</v>
      </c>
      <c r="I842" s="46">
        <v>852711.64</v>
      </c>
      <c r="J842" s="46">
        <v>916853.31</v>
      </c>
      <c r="K842" s="46">
        <v>2302625.7000000002</v>
      </c>
      <c r="L842" s="46">
        <v>6379388.6399999997</v>
      </c>
      <c r="M842" s="46"/>
      <c r="O842" s="46"/>
    </row>
    <row r="843" spans="1:15" x14ac:dyDescent="0.2">
      <c r="A843" s="5">
        <v>815</v>
      </c>
      <c r="B843" s="28">
        <f t="shared" ca="1" si="50"/>
        <v>3224697.51854666</v>
      </c>
      <c r="C843" s="29">
        <f t="shared" ca="1" si="49"/>
        <v>-0.22276538795747564</v>
      </c>
      <c r="D843" s="30">
        <f t="shared" ca="1" si="51"/>
        <v>-4.9276922141491984E-3</v>
      </c>
      <c r="E843" s="56">
        <v>45334.2</v>
      </c>
      <c r="F843" s="56">
        <v>111860.39</v>
      </c>
      <c r="G843" s="56">
        <v>599848.23</v>
      </c>
      <c r="H843" s="46">
        <v>506106.82</v>
      </c>
      <c r="I843" s="46">
        <v>1000757.84</v>
      </c>
      <c r="J843" s="46">
        <v>1511770</v>
      </c>
      <c r="K843" s="46">
        <v>2916869.28</v>
      </c>
      <c r="L843" s="46">
        <v>3177059.75</v>
      </c>
      <c r="M843" s="46"/>
      <c r="O843" s="46"/>
    </row>
    <row r="844" spans="1:15" x14ac:dyDescent="0.2">
      <c r="A844" s="5">
        <v>816</v>
      </c>
      <c r="B844" s="28">
        <f t="shared" ca="1" si="50"/>
        <v>3116491.1636224594</v>
      </c>
      <c r="C844" s="29">
        <f t="shared" ca="1" si="49"/>
        <v>-0.92857937624018205</v>
      </c>
      <c r="D844" s="30">
        <f t="shared" ca="1" si="51"/>
        <v>-3.3742427624338794E-2</v>
      </c>
      <c r="E844" s="56">
        <v>71781.11</v>
      </c>
      <c r="F844" s="56">
        <v>285700.89</v>
      </c>
      <c r="G844" s="56">
        <v>434042.57</v>
      </c>
      <c r="H844" s="46">
        <v>647216.46</v>
      </c>
      <c r="I844" s="46">
        <v>968448.13</v>
      </c>
      <c r="J844" s="46">
        <v>1502718.41</v>
      </c>
      <c r="K844" s="46">
        <v>3095254.93</v>
      </c>
      <c r="L844" s="46">
        <v>3634819.87</v>
      </c>
      <c r="M844" s="46"/>
      <c r="O844" s="46"/>
    </row>
    <row r="845" spans="1:15" x14ac:dyDescent="0.2">
      <c r="A845" s="5">
        <v>817</v>
      </c>
      <c r="B845" s="28">
        <f t="shared" ca="1" si="50"/>
        <v>2981857.1562334197</v>
      </c>
      <c r="C845" s="29">
        <f t="shared" ca="1" si="49"/>
        <v>-1.1649917459242931</v>
      </c>
      <c r="D845" s="30">
        <f t="shared" ca="1" si="51"/>
        <v>-4.3393922201143707E-2</v>
      </c>
      <c r="E845" s="56">
        <v>60213.93</v>
      </c>
      <c r="F845" s="56">
        <v>111077.39</v>
      </c>
      <c r="G845" s="56">
        <v>223099.18</v>
      </c>
      <c r="H845" s="46">
        <v>336732.23</v>
      </c>
      <c r="I845" s="46">
        <v>1057406.8999999999</v>
      </c>
      <c r="J845" s="46">
        <v>2667948.08</v>
      </c>
      <c r="K845" s="46">
        <v>11149415.390000001</v>
      </c>
      <c r="L845" s="46">
        <v>10968333.49</v>
      </c>
      <c r="M845" s="46"/>
      <c r="O845" s="46"/>
    </row>
    <row r="846" spans="1:15" x14ac:dyDescent="0.2">
      <c r="A846" s="5">
        <v>818</v>
      </c>
      <c r="B846" s="28">
        <f t="shared" ca="1" si="50"/>
        <v>2838061.1140066935</v>
      </c>
      <c r="C846" s="29">
        <f t="shared" ca="1" si="49"/>
        <v>-1.2882470079348403</v>
      </c>
      <c r="D846" s="30">
        <f t="shared" ca="1" si="51"/>
        <v>-4.8425797201791847E-2</v>
      </c>
      <c r="E846" s="56">
        <v>71925.03</v>
      </c>
      <c r="F846" s="56">
        <v>190737.03</v>
      </c>
      <c r="G846" s="56">
        <v>332659.71000000002</v>
      </c>
      <c r="H846" s="46">
        <v>433535.28</v>
      </c>
      <c r="I846" s="46">
        <v>1038993.96</v>
      </c>
      <c r="J846" s="46">
        <v>1183361.24</v>
      </c>
      <c r="K846" s="46">
        <v>1603560.13</v>
      </c>
      <c r="L846" s="46">
        <v>3480319.7</v>
      </c>
      <c r="M846" s="46"/>
      <c r="O846" s="46"/>
    </row>
    <row r="847" spans="1:15" x14ac:dyDescent="0.2">
      <c r="A847" s="5">
        <v>819</v>
      </c>
      <c r="B847" s="28">
        <f t="shared" ca="1" si="50"/>
        <v>2830651.104580313</v>
      </c>
      <c r="C847" s="29">
        <f t="shared" ca="1" si="49"/>
        <v>-0.17121919999241011</v>
      </c>
      <c r="D847" s="30">
        <f t="shared" ca="1" si="51"/>
        <v>-2.8233279024825033E-3</v>
      </c>
      <c r="E847" s="56">
        <v>122199.24</v>
      </c>
      <c r="F847" s="56">
        <v>249816.63</v>
      </c>
      <c r="G847" s="56">
        <v>307576.90000000002</v>
      </c>
      <c r="H847" s="46">
        <v>584016.06000000006</v>
      </c>
      <c r="I847" s="46">
        <v>1438449.69</v>
      </c>
      <c r="J847" s="46">
        <v>4807279.71</v>
      </c>
      <c r="K847" s="46">
        <v>11056088.050000001</v>
      </c>
      <c r="L847" s="46">
        <v>41507011.68</v>
      </c>
      <c r="M847" s="46"/>
      <c r="O847" s="46"/>
    </row>
    <row r="848" spans="1:15" x14ac:dyDescent="0.2">
      <c r="A848" s="5">
        <v>820</v>
      </c>
      <c r="B848" s="28">
        <f t="shared" ca="1" si="50"/>
        <v>2692667.5881152176</v>
      </c>
      <c r="C848" s="29">
        <f t="shared" ca="1" si="49"/>
        <v>-1.3013115351075266</v>
      </c>
      <c r="D848" s="30">
        <f t="shared" ca="1" si="51"/>
        <v>-4.8959154290188635E-2</v>
      </c>
      <c r="E848" s="56">
        <v>44282.99</v>
      </c>
      <c r="F848" s="56">
        <v>244954.88</v>
      </c>
      <c r="G848" s="56">
        <v>396355.59</v>
      </c>
      <c r="H848" s="46">
        <v>591681.23</v>
      </c>
      <c r="I848" s="46">
        <v>1814658.57</v>
      </c>
      <c r="J848" s="46">
        <v>2390692.14</v>
      </c>
      <c r="K848" s="46">
        <v>3345724.46</v>
      </c>
      <c r="L848" s="46">
        <v>4716582.72</v>
      </c>
      <c r="M848" s="46"/>
      <c r="O848" s="46"/>
    </row>
    <row r="849" spans="1:15" x14ac:dyDescent="0.2">
      <c r="A849" s="5">
        <v>821</v>
      </c>
      <c r="B849" s="28">
        <f t="shared" ca="1" si="50"/>
        <v>2596845.3034610506</v>
      </c>
      <c r="C849" s="29">
        <f t="shared" ca="1" si="49"/>
        <v>-0.97923004442737849</v>
      </c>
      <c r="D849" s="30">
        <f t="shared" ca="1" si="51"/>
        <v>-3.581023249416633E-2</v>
      </c>
      <c r="E849" s="56">
        <v>71517.67</v>
      </c>
      <c r="F849" s="56">
        <v>170454.9</v>
      </c>
      <c r="G849" s="56">
        <v>231791.2</v>
      </c>
      <c r="H849" s="46">
        <v>231200.07</v>
      </c>
      <c r="I849" s="46">
        <v>365339.46</v>
      </c>
      <c r="J849" s="46">
        <v>383393.69</v>
      </c>
      <c r="K849" s="46">
        <v>441406.28</v>
      </c>
      <c r="L849" s="46">
        <v>857311.29</v>
      </c>
      <c r="M849" s="46"/>
      <c r="O849" s="46"/>
    </row>
    <row r="850" spans="1:15" x14ac:dyDescent="0.2">
      <c r="A850" s="5">
        <v>822</v>
      </c>
      <c r="B850" s="28">
        <f t="shared" ca="1" si="50"/>
        <v>2839274.1558977952</v>
      </c>
      <c r="C850" s="29">
        <f t="shared" ca="1" si="49"/>
        <v>2.1789768221403736</v>
      </c>
      <c r="D850" s="30">
        <f t="shared" ca="1" si="51"/>
        <v>9.3123022926585516E-2</v>
      </c>
      <c r="E850" s="56">
        <v>63929.31</v>
      </c>
      <c r="F850" s="56">
        <v>140876.04</v>
      </c>
      <c r="G850" s="56">
        <v>215182.27</v>
      </c>
      <c r="H850" s="46">
        <v>414411.74</v>
      </c>
      <c r="I850" s="46">
        <v>568725.28</v>
      </c>
      <c r="J850" s="46">
        <v>995658.15</v>
      </c>
      <c r="K850" s="46">
        <v>872272.46</v>
      </c>
      <c r="L850" s="46">
        <v>946873.89</v>
      </c>
      <c r="M850" s="46"/>
      <c r="O850" s="46"/>
    </row>
    <row r="851" spans="1:15" x14ac:dyDescent="0.2">
      <c r="A851" s="5">
        <v>823</v>
      </c>
      <c r="B851" s="28">
        <f t="shared" ca="1" si="50"/>
        <v>2794734.9678870188</v>
      </c>
      <c r="C851" s="29">
        <f t="shared" ca="1" si="49"/>
        <v>-0.49150934478975028</v>
      </c>
      <c r="D851" s="30">
        <f t="shared" ca="1" si="51"/>
        <v>-1.5899118309076234E-2</v>
      </c>
      <c r="E851" s="56">
        <v>50245.89</v>
      </c>
      <c r="F851" s="56">
        <v>135739.82</v>
      </c>
      <c r="G851" s="56">
        <v>219697.06</v>
      </c>
      <c r="H851" s="46">
        <v>198099.37</v>
      </c>
      <c r="I851" s="46">
        <v>441432.71</v>
      </c>
      <c r="J851" s="46">
        <v>712216.99</v>
      </c>
      <c r="K851" s="46">
        <v>1376104.55</v>
      </c>
      <c r="L851" s="46">
        <v>1145338.55</v>
      </c>
      <c r="M851" s="46"/>
      <c r="O851" s="46"/>
    </row>
    <row r="852" spans="1:15" x14ac:dyDescent="0.2">
      <c r="A852" s="5">
        <v>824</v>
      </c>
      <c r="B852" s="28">
        <f t="shared" ca="1" si="50"/>
        <v>2698718.8040126916</v>
      </c>
      <c r="C852" s="29">
        <f t="shared" ca="1" si="49"/>
        <v>-0.94889400689054482</v>
      </c>
      <c r="D852" s="30">
        <f t="shared" ca="1" si="51"/>
        <v>-3.4571768947780336E-2</v>
      </c>
      <c r="E852" s="56">
        <v>68381.34</v>
      </c>
      <c r="F852" s="56">
        <v>333094.8</v>
      </c>
      <c r="G852" s="56">
        <v>528567.57999999996</v>
      </c>
      <c r="H852" s="46">
        <v>451226.26</v>
      </c>
      <c r="I852" s="46">
        <v>809603.46</v>
      </c>
      <c r="J852" s="46">
        <v>2490684.27</v>
      </c>
      <c r="K852" s="46">
        <v>6374033.75</v>
      </c>
      <c r="L852" s="46">
        <v>5883147.3899999997</v>
      </c>
      <c r="M852" s="46"/>
      <c r="O852" s="46"/>
    </row>
    <row r="853" spans="1:15" x14ac:dyDescent="0.2">
      <c r="A853" s="5">
        <v>825</v>
      </c>
      <c r="B853" s="28">
        <f t="shared" ca="1" si="50"/>
        <v>2682654.1523423097</v>
      </c>
      <c r="C853" s="29">
        <f t="shared" ca="1" si="49"/>
        <v>-0.25334375761324723</v>
      </c>
      <c r="D853" s="30">
        <f t="shared" ca="1" si="51"/>
        <v>-6.1760489278632801E-3</v>
      </c>
      <c r="E853" s="56">
        <v>57841.61</v>
      </c>
      <c r="F853" s="56">
        <v>128655.22</v>
      </c>
      <c r="G853" s="56">
        <v>269484.08</v>
      </c>
      <c r="H853" s="46">
        <v>364686.37</v>
      </c>
      <c r="I853" s="46">
        <v>590411.61</v>
      </c>
      <c r="J853" s="46">
        <v>1489449.56</v>
      </c>
      <c r="K853" s="46">
        <v>4379623.05</v>
      </c>
      <c r="L853" s="46">
        <v>5091183.37</v>
      </c>
      <c r="M853" s="46"/>
      <c r="O853" s="46"/>
    </row>
    <row r="854" spans="1:15" x14ac:dyDescent="0.2">
      <c r="A854" s="5">
        <v>826</v>
      </c>
      <c r="B854" s="28">
        <f t="shared" ca="1" si="50"/>
        <v>2630756.3406078205</v>
      </c>
      <c r="C854" s="29">
        <f t="shared" ca="1" si="49"/>
        <v>-0.58143669016307931</v>
      </c>
      <c r="D854" s="30">
        <f t="shared" ca="1" si="51"/>
        <v>-1.9570386810537729E-2</v>
      </c>
      <c r="E854" s="56">
        <v>42456.94</v>
      </c>
      <c r="F854" s="56">
        <v>119620.48</v>
      </c>
      <c r="G854" s="56">
        <v>186365.51</v>
      </c>
      <c r="H854" s="46">
        <v>256957.75</v>
      </c>
      <c r="I854" s="46">
        <v>491598.28</v>
      </c>
      <c r="J854" s="46">
        <v>1274803.92</v>
      </c>
      <c r="K854" s="46">
        <v>3081642.5</v>
      </c>
      <c r="L854" s="46">
        <v>3983473.92</v>
      </c>
      <c r="M854" s="46"/>
      <c r="O854" s="46"/>
    </row>
    <row r="855" spans="1:15" x14ac:dyDescent="0.2">
      <c r="A855" s="5">
        <v>827</v>
      </c>
      <c r="B855" s="28">
        <f t="shared" ca="1" si="50"/>
        <v>2743388.3341169115</v>
      </c>
      <c r="C855" s="29">
        <f t="shared" ca="1" si="49"/>
        <v>0.94103886098792444</v>
      </c>
      <c r="D855" s="30">
        <f t="shared" ca="1" si="51"/>
        <v>4.258441729250477E-2</v>
      </c>
      <c r="E855" s="56">
        <v>51493.75</v>
      </c>
      <c r="F855" s="56">
        <v>102940.73</v>
      </c>
      <c r="G855" s="56">
        <v>184738.84</v>
      </c>
      <c r="H855" s="46">
        <v>262585.53000000003</v>
      </c>
      <c r="I855" s="46">
        <v>437438.52</v>
      </c>
      <c r="J855" s="46">
        <v>477777.47</v>
      </c>
      <c r="K855" s="46">
        <v>569782.14</v>
      </c>
      <c r="L855" s="46">
        <v>706036.57</v>
      </c>
      <c r="M855" s="46"/>
      <c r="O855" s="46"/>
    </row>
    <row r="856" spans="1:15" x14ac:dyDescent="0.2">
      <c r="A856" s="5">
        <v>828</v>
      </c>
      <c r="B856" s="28">
        <f t="shared" ca="1" si="50"/>
        <v>2855593.3303362899</v>
      </c>
      <c r="C856" s="29">
        <f t="shared" ca="1" si="49"/>
        <v>0.89440098956252723</v>
      </c>
      <c r="D856" s="30">
        <f t="shared" ca="1" si="51"/>
        <v>4.068043416447558E-2</v>
      </c>
      <c r="E856" s="56">
        <v>66386.539999999994</v>
      </c>
      <c r="F856" s="56">
        <v>131925.48000000001</v>
      </c>
      <c r="G856" s="56">
        <v>415628.63</v>
      </c>
      <c r="H856" s="46">
        <v>714472.59</v>
      </c>
      <c r="I856" s="46">
        <v>1238082.45</v>
      </c>
      <c r="J856" s="46">
        <v>2040102.21</v>
      </c>
      <c r="K856" s="46">
        <v>1643282.95</v>
      </c>
      <c r="L856" s="46">
        <v>5328136.28</v>
      </c>
      <c r="M856" s="46"/>
      <c r="O856" s="46"/>
    </row>
    <row r="857" spans="1:15" x14ac:dyDescent="0.2">
      <c r="A857" s="5">
        <v>829</v>
      </c>
      <c r="B857" s="28">
        <f t="shared" ca="1" si="50"/>
        <v>2773202.2553456197</v>
      </c>
      <c r="C857" s="29">
        <f t="shared" ca="1" si="49"/>
        <v>-0.81397214832373022</v>
      </c>
      <c r="D857" s="30">
        <f t="shared" ca="1" si="51"/>
        <v>-2.906360713716942E-2</v>
      </c>
      <c r="E857" s="56">
        <v>50262.53</v>
      </c>
      <c r="F857" s="56">
        <v>169069.3</v>
      </c>
      <c r="G857" s="56">
        <v>354727.05</v>
      </c>
      <c r="H857" s="46">
        <v>563888.55000000005</v>
      </c>
      <c r="I857" s="46">
        <v>1114379.79</v>
      </c>
      <c r="J857" s="46">
        <v>1230525.8700000001</v>
      </c>
      <c r="K857" s="46">
        <v>2350549.5099999998</v>
      </c>
      <c r="L857" s="46">
        <v>7564881.2000000002</v>
      </c>
      <c r="M857" s="46"/>
      <c r="O857" s="46"/>
    </row>
    <row r="858" spans="1:15" x14ac:dyDescent="0.2">
      <c r="A858" s="5">
        <v>830</v>
      </c>
      <c r="B858" s="28">
        <f t="shared" ca="1" si="50"/>
        <v>2752868.9754265705</v>
      </c>
      <c r="C858" s="29">
        <f t="shared" ca="1" si="49"/>
        <v>-0.28698415614774264</v>
      </c>
      <c r="D858" s="30">
        <f t="shared" ca="1" si="51"/>
        <v>-7.5494124470863603E-3</v>
      </c>
      <c r="E858" s="56">
        <v>90290.09</v>
      </c>
      <c r="F858" s="56">
        <v>195002.67</v>
      </c>
      <c r="G858" s="56">
        <v>188391.87</v>
      </c>
      <c r="H858" s="46">
        <v>540068.80000000005</v>
      </c>
      <c r="I858" s="46">
        <v>1345976.46</v>
      </c>
      <c r="J858" s="46">
        <v>2663207.23</v>
      </c>
      <c r="K858" s="46">
        <v>1214819.07</v>
      </c>
      <c r="L858" s="46">
        <v>2771422.79</v>
      </c>
      <c r="M858" s="46"/>
      <c r="O858" s="46"/>
    </row>
    <row r="859" spans="1:15" x14ac:dyDescent="0.2">
      <c r="A859" s="5">
        <v>831</v>
      </c>
      <c r="B859" s="28">
        <f t="shared" ca="1" si="50"/>
        <v>2945032.693653937</v>
      </c>
      <c r="C859" s="29">
        <f t="shared" ca="1" si="49"/>
        <v>1.6024381691646936</v>
      </c>
      <c r="D859" s="30">
        <f t="shared" ca="1" si="51"/>
        <v>6.9585930980219535E-2</v>
      </c>
      <c r="E859" s="56">
        <v>53487.39</v>
      </c>
      <c r="F859" s="56">
        <v>119341.08</v>
      </c>
      <c r="G859" s="56">
        <v>209864.58</v>
      </c>
      <c r="H859" s="46">
        <v>311600.77</v>
      </c>
      <c r="I859" s="46">
        <v>587616.31000000006</v>
      </c>
      <c r="J859" s="46">
        <v>457213</v>
      </c>
      <c r="K859" s="46">
        <v>657310.89</v>
      </c>
      <c r="L859" s="46">
        <v>1244888.48</v>
      </c>
      <c r="M859" s="46"/>
      <c r="O859" s="46"/>
    </row>
    <row r="860" spans="1:15" x14ac:dyDescent="0.2">
      <c r="A860" s="5">
        <v>832</v>
      </c>
      <c r="B860" s="28">
        <f t="shared" ca="1" si="50"/>
        <v>2975634.9657312282</v>
      </c>
      <c r="C860" s="29">
        <f t="shared" ca="1" si="49"/>
        <v>0.14745460814967365</v>
      </c>
      <c r="D860" s="30">
        <f t="shared" ca="1" si="51"/>
        <v>1.0186475836478973E-2</v>
      </c>
      <c r="E860" s="56">
        <v>41155.769999999997</v>
      </c>
      <c r="F860" s="56">
        <v>121133.29</v>
      </c>
      <c r="G860" s="56">
        <v>218877.16</v>
      </c>
      <c r="H860" s="46">
        <v>661860.19999999995</v>
      </c>
      <c r="I860" s="46">
        <v>1120815.78</v>
      </c>
      <c r="J860" s="46">
        <v>4169994.96</v>
      </c>
      <c r="K860" s="46">
        <v>8675049.6199999992</v>
      </c>
      <c r="L860" s="46">
        <v>17078453.149999999</v>
      </c>
      <c r="M860" s="46"/>
      <c r="O860" s="46"/>
    </row>
    <row r="861" spans="1:15" x14ac:dyDescent="0.2">
      <c r="A861" s="5">
        <v>833</v>
      </c>
      <c r="B861" s="28">
        <f t="shared" ca="1" si="50"/>
        <v>2840539.0929205865</v>
      </c>
      <c r="C861" s="29">
        <f t="shared" ca="1" si="49"/>
        <v>-1.2191091294038241</v>
      </c>
      <c r="D861" s="30">
        <f t="shared" ca="1" si="51"/>
        <v>-4.5603255130133295E-2</v>
      </c>
      <c r="E861" s="56">
        <v>35422.61</v>
      </c>
      <c r="F861" s="56">
        <v>158128.88</v>
      </c>
      <c r="G861" s="56">
        <v>462113.67</v>
      </c>
      <c r="H861" s="46">
        <v>1500571.6</v>
      </c>
      <c r="I861" s="46">
        <v>2384602.56</v>
      </c>
      <c r="J861" s="46">
        <v>5230496.7</v>
      </c>
      <c r="K861" s="46">
        <v>13569526.92</v>
      </c>
      <c r="L861" s="46">
        <v>26797366.039999999</v>
      </c>
      <c r="M861" s="46"/>
      <c r="O861" s="46"/>
    </row>
    <row r="862" spans="1:15" x14ac:dyDescent="0.2">
      <c r="A862" s="5">
        <v>834</v>
      </c>
      <c r="B862" s="28">
        <f t="shared" ca="1" si="50"/>
        <v>3001882.3605211098</v>
      </c>
      <c r="C862" s="29">
        <f t="shared" ca="1" si="49"/>
        <v>1.2840558186089408</v>
      </c>
      <c r="D862" s="30">
        <f t="shared" ca="1" si="51"/>
        <v>5.6588025947394295E-2</v>
      </c>
      <c r="E862" s="56">
        <v>36640.17</v>
      </c>
      <c r="F862" s="56">
        <v>125066.44</v>
      </c>
      <c r="G862" s="56">
        <v>192623.47</v>
      </c>
      <c r="H862" s="46">
        <v>390006.2</v>
      </c>
      <c r="I862" s="46">
        <v>912447.22</v>
      </c>
      <c r="J862" s="46">
        <v>2304066.77</v>
      </c>
      <c r="K862" s="46">
        <v>3988200.65</v>
      </c>
      <c r="L862" s="46">
        <v>4363431.4000000004</v>
      </c>
      <c r="M862" s="46"/>
      <c r="O862" s="46"/>
    </row>
    <row r="863" spans="1:15" x14ac:dyDescent="0.2">
      <c r="A863" s="5">
        <v>835</v>
      </c>
      <c r="B863" s="28">
        <f t="shared" ca="1" si="50"/>
        <v>3082146.2470632424</v>
      </c>
      <c r="C863" s="29">
        <f t="shared" ref="C863:C926" ca="1" si="52">NORMSINV(RAND())</f>
        <v>0.54796038014427251</v>
      </c>
      <c r="D863" s="30">
        <f t="shared" ca="1" si="51"/>
        <v>2.6537055510249444E-2</v>
      </c>
      <c r="E863" s="56">
        <v>39847.050000000003</v>
      </c>
      <c r="F863" s="56">
        <v>149058.57</v>
      </c>
      <c r="G863" s="56">
        <v>574066.57999999996</v>
      </c>
      <c r="H863" s="46">
        <v>692101.25</v>
      </c>
      <c r="I863" s="46">
        <v>612126.4</v>
      </c>
      <c r="J863" s="46">
        <v>581913.32999999996</v>
      </c>
      <c r="K863" s="46">
        <v>884867.62</v>
      </c>
      <c r="L863" s="46">
        <v>1275164.53</v>
      </c>
      <c r="M863" s="46"/>
      <c r="O863" s="46"/>
    </row>
    <row r="864" spans="1:15" x14ac:dyDescent="0.2">
      <c r="A864" s="5">
        <v>836</v>
      </c>
      <c r="B864" s="28">
        <f t="shared" ca="1" si="50"/>
        <v>3057717.9198689647</v>
      </c>
      <c r="C864" s="29">
        <f t="shared" ca="1" si="52"/>
        <v>-0.30099296457691388</v>
      </c>
      <c r="D864" s="30">
        <f t="shared" ca="1" si="51"/>
        <v>-8.1213196563508505E-3</v>
      </c>
      <c r="E864" s="56">
        <v>58935.95</v>
      </c>
      <c r="F864" s="56">
        <v>171429.67</v>
      </c>
      <c r="G864" s="56">
        <v>326013.5</v>
      </c>
      <c r="H864" s="46">
        <v>636464.87</v>
      </c>
      <c r="I864" s="46">
        <v>620872.02</v>
      </c>
      <c r="J864" s="46">
        <v>835395.03</v>
      </c>
      <c r="K864" s="46">
        <v>980799.42</v>
      </c>
      <c r="L864" s="46">
        <v>2166218.13</v>
      </c>
      <c r="M864" s="46"/>
      <c r="O864" s="46"/>
    </row>
    <row r="865" spans="1:15" x14ac:dyDescent="0.2">
      <c r="A865" s="5">
        <v>837</v>
      </c>
      <c r="B865" s="28">
        <f t="shared" ca="1" si="50"/>
        <v>3252846.3682817956</v>
      </c>
      <c r="C865" s="29">
        <f t="shared" ca="1" si="52"/>
        <v>1.456252566231887</v>
      </c>
      <c r="D865" s="30">
        <f t="shared" ca="1" si="51"/>
        <v>6.3617928731444812E-2</v>
      </c>
      <c r="E865" s="56">
        <v>41081.39</v>
      </c>
      <c r="F865" s="56">
        <v>145142.84</v>
      </c>
      <c r="G865" s="56">
        <v>227233.68</v>
      </c>
      <c r="H865" s="46">
        <v>315135.65000000002</v>
      </c>
      <c r="I865" s="46">
        <v>508085.64</v>
      </c>
      <c r="J865" s="46">
        <v>579956.37</v>
      </c>
      <c r="K865" s="46">
        <v>1148511.25</v>
      </c>
      <c r="L865" s="46">
        <v>2800336.65</v>
      </c>
      <c r="M865" s="46"/>
      <c r="O865" s="46"/>
    </row>
    <row r="866" spans="1:15" x14ac:dyDescent="0.2">
      <c r="A866" s="5">
        <v>838</v>
      </c>
      <c r="B866" s="28">
        <f t="shared" ca="1" si="50"/>
        <v>3319036.8114416287</v>
      </c>
      <c r="C866" s="29">
        <f t="shared" ca="1" si="52"/>
        <v>0.3918325663818259</v>
      </c>
      <c r="D866" s="30">
        <f t="shared" ca="1" si="51"/>
        <v>2.016316420401152E-2</v>
      </c>
      <c r="E866" s="56">
        <v>29471.29</v>
      </c>
      <c r="F866" s="56">
        <v>83221.490000000005</v>
      </c>
      <c r="G866" s="56">
        <v>576629.77</v>
      </c>
      <c r="H866" s="46">
        <v>1457401.4</v>
      </c>
      <c r="I866" s="46">
        <v>1693428.76</v>
      </c>
      <c r="J866" s="46">
        <v>3699594.76</v>
      </c>
      <c r="K866" s="46">
        <v>8827673.2699999996</v>
      </c>
      <c r="L866" s="46">
        <v>8759948.8499999996</v>
      </c>
      <c r="M866" s="46"/>
      <c r="O866" s="46"/>
    </row>
    <row r="867" spans="1:15" x14ac:dyDescent="0.2">
      <c r="A867" s="5">
        <v>839</v>
      </c>
      <c r="B867" s="28">
        <f t="shared" ca="1" si="50"/>
        <v>3177328.8236084869</v>
      </c>
      <c r="C867" s="29">
        <f t="shared" ca="1" si="52"/>
        <v>-1.1523328462890603</v>
      </c>
      <c r="D867" s="30">
        <f t="shared" ca="1" si="51"/>
        <v>-4.2877124787619965E-2</v>
      </c>
      <c r="E867" s="56">
        <v>59977.57</v>
      </c>
      <c r="F867" s="56">
        <v>144078.70000000001</v>
      </c>
      <c r="G867" s="56">
        <v>143326.97</v>
      </c>
      <c r="H867" s="46">
        <v>195581.68</v>
      </c>
      <c r="I867" s="46">
        <v>985931.51</v>
      </c>
      <c r="J867" s="46">
        <v>632199.59</v>
      </c>
      <c r="K867" s="46">
        <v>1156366.21</v>
      </c>
      <c r="L867" s="46">
        <v>2216408.2000000002</v>
      </c>
      <c r="M867" s="46"/>
      <c r="O867" s="46"/>
    </row>
    <row r="868" spans="1:15" x14ac:dyDescent="0.2">
      <c r="A868" s="5">
        <v>840</v>
      </c>
      <c r="B868" s="28">
        <f t="shared" ca="1" si="50"/>
        <v>3324808.7496913946</v>
      </c>
      <c r="C868" s="29">
        <f t="shared" ca="1" si="52"/>
        <v>1.0302541365870972</v>
      </c>
      <c r="D868" s="30">
        <f t="shared" ca="1" si="51"/>
        <v>4.6226615667167237E-2</v>
      </c>
      <c r="E868" s="56">
        <v>53054.14</v>
      </c>
      <c r="F868" s="56">
        <v>160085.59</v>
      </c>
      <c r="G868" s="56">
        <v>437067.28</v>
      </c>
      <c r="H868" s="46">
        <v>702237.52</v>
      </c>
      <c r="I868" s="46">
        <v>916387.85</v>
      </c>
      <c r="J868" s="46">
        <v>2100699.29</v>
      </c>
      <c r="K868" s="46">
        <v>4841667.4400000004</v>
      </c>
      <c r="L868" s="46">
        <v>3774255.07</v>
      </c>
      <c r="M868" s="46"/>
      <c r="O868" s="46"/>
    </row>
    <row r="869" spans="1:15" x14ac:dyDescent="0.2">
      <c r="A869" s="5">
        <v>841</v>
      </c>
      <c r="B869" s="28">
        <f t="shared" ref="B869:B932" ca="1" si="53">(B868*(1+D869))+($C$6*(1+$C$8)^19)</f>
        <v>3395622.6149562439</v>
      </c>
      <c r="C869" s="29">
        <f t="shared" ca="1" si="52"/>
        <v>0.41520486286276809</v>
      </c>
      <c r="D869" s="30">
        <f t="shared" ca="1" si="51"/>
        <v>2.1117334212267441E-2</v>
      </c>
      <c r="E869" s="56">
        <v>46161.64</v>
      </c>
      <c r="F869" s="56">
        <v>190257.75</v>
      </c>
      <c r="G869" s="56">
        <v>347557.75</v>
      </c>
      <c r="H869" s="46">
        <v>935486.13</v>
      </c>
      <c r="I869" s="46">
        <v>1739863.28</v>
      </c>
      <c r="J869" s="46">
        <v>3413219.62</v>
      </c>
      <c r="K869" s="46">
        <v>4061624.04</v>
      </c>
      <c r="L869" s="46">
        <v>5951759.2199999997</v>
      </c>
      <c r="M869" s="46"/>
      <c r="O869" s="46"/>
    </row>
    <row r="870" spans="1:15" x14ac:dyDescent="0.2">
      <c r="A870" s="5">
        <v>842</v>
      </c>
      <c r="B870" s="28">
        <f t="shared" ca="1" si="53"/>
        <v>3412615.5353545682</v>
      </c>
      <c r="C870" s="29">
        <f t="shared" ca="1" si="52"/>
        <v>1.6171062969507963E-2</v>
      </c>
      <c r="D870" s="30">
        <f t="shared" ca="1" si="51"/>
        <v>4.8268475478951776E-3</v>
      </c>
      <c r="E870" s="56">
        <v>56591.24</v>
      </c>
      <c r="F870" s="56">
        <v>175663.42</v>
      </c>
      <c r="G870" s="56">
        <v>326096.34000000003</v>
      </c>
      <c r="H870" s="46">
        <v>378070.94</v>
      </c>
      <c r="I870" s="46">
        <v>638656.89</v>
      </c>
      <c r="J870" s="46">
        <v>1278388.3</v>
      </c>
      <c r="K870" s="46">
        <v>1277242.77</v>
      </c>
      <c r="L870" s="46">
        <v>1723992.53</v>
      </c>
      <c r="M870" s="46"/>
      <c r="O870" s="46"/>
    </row>
    <row r="871" spans="1:15" x14ac:dyDescent="0.2">
      <c r="A871" s="5">
        <v>843</v>
      </c>
      <c r="B871" s="28">
        <f t="shared" ca="1" si="53"/>
        <v>3345157.9352432559</v>
      </c>
      <c r="C871" s="29">
        <f t="shared" ca="1" si="52"/>
        <v>-0.59058230330351313</v>
      </c>
      <c r="D871" s="30">
        <f t="shared" ca="1" si="51"/>
        <v>-1.9943754903520322E-2</v>
      </c>
      <c r="E871" s="56">
        <v>114727.53</v>
      </c>
      <c r="F871" s="56">
        <v>101543.48</v>
      </c>
      <c r="G871" s="56">
        <v>121382.48</v>
      </c>
      <c r="H871" s="46">
        <v>323836.74</v>
      </c>
      <c r="I871" s="46">
        <v>720882.86</v>
      </c>
      <c r="J871" s="46">
        <v>1099773.3400000001</v>
      </c>
      <c r="K871" s="46">
        <v>930609.08</v>
      </c>
      <c r="L871" s="46">
        <v>1645356.02</v>
      </c>
      <c r="M871" s="46"/>
      <c r="O871" s="46"/>
    </row>
    <row r="872" spans="1:15" x14ac:dyDescent="0.2">
      <c r="A872" s="5">
        <v>844</v>
      </c>
      <c r="B872" s="28">
        <f t="shared" ca="1" si="53"/>
        <v>3330409.5128009068</v>
      </c>
      <c r="C872" s="29">
        <f t="shared" ca="1" si="52"/>
        <v>-0.21447106356704879</v>
      </c>
      <c r="D872" s="30">
        <f t="shared" ca="1" si="51"/>
        <v>-4.5890778388547509E-3</v>
      </c>
      <c r="E872" s="56">
        <v>69315.02</v>
      </c>
      <c r="F872" s="56">
        <v>108777.37</v>
      </c>
      <c r="G872" s="56">
        <v>400171.89</v>
      </c>
      <c r="H872" s="46">
        <v>493070.55</v>
      </c>
      <c r="I872" s="46">
        <v>598435.98</v>
      </c>
      <c r="J872" s="46">
        <v>785965.41</v>
      </c>
      <c r="K872" s="46">
        <v>1229115.77</v>
      </c>
      <c r="L872" s="46">
        <v>2340834.27</v>
      </c>
      <c r="M872" s="46"/>
      <c r="O872" s="46"/>
    </row>
    <row r="873" spans="1:15" x14ac:dyDescent="0.2">
      <c r="A873" s="5">
        <v>845</v>
      </c>
      <c r="B873" s="28">
        <f t="shared" ca="1" si="53"/>
        <v>3302529.6978093539</v>
      </c>
      <c r="C873" s="29">
        <f t="shared" ca="1" si="52"/>
        <v>-0.31154920594549274</v>
      </c>
      <c r="D873" s="30">
        <f t="shared" ca="1" si="51"/>
        <v>-8.5522764055954749E-3</v>
      </c>
      <c r="E873" s="56">
        <v>88507.35</v>
      </c>
      <c r="F873" s="56">
        <v>264156.33</v>
      </c>
      <c r="G873" s="56">
        <v>520995.69</v>
      </c>
      <c r="H873" s="46">
        <v>544659.88</v>
      </c>
      <c r="I873" s="46">
        <v>443867.73</v>
      </c>
      <c r="J873" s="46">
        <v>544842.56999999995</v>
      </c>
      <c r="K873" s="46">
        <v>1015764.38</v>
      </c>
      <c r="L873" s="46">
        <v>1040226.91</v>
      </c>
      <c r="M873" s="46"/>
      <c r="O873" s="46"/>
    </row>
    <row r="874" spans="1:15" x14ac:dyDescent="0.2">
      <c r="A874" s="5">
        <v>846</v>
      </c>
      <c r="B874" s="28">
        <f t="shared" ca="1" si="53"/>
        <v>3348387.075331449</v>
      </c>
      <c r="C874" s="29">
        <f t="shared" ca="1" si="52"/>
        <v>0.23359184332712016</v>
      </c>
      <c r="D874" s="30">
        <f t="shared" ca="1" si="51"/>
        <v>1.3703013737126599E-2</v>
      </c>
      <c r="E874" s="56">
        <v>22870.38</v>
      </c>
      <c r="F874" s="56">
        <v>68441.919999999998</v>
      </c>
      <c r="G874" s="56">
        <v>251645.09</v>
      </c>
      <c r="H874" s="46">
        <v>1116778.27</v>
      </c>
      <c r="I874" s="46">
        <v>2000562.43</v>
      </c>
      <c r="J874" s="46">
        <v>3620951.4</v>
      </c>
      <c r="K874" s="46">
        <v>7389876.8300000001</v>
      </c>
      <c r="L874" s="46">
        <v>14315651.75</v>
      </c>
      <c r="M874" s="46"/>
      <c r="O874" s="46"/>
    </row>
    <row r="875" spans="1:15" x14ac:dyDescent="0.2">
      <c r="A875" s="5">
        <v>847</v>
      </c>
      <c r="B875" s="28">
        <f t="shared" ca="1" si="53"/>
        <v>3372005.7423334168</v>
      </c>
      <c r="C875" s="29">
        <f t="shared" ca="1" si="52"/>
        <v>6.6309169951465824E-2</v>
      </c>
      <c r="D875" s="30">
        <f t="shared" ca="1" si="51"/>
        <v>6.8737271941430346E-3</v>
      </c>
      <c r="E875" s="56">
        <v>68778.039999999994</v>
      </c>
      <c r="F875" s="56">
        <v>111663.67</v>
      </c>
      <c r="G875" s="56">
        <v>273744.57</v>
      </c>
      <c r="H875" s="46">
        <v>543778.15</v>
      </c>
      <c r="I875" s="46">
        <v>1109840.1599999999</v>
      </c>
      <c r="J875" s="46">
        <v>1942532.73</v>
      </c>
      <c r="K875" s="46">
        <v>1959697.12</v>
      </c>
      <c r="L875" s="46">
        <v>1095122.47</v>
      </c>
      <c r="M875" s="46"/>
      <c r="O875" s="46"/>
    </row>
    <row r="876" spans="1:15" x14ac:dyDescent="0.2">
      <c r="A876" s="5">
        <v>848</v>
      </c>
      <c r="B876" s="28">
        <f t="shared" ca="1" si="53"/>
        <v>3571757.4997272347</v>
      </c>
      <c r="C876" s="29">
        <f t="shared" ca="1" si="52"/>
        <v>1.3445944422362359</v>
      </c>
      <c r="D876" s="30">
        <f t="shared" ca="1" si="51"/>
        <v>5.9059504907682144E-2</v>
      </c>
      <c r="E876" s="56">
        <v>81011.98</v>
      </c>
      <c r="F876" s="56">
        <v>285565.77</v>
      </c>
      <c r="G876" s="56">
        <v>422453.26</v>
      </c>
      <c r="H876" s="46">
        <v>1472665.94</v>
      </c>
      <c r="I876" s="46">
        <v>2499073.31</v>
      </c>
      <c r="J876" s="46">
        <v>1801923.76</v>
      </c>
      <c r="K876" s="46">
        <v>1968922.45</v>
      </c>
      <c r="L876" s="46">
        <v>8294499.0199999996</v>
      </c>
      <c r="M876" s="46"/>
      <c r="O876" s="46"/>
    </row>
    <row r="877" spans="1:15" x14ac:dyDescent="0.2">
      <c r="A877" s="5">
        <v>849</v>
      </c>
      <c r="B877" s="28">
        <f t="shared" ca="1" si="53"/>
        <v>3483712.9188256045</v>
      </c>
      <c r="C877" s="29">
        <f t="shared" ca="1" si="52"/>
        <v>-0.71000024074544577</v>
      </c>
      <c r="D877" s="30">
        <f t="shared" ca="1" si="51"/>
        <v>-2.4818971784659277E-2</v>
      </c>
      <c r="E877" s="56">
        <v>79049.61</v>
      </c>
      <c r="F877" s="56">
        <v>171851.74</v>
      </c>
      <c r="G877" s="56">
        <v>382577.72</v>
      </c>
      <c r="H877" s="46">
        <v>1134286.58</v>
      </c>
      <c r="I877" s="46">
        <v>2132052.8199999998</v>
      </c>
      <c r="J877" s="46">
        <v>4412725.25</v>
      </c>
      <c r="K877" s="46">
        <v>8668222.5800000001</v>
      </c>
      <c r="L877" s="46">
        <v>12998395.51</v>
      </c>
      <c r="M877" s="46"/>
      <c r="O877" s="46"/>
    </row>
    <row r="878" spans="1:15" x14ac:dyDescent="0.2">
      <c r="A878" s="5">
        <v>850</v>
      </c>
      <c r="B878" s="28">
        <f t="shared" ca="1" si="53"/>
        <v>3534420.9725750387</v>
      </c>
      <c r="C878" s="29">
        <f t="shared" ca="1" si="52"/>
        <v>0.25024130910071407</v>
      </c>
      <c r="D878" s="30">
        <f t="shared" ca="1" si="51"/>
        <v>1.438272533104723E-2</v>
      </c>
      <c r="E878" s="56">
        <v>50863.6</v>
      </c>
      <c r="F878" s="56">
        <v>122511.82</v>
      </c>
      <c r="G878" s="56">
        <v>206396.06</v>
      </c>
      <c r="H878" s="46">
        <v>584774.75</v>
      </c>
      <c r="I878" s="46">
        <v>1005024.9</v>
      </c>
      <c r="J878" s="46">
        <v>2610425</v>
      </c>
      <c r="K878" s="46">
        <v>1916674.52</v>
      </c>
      <c r="L878" s="46">
        <v>3034549.03</v>
      </c>
      <c r="M878" s="46"/>
      <c r="O878" s="46"/>
    </row>
    <row r="879" spans="1:15" x14ac:dyDescent="0.2">
      <c r="A879" s="5">
        <v>851</v>
      </c>
      <c r="B879" s="28">
        <f t="shared" ca="1" si="53"/>
        <v>3587422.9071012465</v>
      </c>
      <c r="C879" s="29">
        <f t="shared" ca="1" si="52"/>
        <v>0.26108431728222931</v>
      </c>
      <c r="D879" s="30">
        <f t="shared" ca="1" si="51"/>
        <v>1.4825389286406161E-2</v>
      </c>
      <c r="E879" s="56">
        <v>80076.240000000005</v>
      </c>
      <c r="F879" s="56">
        <v>195860.05</v>
      </c>
      <c r="G879" s="56">
        <v>312493.94</v>
      </c>
      <c r="H879" s="46">
        <v>506946.39</v>
      </c>
      <c r="I879" s="46">
        <v>1644189.36</v>
      </c>
      <c r="J879" s="46">
        <v>2760023.28</v>
      </c>
      <c r="K879" s="46">
        <v>4067464.94</v>
      </c>
      <c r="L879" s="46">
        <v>5155417.16</v>
      </c>
      <c r="M879" s="46"/>
      <c r="O879" s="46"/>
    </row>
    <row r="880" spans="1:15" x14ac:dyDescent="0.2">
      <c r="A880" s="5">
        <v>852</v>
      </c>
      <c r="B880" s="28">
        <f t="shared" ca="1" si="53"/>
        <v>3723719.4314048016</v>
      </c>
      <c r="C880" s="29">
        <f t="shared" ca="1" si="52"/>
        <v>0.82445390710895106</v>
      </c>
      <c r="D880" s="30">
        <f t="shared" ca="1" si="51"/>
        <v>3.782485648101485E-2</v>
      </c>
      <c r="E880" s="56">
        <v>53178.23</v>
      </c>
      <c r="F880" s="56">
        <v>226295.39</v>
      </c>
      <c r="G880" s="56">
        <v>520895.92</v>
      </c>
      <c r="H880" s="46">
        <v>624453.54</v>
      </c>
      <c r="I880" s="46">
        <v>1336085.97</v>
      </c>
      <c r="J880" s="46">
        <v>2168622.79</v>
      </c>
      <c r="K880" s="46">
        <v>8561295.2300000004</v>
      </c>
      <c r="L880" s="46">
        <v>19814698.039999999</v>
      </c>
      <c r="M880" s="46"/>
      <c r="O880" s="46"/>
    </row>
    <row r="881" spans="1:15" x14ac:dyDescent="0.2">
      <c r="A881" s="5">
        <v>853</v>
      </c>
      <c r="B881" s="28">
        <f t="shared" ca="1" si="53"/>
        <v>3878195.2421325035</v>
      </c>
      <c r="C881" s="29">
        <f t="shared" ca="1" si="52"/>
        <v>0.91012600308695302</v>
      </c>
      <c r="D881" s="30">
        <f t="shared" ca="1" si="51"/>
        <v>4.1322405153362378E-2</v>
      </c>
      <c r="E881" s="56">
        <v>55230.2</v>
      </c>
      <c r="F881" s="56">
        <v>170110.84</v>
      </c>
      <c r="G881" s="56">
        <v>300766.28000000003</v>
      </c>
      <c r="H881" s="46">
        <v>436790.65</v>
      </c>
      <c r="I881" s="46">
        <v>888548.74</v>
      </c>
      <c r="J881" s="46">
        <v>1984496.03</v>
      </c>
      <c r="K881" s="46">
        <v>2607869.9700000002</v>
      </c>
      <c r="L881" s="46">
        <v>10286427.880000001</v>
      </c>
      <c r="M881" s="46"/>
      <c r="O881" s="46"/>
    </row>
    <row r="882" spans="1:15" x14ac:dyDescent="0.2">
      <c r="A882" s="5">
        <v>854</v>
      </c>
      <c r="B882" s="28">
        <f t="shared" ca="1" si="53"/>
        <v>4092526.8581359209</v>
      </c>
      <c r="C882" s="29">
        <f t="shared" ca="1" si="52"/>
        <v>1.2478612524256545</v>
      </c>
      <c r="D882" s="30">
        <f t="shared" ca="1" si="51"/>
        <v>5.5110388970553516E-2</v>
      </c>
      <c r="E882" s="56">
        <v>74580.820000000007</v>
      </c>
      <c r="F882" s="56">
        <v>180573.11</v>
      </c>
      <c r="G882" s="56">
        <v>360160.01</v>
      </c>
      <c r="H882" s="46">
        <v>699013.57</v>
      </c>
      <c r="I882" s="46">
        <v>941800.28</v>
      </c>
      <c r="J882" s="46">
        <v>913012.64</v>
      </c>
      <c r="K882" s="46">
        <v>1964772.81</v>
      </c>
      <c r="L882" s="46">
        <v>1798684.23</v>
      </c>
      <c r="M882" s="46"/>
      <c r="O882" s="46"/>
    </row>
    <row r="883" spans="1:15" x14ac:dyDescent="0.2">
      <c r="A883" s="5">
        <v>855</v>
      </c>
      <c r="B883" s="28">
        <f t="shared" ca="1" si="53"/>
        <v>4081906.9505178607</v>
      </c>
      <c r="C883" s="29">
        <f t="shared" ca="1" si="52"/>
        <v>-0.16923286720121589</v>
      </c>
      <c r="D883" s="30">
        <f t="shared" ca="1" si="51"/>
        <v>-2.7422362058527674E-3</v>
      </c>
      <c r="E883" s="56">
        <v>39622.199999999997</v>
      </c>
      <c r="F883" s="56">
        <v>165374.07999999999</v>
      </c>
      <c r="G883" s="56">
        <v>695471.16</v>
      </c>
      <c r="H883" s="46">
        <v>2203819.31</v>
      </c>
      <c r="I883" s="46">
        <v>5034204.18</v>
      </c>
      <c r="J883" s="46">
        <v>7917804.5300000003</v>
      </c>
      <c r="K883" s="46">
        <v>11692799.66</v>
      </c>
      <c r="L883" s="46">
        <v>11364640.119999999</v>
      </c>
      <c r="M883" s="46"/>
      <c r="O883" s="46"/>
    </row>
    <row r="884" spans="1:15" x14ac:dyDescent="0.2">
      <c r="A884" s="5">
        <v>856</v>
      </c>
      <c r="B884" s="28">
        <f t="shared" ca="1" si="53"/>
        <v>4015162.0038694218</v>
      </c>
      <c r="C884" s="29">
        <f t="shared" ca="1" si="52"/>
        <v>-0.50620537502401486</v>
      </c>
      <c r="D884" s="30">
        <f t="shared" ca="1" si="51"/>
        <v>-1.6499081231050608E-2</v>
      </c>
      <c r="E884" s="56">
        <v>34963.31</v>
      </c>
      <c r="F884" s="56">
        <v>96591.05</v>
      </c>
      <c r="G884" s="56">
        <v>198052.27</v>
      </c>
      <c r="H884" s="46">
        <v>405547.25</v>
      </c>
      <c r="I884" s="46">
        <v>1129760.97</v>
      </c>
      <c r="J884" s="46">
        <v>1120230.8600000001</v>
      </c>
      <c r="K884" s="46">
        <v>1159663.73</v>
      </c>
      <c r="L884" s="46">
        <v>689318.76</v>
      </c>
      <c r="M884" s="46"/>
      <c r="O884" s="46"/>
    </row>
    <row r="885" spans="1:15" x14ac:dyDescent="0.2">
      <c r="A885" s="5">
        <v>857</v>
      </c>
      <c r="B885" s="28">
        <f t="shared" ca="1" si="53"/>
        <v>3851774.0004176195</v>
      </c>
      <c r="C885" s="29">
        <f t="shared" ca="1" si="52"/>
        <v>-1.102504175510947</v>
      </c>
      <c r="D885" s="30">
        <f t="shared" ca="1" si="51"/>
        <v>-4.084287782149483E-2</v>
      </c>
      <c r="E885" s="56">
        <v>39428.019999999997</v>
      </c>
      <c r="F885" s="56">
        <v>121209.22</v>
      </c>
      <c r="G885" s="56">
        <v>373792.62</v>
      </c>
      <c r="H885" s="46">
        <v>932460.49</v>
      </c>
      <c r="I885" s="46">
        <v>1499546.5</v>
      </c>
      <c r="J885" s="46">
        <v>1660782.46</v>
      </c>
      <c r="K885" s="46">
        <v>5087966.1399999997</v>
      </c>
      <c r="L885" s="46">
        <v>9399479.8300000001</v>
      </c>
      <c r="M885" s="46"/>
      <c r="O885" s="46"/>
    </row>
    <row r="886" spans="1:15" x14ac:dyDescent="0.2">
      <c r="A886" s="5">
        <v>858</v>
      </c>
      <c r="B886" s="28">
        <f t="shared" ca="1" si="53"/>
        <v>3974797.2409409173</v>
      </c>
      <c r="C886" s="29">
        <f t="shared" ca="1" si="52"/>
        <v>0.67645632550591217</v>
      </c>
      <c r="D886" s="30">
        <f t="shared" ca="1" si="51"/>
        <v>3.1782880512792176E-2</v>
      </c>
      <c r="E886" s="56">
        <v>49936.12</v>
      </c>
      <c r="F886" s="56">
        <v>137941.78</v>
      </c>
      <c r="G886" s="56">
        <v>531374.82999999996</v>
      </c>
      <c r="H886" s="46">
        <v>2166865.13</v>
      </c>
      <c r="I886" s="46">
        <v>3793433.14</v>
      </c>
      <c r="J886" s="46">
        <v>7446516.96</v>
      </c>
      <c r="K886" s="46">
        <v>14617872.539999999</v>
      </c>
      <c r="L886" s="46">
        <v>22923426.120000001</v>
      </c>
      <c r="M886" s="46"/>
      <c r="O886" s="46"/>
    </row>
    <row r="887" spans="1:15" x14ac:dyDescent="0.2">
      <c r="A887" s="5">
        <v>859</v>
      </c>
      <c r="B887" s="28">
        <f t="shared" ca="1" si="53"/>
        <v>4193424.2853061515</v>
      </c>
      <c r="C887" s="29">
        <f t="shared" ca="1" si="52"/>
        <v>1.2415240199131714</v>
      </c>
      <c r="D887" s="30">
        <f t="shared" ca="1" si="51"/>
        <v>5.4851672536604196E-2</v>
      </c>
      <c r="E887" s="56">
        <v>59410.96</v>
      </c>
      <c r="F887" s="56">
        <v>109716.58</v>
      </c>
      <c r="G887" s="56">
        <v>186498.42</v>
      </c>
      <c r="H887" s="46">
        <v>506145.38</v>
      </c>
      <c r="I887" s="46">
        <v>632519.06000000006</v>
      </c>
      <c r="J887" s="46">
        <v>446795.11</v>
      </c>
      <c r="K887" s="46">
        <v>569103.54</v>
      </c>
      <c r="L887" s="46">
        <v>660030.94999999995</v>
      </c>
      <c r="M887" s="46"/>
      <c r="O887" s="46"/>
    </row>
    <row r="888" spans="1:15" x14ac:dyDescent="0.2">
      <c r="A888" s="5">
        <v>860</v>
      </c>
      <c r="B888" s="28">
        <f t="shared" ca="1" si="53"/>
        <v>4222278.0477309935</v>
      </c>
      <c r="C888" s="29">
        <f t="shared" ca="1" si="52"/>
        <v>6.2959439827528288E-2</v>
      </c>
      <c r="D888" s="30">
        <f t="shared" ca="1" si="51"/>
        <v>6.7369750344817543E-3</v>
      </c>
      <c r="E888" s="56">
        <v>99347.51</v>
      </c>
      <c r="F888" s="56">
        <v>260244.3</v>
      </c>
      <c r="G888" s="56">
        <v>503176.67</v>
      </c>
      <c r="H888" s="46">
        <v>811675.34</v>
      </c>
      <c r="I888" s="46">
        <v>1148798.67</v>
      </c>
      <c r="J888" s="46">
        <v>2245181.86</v>
      </c>
      <c r="K888" s="46">
        <v>2250503.0299999998</v>
      </c>
      <c r="L888" s="46">
        <v>1132237.32</v>
      </c>
      <c r="M888" s="46"/>
      <c r="O888" s="46"/>
    </row>
    <row r="889" spans="1:15" x14ac:dyDescent="0.2">
      <c r="A889" s="5">
        <v>861</v>
      </c>
      <c r="B889" s="28">
        <f t="shared" ca="1" si="53"/>
        <v>4050496.7920870977</v>
      </c>
      <c r="C889" s="29">
        <f t="shared" ca="1" si="52"/>
        <v>-1.1021215008233418</v>
      </c>
      <c r="D889" s="30">
        <f t="shared" ca="1" si="51"/>
        <v>-4.0827255192792969E-2</v>
      </c>
      <c r="E889" s="56">
        <v>69090.039999999994</v>
      </c>
      <c r="F889" s="56">
        <v>116914.29</v>
      </c>
      <c r="G889" s="56">
        <v>140032.07</v>
      </c>
      <c r="H889" s="46">
        <v>238398.39</v>
      </c>
      <c r="I889" s="46">
        <v>836417.51</v>
      </c>
      <c r="J889" s="46">
        <v>1034186.39</v>
      </c>
      <c r="K889" s="46">
        <v>861996.2</v>
      </c>
      <c r="L889" s="46">
        <v>1416323.13</v>
      </c>
      <c r="M889" s="46"/>
      <c r="O889" s="46"/>
    </row>
    <row r="890" spans="1:15" x14ac:dyDescent="0.2">
      <c r="A890" s="5">
        <v>862</v>
      </c>
      <c r="B890" s="28">
        <f t="shared" ca="1" si="53"/>
        <v>4074713.3471094868</v>
      </c>
      <c r="C890" s="29">
        <f t="shared" ca="1" si="52"/>
        <v>4.0739496646800585E-2</v>
      </c>
      <c r="D890" s="30">
        <f t="shared" ca="1" si="51"/>
        <v>5.8298496527081287E-3</v>
      </c>
      <c r="E890" s="56">
        <v>42350.83</v>
      </c>
      <c r="F890" s="56">
        <v>117749.79</v>
      </c>
      <c r="G890" s="56">
        <v>444780.18</v>
      </c>
      <c r="H890" s="46">
        <v>361808.33</v>
      </c>
      <c r="I890" s="46">
        <v>924512.3</v>
      </c>
      <c r="J890" s="46">
        <v>1774791.65</v>
      </c>
      <c r="K890" s="46">
        <v>1376885.58</v>
      </c>
      <c r="L890" s="46">
        <v>3765590.97</v>
      </c>
      <c r="M890" s="46"/>
      <c r="O890" s="46"/>
    </row>
    <row r="891" spans="1:15" x14ac:dyDescent="0.2">
      <c r="A891" s="5">
        <v>863</v>
      </c>
      <c r="B891" s="28">
        <f t="shared" ca="1" si="53"/>
        <v>4185221.0444687558</v>
      </c>
      <c r="C891" s="29">
        <f t="shared" ca="1" si="52"/>
        <v>0.55862488848912772</v>
      </c>
      <c r="D891" s="30">
        <f t="shared" ca="1" si="51"/>
        <v>2.6972432240291919E-2</v>
      </c>
      <c r="E891" s="56">
        <v>65043.4</v>
      </c>
      <c r="F891" s="56">
        <v>140129.76</v>
      </c>
      <c r="G891" s="56">
        <v>164416.91</v>
      </c>
      <c r="H891" s="46">
        <v>259752.52</v>
      </c>
      <c r="I891" s="46">
        <v>331009.3</v>
      </c>
      <c r="J891" s="46">
        <v>760400.34</v>
      </c>
      <c r="K891" s="46">
        <v>1930226.66</v>
      </c>
      <c r="L891" s="46">
        <v>4673972.74</v>
      </c>
      <c r="M891" s="46"/>
      <c r="O891" s="46"/>
    </row>
    <row r="892" spans="1:15" x14ac:dyDescent="0.2">
      <c r="A892" s="5">
        <v>864</v>
      </c>
      <c r="B892" s="28">
        <f t="shared" ca="1" si="53"/>
        <v>3909555.8254113556</v>
      </c>
      <c r="C892" s="29">
        <f t="shared" ca="1" si="52"/>
        <v>-1.7189792978842451</v>
      </c>
      <c r="D892" s="30">
        <f t="shared" ca="1" si="51"/>
        <v>-6.60103693037348E-2</v>
      </c>
      <c r="E892" s="56">
        <v>56153.4</v>
      </c>
      <c r="F892" s="56">
        <v>121186.82</v>
      </c>
      <c r="G892" s="56">
        <v>312157.37</v>
      </c>
      <c r="H892" s="46">
        <v>469469.75</v>
      </c>
      <c r="I892" s="46">
        <v>492315.07</v>
      </c>
      <c r="J892" s="46">
        <v>894161.93</v>
      </c>
      <c r="K892" s="46">
        <v>4612986.76</v>
      </c>
      <c r="L892" s="46">
        <v>14776189.619999999</v>
      </c>
      <c r="M892" s="46"/>
      <c r="O892" s="46"/>
    </row>
    <row r="893" spans="1:15" x14ac:dyDescent="0.2">
      <c r="A893" s="5">
        <v>865</v>
      </c>
      <c r="B893" s="28">
        <f t="shared" ca="1" si="53"/>
        <v>4034919.2137005394</v>
      </c>
      <c r="C893" s="29">
        <f t="shared" ca="1" si="52"/>
        <v>0.67961204605515446</v>
      </c>
      <c r="D893" s="30">
        <f t="shared" ref="D893:D956" ca="1" si="54">$D$20+(C893*$D$21)</f>
        <v>3.1911712264733161E-2</v>
      </c>
      <c r="E893" s="56">
        <v>64784.18</v>
      </c>
      <c r="F893" s="56">
        <v>110135.94</v>
      </c>
      <c r="G893" s="56">
        <v>207110.98</v>
      </c>
      <c r="H893" s="46">
        <v>319279.34000000003</v>
      </c>
      <c r="I893" s="46">
        <v>883649.76</v>
      </c>
      <c r="J893" s="46">
        <v>1410876.03</v>
      </c>
      <c r="K893" s="46">
        <v>2232418.5499999998</v>
      </c>
      <c r="L893" s="46">
        <v>6052569.9299999997</v>
      </c>
      <c r="M893" s="46"/>
      <c r="O893" s="46"/>
    </row>
    <row r="894" spans="1:15" x14ac:dyDescent="0.2">
      <c r="A894" s="5">
        <v>866</v>
      </c>
      <c r="B894" s="28">
        <f t="shared" ca="1" si="53"/>
        <v>4386177.5950431684</v>
      </c>
      <c r="C894" s="29">
        <f t="shared" ca="1" si="52"/>
        <v>2.0266728124256121</v>
      </c>
      <c r="D894" s="30">
        <f t="shared" ca="1" si="54"/>
        <v>8.6905237766901219E-2</v>
      </c>
      <c r="E894" s="56">
        <v>67707.98</v>
      </c>
      <c r="F894" s="56">
        <v>112922.7</v>
      </c>
      <c r="G894" s="56">
        <v>310679.44</v>
      </c>
      <c r="H894" s="46">
        <v>395790.46</v>
      </c>
      <c r="I894" s="46">
        <v>500065.65</v>
      </c>
      <c r="J894" s="46">
        <v>894727.23</v>
      </c>
      <c r="K894" s="46">
        <v>1776400.45</v>
      </c>
      <c r="L894" s="46">
        <v>3542353.74</v>
      </c>
      <c r="M894" s="46"/>
      <c r="O894" s="46"/>
    </row>
    <row r="895" spans="1:15" x14ac:dyDescent="0.2">
      <c r="A895" s="5">
        <v>867</v>
      </c>
      <c r="B895" s="28">
        <f t="shared" ca="1" si="53"/>
        <v>4421809.6714234967</v>
      </c>
      <c r="C895" s="29">
        <f t="shared" ca="1" si="52"/>
        <v>9.3561406907856276E-2</v>
      </c>
      <c r="D895" s="30">
        <f t="shared" ca="1" si="54"/>
        <v>7.9862951090192858E-3</v>
      </c>
      <c r="E895" s="56">
        <v>41229.449999999997</v>
      </c>
      <c r="F895" s="56">
        <v>183096.8</v>
      </c>
      <c r="G895" s="56">
        <v>167388.20000000001</v>
      </c>
      <c r="H895" s="46">
        <v>309291.95</v>
      </c>
      <c r="I895" s="46">
        <v>319331.93</v>
      </c>
      <c r="J895" s="46">
        <v>702825.55</v>
      </c>
      <c r="K895" s="46">
        <v>1200707.67</v>
      </c>
      <c r="L895" s="46">
        <v>1229683.93</v>
      </c>
      <c r="M895" s="46"/>
      <c r="O895" s="46"/>
    </row>
    <row r="896" spans="1:15" x14ac:dyDescent="0.2">
      <c r="A896" s="5">
        <v>868</v>
      </c>
      <c r="B896" s="28">
        <f t="shared" ca="1" si="53"/>
        <v>4265377.2376746731</v>
      </c>
      <c r="C896" s="29">
        <f t="shared" ca="1" si="52"/>
        <v>-0.97196861270235602</v>
      </c>
      <c r="D896" s="30">
        <f t="shared" ca="1" si="54"/>
        <v>-3.5513785785360276E-2</v>
      </c>
      <c r="E896" s="56">
        <v>75088.78</v>
      </c>
      <c r="F896" s="56">
        <v>144779.19</v>
      </c>
      <c r="G896" s="56">
        <v>257610.47</v>
      </c>
      <c r="H896" s="46">
        <v>897069.2</v>
      </c>
      <c r="I896" s="46">
        <v>1279462.06</v>
      </c>
      <c r="J896" s="46">
        <v>1925021.84</v>
      </c>
      <c r="K896" s="46">
        <v>2366675.2999999998</v>
      </c>
      <c r="L896" s="46">
        <v>3423184.31</v>
      </c>
      <c r="M896" s="46"/>
      <c r="O896" s="46"/>
    </row>
    <row r="897" spans="1:15" x14ac:dyDescent="0.2">
      <c r="A897" s="5">
        <v>869</v>
      </c>
      <c r="B897" s="28">
        <f t="shared" ca="1" si="53"/>
        <v>4437142.0844726963</v>
      </c>
      <c r="C897" s="29">
        <f t="shared" ca="1" si="52"/>
        <v>0.88087503640875175</v>
      </c>
      <c r="D897" s="30">
        <f t="shared" ca="1" si="54"/>
        <v>4.0128239439283266E-2</v>
      </c>
      <c r="E897" s="56">
        <v>73420.17</v>
      </c>
      <c r="F897" s="56">
        <v>112046.52</v>
      </c>
      <c r="G897" s="56">
        <v>372088.6</v>
      </c>
      <c r="H897" s="46">
        <v>592540.31000000006</v>
      </c>
      <c r="I897" s="46">
        <v>761200.94</v>
      </c>
      <c r="J897" s="46">
        <v>1983217.77</v>
      </c>
      <c r="K897" s="46">
        <v>1990794.78</v>
      </c>
      <c r="L897" s="46">
        <v>3075369.37</v>
      </c>
      <c r="M897" s="46"/>
      <c r="O897" s="46"/>
    </row>
    <row r="898" spans="1:15" x14ac:dyDescent="0.2">
      <c r="A898" s="5">
        <v>870</v>
      </c>
      <c r="B898" s="28">
        <f t="shared" ca="1" si="53"/>
        <v>4316916.4114946639</v>
      </c>
      <c r="C898" s="29">
        <f t="shared" ca="1" si="52"/>
        <v>-0.76908607242680493</v>
      </c>
      <c r="D898" s="30">
        <f t="shared" ca="1" si="54"/>
        <v>-2.7231140762114324E-2</v>
      </c>
      <c r="E898" s="56">
        <v>53437.95</v>
      </c>
      <c r="F898" s="56">
        <v>117790.39</v>
      </c>
      <c r="G898" s="56">
        <v>463364.01</v>
      </c>
      <c r="H898" s="46">
        <v>842464.36</v>
      </c>
      <c r="I898" s="46">
        <v>1687975.55</v>
      </c>
      <c r="J898" s="46">
        <v>4800279.05</v>
      </c>
      <c r="K898" s="46">
        <v>10443142.58</v>
      </c>
      <c r="L898" s="46">
        <v>12885859.98</v>
      </c>
      <c r="M898" s="46"/>
      <c r="O898" s="46"/>
    </row>
    <row r="899" spans="1:15" x14ac:dyDescent="0.2">
      <c r="A899" s="5">
        <v>871</v>
      </c>
      <c r="B899" s="28">
        <f t="shared" ca="1" si="53"/>
        <v>4106095.1563841305</v>
      </c>
      <c r="C899" s="29">
        <f t="shared" ca="1" si="52"/>
        <v>-1.3017169324772033</v>
      </c>
      <c r="D899" s="30">
        <f t="shared" ca="1" si="54"/>
        <v>-4.8975704568501546E-2</v>
      </c>
      <c r="E899" s="56">
        <v>47214.6</v>
      </c>
      <c r="F899" s="56">
        <v>166138.67000000001</v>
      </c>
      <c r="G899" s="56">
        <v>198546.02</v>
      </c>
      <c r="H899" s="46">
        <v>278818.71999999997</v>
      </c>
      <c r="I899" s="46">
        <v>382062.09</v>
      </c>
      <c r="J899" s="46">
        <v>575471.56000000006</v>
      </c>
      <c r="K899" s="46">
        <v>984419.49</v>
      </c>
      <c r="L899" s="46">
        <v>1299085.08</v>
      </c>
      <c r="M899" s="46"/>
      <c r="O899" s="46"/>
    </row>
    <row r="900" spans="1:15" x14ac:dyDescent="0.2">
      <c r="A900" s="5">
        <v>872</v>
      </c>
      <c r="B900" s="28">
        <f t="shared" ca="1" si="53"/>
        <v>4066180.4105393267</v>
      </c>
      <c r="C900" s="29">
        <f t="shared" ca="1" si="52"/>
        <v>-0.34376916917664463</v>
      </c>
      <c r="D900" s="30">
        <f t="shared" ca="1" si="54"/>
        <v>-9.8676508963881013E-3</v>
      </c>
      <c r="E900" s="56">
        <v>35551.230000000003</v>
      </c>
      <c r="F900" s="56">
        <v>68557.61</v>
      </c>
      <c r="G900" s="56">
        <v>274240.13</v>
      </c>
      <c r="H900" s="46">
        <v>320600.34999999998</v>
      </c>
      <c r="I900" s="46">
        <v>396394.47</v>
      </c>
      <c r="J900" s="46">
        <v>1086902.7</v>
      </c>
      <c r="K900" s="46">
        <v>1156316.3400000001</v>
      </c>
      <c r="L900" s="46">
        <v>2786810.45</v>
      </c>
      <c r="M900" s="46"/>
      <c r="O900" s="46"/>
    </row>
    <row r="901" spans="1:15" x14ac:dyDescent="0.2">
      <c r="A901" s="5">
        <v>873</v>
      </c>
      <c r="B901" s="28">
        <f t="shared" ca="1" si="53"/>
        <v>4258615.1946775317</v>
      </c>
      <c r="C901" s="29">
        <f t="shared" ca="1" si="52"/>
        <v>1.053544686422057</v>
      </c>
      <c r="D901" s="30">
        <f t="shared" ca="1" si="54"/>
        <v>4.7177448382575808E-2</v>
      </c>
      <c r="E901" s="56">
        <v>81276.789999999994</v>
      </c>
      <c r="F901" s="56">
        <v>159103.15</v>
      </c>
      <c r="G901" s="56">
        <v>357202.39</v>
      </c>
      <c r="H901" s="46">
        <v>1146004.6299999999</v>
      </c>
      <c r="I901" s="46">
        <v>2353155.37</v>
      </c>
      <c r="J901" s="46">
        <v>2490028.4300000002</v>
      </c>
      <c r="K901" s="46">
        <v>4591363.9800000004</v>
      </c>
      <c r="L901" s="46">
        <v>7412361.7999999998</v>
      </c>
      <c r="M901" s="46"/>
      <c r="O901" s="46"/>
    </row>
    <row r="902" spans="1:15" x14ac:dyDescent="0.2">
      <c r="A902" s="5">
        <v>874</v>
      </c>
      <c r="B902" s="28">
        <f t="shared" ca="1" si="53"/>
        <v>4274334.3747633556</v>
      </c>
      <c r="C902" s="29">
        <f t="shared" ca="1" si="52"/>
        <v>-1.5114801308242096E-2</v>
      </c>
      <c r="D902" s="30">
        <f t="shared" ca="1" si="54"/>
        <v>3.5496074871875869E-3</v>
      </c>
      <c r="E902" s="56">
        <v>63243.12</v>
      </c>
      <c r="F902" s="56">
        <v>129434.22</v>
      </c>
      <c r="G902" s="56">
        <v>214339.38</v>
      </c>
      <c r="H902" s="46">
        <v>372362.38</v>
      </c>
      <c r="I902" s="46">
        <v>703692.41</v>
      </c>
      <c r="J902" s="46">
        <v>1283102.27</v>
      </c>
      <c r="K902" s="46">
        <v>1604604.81</v>
      </c>
      <c r="L902" s="46">
        <v>3724918.99</v>
      </c>
      <c r="M902" s="46"/>
      <c r="O902" s="46"/>
    </row>
    <row r="903" spans="1:15" x14ac:dyDescent="0.2">
      <c r="A903" s="5">
        <v>875</v>
      </c>
      <c r="B903" s="28">
        <f t="shared" ca="1" si="53"/>
        <v>4413124.9397353595</v>
      </c>
      <c r="C903" s="29">
        <f t="shared" ca="1" si="52"/>
        <v>0.6898497487427554</v>
      </c>
      <c r="D903" s="30">
        <f t="shared" ca="1" si="54"/>
        <v>3.2329664726782205E-2</v>
      </c>
      <c r="E903" s="56">
        <v>58305.55</v>
      </c>
      <c r="F903" s="56">
        <v>138028.09</v>
      </c>
      <c r="G903" s="56">
        <v>516117.75</v>
      </c>
      <c r="H903" s="46">
        <v>1032908.88</v>
      </c>
      <c r="I903" s="46">
        <v>958812.5</v>
      </c>
      <c r="J903" s="46">
        <v>1399851.93</v>
      </c>
      <c r="K903" s="46">
        <v>1715723.07</v>
      </c>
      <c r="L903" s="46">
        <v>3048173.94</v>
      </c>
      <c r="M903" s="46"/>
      <c r="O903" s="46"/>
    </row>
    <row r="904" spans="1:15" x14ac:dyDescent="0.2">
      <c r="A904" s="5">
        <v>876</v>
      </c>
      <c r="B904" s="28">
        <f t="shared" ca="1" si="53"/>
        <v>4614425.0888457643</v>
      </c>
      <c r="C904" s="29">
        <f t="shared" ca="1" si="52"/>
        <v>1.0119018052878332</v>
      </c>
      <c r="D904" s="30">
        <f t="shared" ca="1" si="54"/>
        <v>4.5477384879272137E-2</v>
      </c>
      <c r="E904" s="56">
        <v>60568.76</v>
      </c>
      <c r="F904" s="56">
        <v>131267.49</v>
      </c>
      <c r="G904" s="56">
        <v>320845.15999999997</v>
      </c>
      <c r="H904" s="46">
        <v>453071.2</v>
      </c>
      <c r="I904" s="46">
        <v>678123.75</v>
      </c>
      <c r="J904" s="46">
        <v>805307.1</v>
      </c>
      <c r="K904" s="46">
        <v>2204300.56</v>
      </c>
      <c r="L904" s="46">
        <v>3075457.28</v>
      </c>
      <c r="M904" s="46"/>
      <c r="O904" s="46"/>
    </row>
    <row r="905" spans="1:15" x14ac:dyDescent="0.2">
      <c r="A905" s="5">
        <v>877</v>
      </c>
      <c r="B905" s="28">
        <f t="shared" ca="1" si="53"/>
        <v>4803953.9711317271</v>
      </c>
      <c r="C905" s="29">
        <f t="shared" ca="1" si="52"/>
        <v>0.90082034696597024</v>
      </c>
      <c r="D905" s="30">
        <f t="shared" ca="1" si="54"/>
        <v>4.0942503333058794E-2</v>
      </c>
      <c r="E905" s="56">
        <v>47852.14</v>
      </c>
      <c r="F905" s="56">
        <v>142854.31</v>
      </c>
      <c r="G905" s="56">
        <v>237132.39</v>
      </c>
      <c r="H905" s="46">
        <v>392408.26</v>
      </c>
      <c r="I905" s="46">
        <v>1284563.43</v>
      </c>
      <c r="J905" s="46">
        <v>1876791.24</v>
      </c>
      <c r="K905" s="46">
        <v>3337119.87</v>
      </c>
      <c r="L905" s="46">
        <v>3732808.36</v>
      </c>
      <c r="M905" s="46"/>
      <c r="O905" s="46"/>
    </row>
    <row r="906" spans="1:15" x14ac:dyDescent="0.2">
      <c r="A906" s="5">
        <v>878</v>
      </c>
      <c r="B906" s="28">
        <f t="shared" ca="1" si="53"/>
        <v>4806188.7332557496</v>
      </c>
      <c r="C906" s="29">
        <f t="shared" ca="1" si="52"/>
        <v>-9.3740690662949461E-2</v>
      </c>
      <c r="D906" s="30">
        <f t="shared" ca="1" si="54"/>
        <v>3.3971899566157416E-4</v>
      </c>
      <c r="E906" s="56">
        <v>97529.66</v>
      </c>
      <c r="F906" s="56">
        <v>137279.04000000001</v>
      </c>
      <c r="G906" s="56">
        <v>246500.03</v>
      </c>
      <c r="H906" s="46">
        <v>293210.57</v>
      </c>
      <c r="I906" s="46">
        <v>518823.12</v>
      </c>
      <c r="J906" s="46">
        <v>1509536.62</v>
      </c>
      <c r="K906" s="46">
        <v>1427948.91</v>
      </c>
      <c r="L906" s="46">
        <v>2728438.89</v>
      </c>
      <c r="M906" s="46"/>
      <c r="O906" s="46"/>
    </row>
    <row r="907" spans="1:15" x14ac:dyDescent="0.2">
      <c r="A907" s="5">
        <v>879</v>
      </c>
      <c r="B907" s="28">
        <f t="shared" ca="1" si="53"/>
        <v>5005070.6192911044</v>
      </c>
      <c r="C907" s="29">
        <f t="shared" ca="1" si="52"/>
        <v>0.9084739123649378</v>
      </c>
      <c r="D907" s="30">
        <f t="shared" ca="1" si="54"/>
        <v>4.1254958832066986E-2</v>
      </c>
      <c r="E907" s="56">
        <v>44910.96</v>
      </c>
      <c r="F907" s="56">
        <v>137927.26999999999</v>
      </c>
      <c r="G907" s="56">
        <v>215363.93</v>
      </c>
      <c r="H907" s="46">
        <v>299607.58</v>
      </c>
      <c r="I907" s="46">
        <v>391185.89</v>
      </c>
      <c r="J907" s="46">
        <v>849873.51</v>
      </c>
      <c r="K907" s="46">
        <v>1005931.03</v>
      </c>
      <c r="L907" s="46">
        <v>826794.9</v>
      </c>
      <c r="M907" s="46"/>
      <c r="O907" s="46"/>
    </row>
    <row r="908" spans="1:15" x14ac:dyDescent="0.2">
      <c r="A908" s="5">
        <v>880</v>
      </c>
      <c r="B908" s="28">
        <f t="shared" ca="1" si="53"/>
        <v>4949459.1192984451</v>
      </c>
      <c r="C908" s="29">
        <f t="shared" ca="1" si="52"/>
        <v>-0.37717561765683866</v>
      </c>
      <c r="D908" s="30">
        <f t="shared" ca="1" si="54"/>
        <v>-1.1231463444638934E-2</v>
      </c>
      <c r="E908" s="56">
        <v>51943.13</v>
      </c>
      <c r="F908" s="56">
        <v>125762</v>
      </c>
      <c r="G908" s="56">
        <v>278822.43</v>
      </c>
      <c r="H908" s="46">
        <v>270528.84000000003</v>
      </c>
      <c r="I908" s="46">
        <v>982920.32</v>
      </c>
      <c r="J908" s="46">
        <v>1416534.51</v>
      </c>
      <c r="K908" s="46">
        <v>1361788.67</v>
      </c>
      <c r="L908" s="46">
        <v>1357818.69</v>
      </c>
      <c r="M908" s="46"/>
      <c r="O908" s="46"/>
    </row>
    <row r="909" spans="1:15" x14ac:dyDescent="0.2">
      <c r="A909" s="5">
        <v>881</v>
      </c>
      <c r="B909" s="28">
        <f t="shared" ca="1" si="53"/>
        <v>4499641.0519101592</v>
      </c>
      <c r="C909" s="29">
        <f t="shared" ca="1" si="52"/>
        <v>-2.3311969920191347</v>
      </c>
      <c r="D909" s="30">
        <f t="shared" ca="1" si="54"/>
        <v>-9.1004052005964481E-2</v>
      </c>
      <c r="E909" s="56">
        <v>84982.22</v>
      </c>
      <c r="F909" s="56">
        <v>172489.4</v>
      </c>
      <c r="G909" s="56">
        <v>634653.38</v>
      </c>
      <c r="H909" s="46">
        <v>1070679.6200000001</v>
      </c>
      <c r="I909" s="46">
        <v>1766800.53</v>
      </c>
      <c r="J909" s="46">
        <v>2958717.56</v>
      </c>
      <c r="K909" s="46">
        <v>2649638</v>
      </c>
      <c r="L909" s="46">
        <v>6115636.6500000004</v>
      </c>
      <c r="M909" s="46"/>
      <c r="O909" s="46"/>
    </row>
    <row r="910" spans="1:15" x14ac:dyDescent="0.2">
      <c r="A910" s="5">
        <v>882</v>
      </c>
      <c r="B910" s="28">
        <f t="shared" ca="1" si="53"/>
        <v>4589340.3679425092</v>
      </c>
      <c r="C910" s="29">
        <f t="shared" ca="1" si="52"/>
        <v>0.38295679605747757</v>
      </c>
      <c r="D910" s="30">
        <f t="shared" ca="1" si="54"/>
        <v>1.9800812397865013E-2</v>
      </c>
      <c r="E910" s="56">
        <v>58355.57</v>
      </c>
      <c r="F910" s="56">
        <v>71689.08</v>
      </c>
      <c r="G910" s="56">
        <v>116174.29</v>
      </c>
      <c r="H910" s="46">
        <v>147234.22</v>
      </c>
      <c r="I910" s="46">
        <v>607156.59</v>
      </c>
      <c r="J910" s="46">
        <v>1857574.96</v>
      </c>
      <c r="K910" s="46">
        <v>2167568.2599999998</v>
      </c>
      <c r="L910" s="46">
        <v>5191968.92</v>
      </c>
      <c r="M910" s="46"/>
      <c r="O910" s="46"/>
    </row>
    <row r="911" spans="1:15" x14ac:dyDescent="0.2">
      <c r="A911" s="5">
        <v>883</v>
      </c>
      <c r="B911" s="28">
        <f t="shared" ca="1" si="53"/>
        <v>4448118.6801881539</v>
      </c>
      <c r="C911" s="29">
        <f t="shared" ca="1" si="52"/>
        <v>-0.85902826181380376</v>
      </c>
      <c r="D911" s="30">
        <f t="shared" ca="1" si="54"/>
        <v>-3.0903015267896246E-2</v>
      </c>
      <c r="E911" s="56">
        <v>81941.02</v>
      </c>
      <c r="F911" s="56">
        <v>238600.97</v>
      </c>
      <c r="G911" s="56">
        <v>695163.86</v>
      </c>
      <c r="H911" s="46">
        <v>2948831.77</v>
      </c>
      <c r="I911" s="46">
        <v>5060125.37</v>
      </c>
      <c r="J911" s="46">
        <v>6848380.3200000003</v>
      </c>
      <c r="K911" s="46">
        <v>24200744.920000002</v>
      </c>
      <c r="L911" s="46">
        <v>56948741.07</v>
      </c>
      <c r="M911" s="46"/>
      <c r="O911" s="46"/>
    </row>
    <row r="912" spans="1:15" x14ac:dyDescent="0.2">
      <c r="A912" s="5">
        <v>884</v>
      </c>
      <c r="B912" s="28">
        <f t="shared" ca="1" si="53"/>
        <v>4386434.0012621172</v>
      </c>
      <c r="C912" s="29">
        <f t="shared" ca="1" si="52"/>
        <v>-0.44506654843685195</v>
      </c>
      <c r="D912" s="30">
        <f t="shared" ca="1" si="54"/>
        <v>-1.4003099087533024E-2</v>
      </c>
      <c r="E912" s="56">
        <v>37340.32</v>
      </c>
      <c r="F912" s="56">
        <v>85831.5</v>
      </c>
      <c r="G912" s="56">
        <v>195836.37</v>
      </c>
      <c r="H912" s="46">
        <v>223424.61</v>
      </c>
      <c r="I912" s="46">
        <v>438606</v>
      </c>
      <c r="J912" s="46">
        <v>717570.65</v>
      </c>
      <c r="K912" s="46">
        <v>1181460.6299999999</v>
      </c>
      <c r="L912" s="46">
        <v>1314069.97</v>
      </c>
      <c r="M912" s="46"/>
      <c r="O912" s="46"/>
    </row>
    <row r="913" spans="1:15" x14ac:dyDescent="0.2">
      <c r="A913" s="5">
        <v>885</v>
      </c>
      <c r="B913" s="28">
        <f t="shared" ca="1" si="53"/>
        <v>4194410.3686883477</v>
      </c>
      <c r="C913" s="29">
        <f t="shared" ca="1" si="52"/>
        <v>-1.1777340000589755</v>
      </c>
      <c r="D913" s="30">
        <f t="shared" ca="1" si="54"/>
        <v>-4.3914122547857731E-2</v>
      </c>
      <c r="E913" s="56">
        <v>41026.160000000003</v>
      </c>
      <c r="F913" s="56">
        <v>106978.84</v>
      </c>
      <c r="G913" s="56">
        <v>265001.26</v>
      </c>
      <c r="H913" s="46">
        <v>431433.04</v>
      </c>
      <c r="I913" s="46">
        <v>2271295.27</v>
      </c>
      <c r="J913" s="46">
        <v>3466317.33</v>
      </c>
      <c r="K913" s="46">
        <v>7612240.1200000001</v>
      </c>
      <c r="L913" s="46">
        <v>19591090.359999999</v>
      </c>
      <c r="M913" s="46"/>
      <c r="O913" s="46"/>
    </row>
    <row r="914" spans="1:15" x14ac:dyDescent="0.2">
      <c r="A914" s="5">
        <v>886</v>
      </c>
      <c r="B914" s="28">
        <f t="shared" ca="1" si="53"/>
        <v>4323018.1592919035</v>
      </c>
      <c r="C914" s="29">
        <f t="shared" ca="1" si="52"/>
        <v>0.6454732495202995</v>
      </c>
      <c r="D914" s="30">
        <f t="shared" ca="1" si="54"/>
        <v>3.0518001732348345E-2</v>
      </c>
      <c r="E914" s="56">
        <v>64654.18</v>
      </c>
      <c r="F914" s="56">
        <v>105685.23</v>
      </c>
      <c r="G914" s="56">
        <v>214765.25</v>
      </c>
      <c r="H914" s="46">
        <v>254534.02</v>
      </c>
      <c r="I914" s="46">
        <v>901048.91</v>
      </c>
      <c r="J914" s="46">
        <v>1559270.7</v>
      </c>
      <c r="K914" s="46">
        <v>4076837.83</v>
      </c>
      <c r="L914" s="46">
        <v>3348476.58</v>
      </c>
      <c r="M914" s="46"/>
      <c r="O914" s="46"/>
    </row>
    <row r="915" spans="1:15" x14ac:dyDescent="0.2">
      <c r="A915" s="5">
        <v>887</v>
      </c>
      <c r="B915" s="28">
        <f t="shared" ca="1" si="53"/>
        <v>4034160.083005114</v>
      </c>
      <c r="C915" s="29">
        <f t="shared" ca="1" si="52"/>
        <v>-1.7421925142914911</v>
      </c>
      <c r="D915" s="30">
        <f t="shared" ca="1" si="54"/>
        <v>-6.6958044895177385E-2</v>
      </c>
      <c r="E915" s="56">
        <v>52329.99</v>
      </c>
      <c r="F915" s="56">
        <v>256058.05</v>
      </c>
      <c r="G915" s="56">
        <v>351608.15</v>
      </c>
      <c r="H915" s="46">
        <v>751622.98</v>
      </c>
      <c r="I915" s="46">
        <v>1136458.8899999999</v>
      </c>
      <c r="J915" s="46">
        <v>3818608.14</v>
      </c>
      <c r="K915" s="46">
        <v>5405038.0599999996</v>
      </c>
      <c r="L915" s="46">
        <v>10763421.51</v>
      </c>
      <c r="M915" s="46"/>
      <c r="O915" s="46"/>
    </row>
    <row r="916" spans="1:15" x14ac:dyDescent="0.2">
      <c r="A916" s="5">
        <v>888</v>
      </c>
      <c r="B916" s="28">
        <f t="shared" ca="1" si="53"/>
        <v>4048644.4256426301</v>
      </c>
      <c r="C916" s="29">
        <f t="shared" ca="1" si="52"/>
        <v>-1.7774947887585931E-2</v>
      </c>
      <c r="D916" s="30">
        <f t="shared" ca="1" si="54"/>
        <v>3.4410074578475457E-3</v>
      </c>
      <c r="E916" s="56">
        <v>43908.639999999999</v>
      </c>
      <c r="F916" s="56">
        <v>104259.97</v>
      </c>
      <c r="G916" s="56">
        <v>195210.66</v>
      </c>
      <c r="H916" s="46">
        <v>301571.82</v>
      </c>
      <c r="I916" s="46">
        <v>433424</v>
      </c>
      <c r="J916" s="46">
        <v>827881.82</v>
      </c>
      <c r="K916" s="46">
        <v>867738.57</v>
      </c>
      <c r="L916" s="46">
        <v>792837.61</v>
      </c>
      <c r="M916" s="46"/>
      <c r="O916" s="46"/>
    </row>
    <row r="917" spans="1:15" x14ac:dyDescent="0.2">
      <c r="A917" s="5">
        <v>889</v>
      </c>
      <c r="B917" s="28">
        <f t="shared" ca="1" si="53"/>
        <v>4104083.487211565</v>
      </c>
      <c r="C917" s="29">
        <f t="shared" ca="1" si="52"/>
        <v>0.2297056136233788</v>
      </c>
      <c r="D917" s="30">
        <f t="shared" ca="1" si="54"/>
        <v>1.354435907383637E-2</v>
      </c>
      <c r="E917" s="56">
        <v>53565.32</v>
      </c>
      <c r="F917" s="56">
        <v>113422.13</v>
      </c>
      <c r="G917" s="56">
        <v>155287.46</v>
      </c>
      <c r="H917" s="46">
        <v>394679.15</v>
      </c>
      <c r="I917" s="46">
        <v>1041537.14</v>
      </c>
      <c r="J917" s="46">
        <v>3074831.58</v>
      </c>
      <c r="K917" s="46">
        <v>2584253.88</v>
      </c>
      <c r="L917" s="46">
        <v>4554880.7300000004</v>
      </c>
      <c r="M917" s="46"/>
      <c r="O917" s="46"/>
    </row>
    <row r="918" spans="1:15" x14ac:dyDescent="0.2">
      <c r="A918" s="5">
        <v>890</v>
      </c>
      <c r="B918" s="28">
        <f t="shared" ca="1" si="53"/>
        <v>4260316.2415396348</v>
      </c>
      <c r="C918" s="29">
        <f t="shared" ca="1" si="52"/>
        <v>0.82680318338757308</v>
      </c>
      <c r="D918" s="30">
        <f t="shared" ca="1" si="54"/>
        <v>3.7920765283472324E-2</v>
      </c>
      <c r="E918" s="56">
        <v>88458.16</v>
      </c>
      <c r="F918" s="56">
        <v>267713.51</v>
      </c>
      <c r="G918" s="56">
        <v>415484.46</v>
      </c>
      <c r="H918" s="46">
        <v>713261.32</v>
      </c>
      <c r="I918" s="46">
        <v>1772101.87</v>
      </c>
      <c r="J918" s="46">
        <v>3144729.5</v>
      </c>
      <c r="K918" s="46">
        <v>6646130.1200000001</v>
      </c>
      <c r="L918" s="46">
        <v>13422310.710000001</v>
      </c>
      <c r="M918" s="46"/>
      <c r="O918" s="46"/>
    </row>
    <row r="919" spans="1:15" x14ac:dyDescent="0.2">
      <c r="A919" s="5">
        <v>891</v>
      </c>
      <c r="B919" s="28">
        <f t="shared" ca="1" si="53"/>
        <v>4233397.9031456206</v>
      </c>
      <c r="C919" s="29">
        <f t="shared" ca="1" si="52"/>
        <v>-0.26029602352343351</v>
      </c>
      <c r="D919" s="30">
        <f t="shared" ca="1" si="54"/>
        <v>-6.4598739951316547E-3</v>
      </c>
      <c r="E919" s="56">
        <v>68593.22</v>
      </c>
      <c r="F919" s="56">
        <v>136256.9</v>
      </c>
      <c r="G919" s="56">
        <v>257060.58</v>
      </c>
      <c r="H919" s="46">
        <v>343435.51</v>
      </c>
      <c r="I919" s="46">
        <v>541063.79</v>
      </c>
      <c r="J919" s="46">
        <v>810403.92</v>
      </c>
      <c r="K919" s="46">
        <v>831419.18</v>
      </c>
      <c r="L919" s="46">
        <v>971587.64</v>
      </c>
      <c r="M919" s="46"/>
      <c r="O919" s="46"/>
    </row>
    <row r="920" spans="1:15" x14ac:dyDescent="0.2">
      <c r="A920" s="5">
        <v>892</v>
      </c>
      <c r="B920" s="28">
        <f t="shared" ca="1" si="53"/>
        <v>4130653.4793800083</v>
      </c>
      <c r="C920" s="29">
        <f t="shared" ca="1" si="52"/>
        <v>-0.70004008282482966</v>
      </c>
      <c r="D920" s="30">
        <f t="shared" ca="1" si="54"/>
        <v>-2.4412350040275116E-2</v>
      </c>
      <c r="E920" s="56">
        <v>43357.02</v>
      </c>
      <c r="F920" s="56">
        <v>127927.15</v>
      </c>
      <c r="G920" s="56">
        <v>592897.41</v>
      </c>
      <c r="H920" s="46">
        <v>1158967.75</v>
      </c>
      <c r="I920" s="46">
        <v>1823447.4</v>
      </c>
      <c r="J920" s="46">
        <v>3675205.94</v>
      </c>
      <c r="K920" s="46">
        <v>10235772.439999999</v>
      </c>
      <c r="L920" s="46">
        <v>10783381.09</v>
      </c>
      <c r="M920" s="46"/>
      <c r="O920" s="46"/>
    </row>
    <row r="921" spans="1:15" x14ac:dyDescent="0.2">
      <c r="A921" s="5">
        <v>893</v>
      </c>
      <c r="B921" s="28">
        <f t="shared" ca="1" si="53"/>
        <v>3951358.8879679143</v>
      </c>
      <c r="C921" s="29">
        <f t="shared" ca="1" si="52"/>
        <v>-1.1688587383558111</v>
      </c>
      <c r="D921" s="30">
        <f t="shared" ca="1" si="54"/>
        <v>-4.3551791506084105E-2</v>
      </c>
      <c r="E921" s="56">
        <v>34668.629999999997</v>
      </c>
      <c r="F921" s="56">
        <v>146654.48000000001</v>
      </c>
      <c r="G921" s="56">
        <v>162578.79999999999</v>
      </c>
      <c r="H921" s="46">
        <v>143435.26</v>
      </c>
      <c r="I921" s="46">
        <v>305058.46000000002</v>
      </c>
      <c r="J921" s="46">
        <v>729650.78</v>
      </c>
      <c r="K921" s="46">
        <v>1657768.34</v>
      </c>
      <c r="L921" s="46">
        <v>2153256.2200000002</v>
      </c>
      <c r="M921" s="46"/>
      <c r="O921" s="46"/>
    </row>
    <row r="922" spans="1:15" x14ac:dyDescent="0.2">
      <c r="A922" s="5">
        <v>894</v>
      </c>
      <c r="B922" s="28">
        <f t="shared" ca="1" si="53"/>
        <v>4016697.4352686643</v>
      </c>
      <c r="C922" s="29">
        <f t="shared" ca="1" si="52"/>
        <v>0.29924196633602368</v>
      </c>
      <c r="D922" s="30">
        <f t="shared" ca="1" si="54"/>
        <v>1.6383168785839317E-2</v>
      </c>
      <c r="E922" s="56">
        <v>61368.15</v>
      </c>
      <c r="F922" s="56">
        <v>152775.96</v>
      </c>
      <c r="G922" s="56">
        <v>459613.3</v>
      </c>
      <c r="H922" s="46">
        <v>929431.54</v>
      </c>
      <c r="I922" s="46">
        <v>1886725.66</v>
      </c>
      <c r="J922" s="46">
        <v>1628161.56</v>
      </c>
      <c r="K922" s="46">
        <v>3625884.42</v>
      </c>
      <c r="L922" s="46">
        <v>6357047.5599999996</v>
      </c>
      <c r="M922" s="46"/>
      <c r="O922" s="46"/>
    </row>
    <row r="923" spans="1:15" x14ac:dyDescent="0.2">
      <c r="A923" s="5">
        <v>895</v>
      </c>
      <c r="B923" s="28">
        <f t="shared" ca="1" si="53"/>
        <v>3962453.9827159112</v>
      </c>
      <c r="C923" s="29">
        <f t="shared" ca="1" si="52"/>
        <v>-0.43652902243896707</v>
      </c>
      <c r="D923" s="30">
        <f t="shared" ca="1" si="54"/>
        <v>-1.3654556048190297E-2</v>
      </c>
      <c r="E923" s="56">
        <v>47348.7</v>
      </c>
      <c r="F923" s="56">
        <v>161296.51999999999</v>
      </c>
      <c r="G923" s="56">
        <v>373656.44</v>
      </c>
      <c r="H923" s="46">
        <v>644520.4</v>
      </c>
      <c r="I923" s="46">
        <v>1690441.41</v>
      </c>
      <c r="J923" s="46">
        <v>1956187.45</v>
      </c>
      <c r="K923" s="46">
        <v>5023843.29</v>
      </c>
      <c r="L923" s="46">
        <v>2954081.56</v>
      </c>
      <c r="M923" s="46"/>
      <c r="O923" s="46"/>
    </row>
    <row r="924" spans="1:15" x14ac:dyDescent="0.2">
      <c r="A924" s="5">
        <v>896</v>
      </c>
      <c r="B924" s="28">
        <f t="shared" ca="1" si="53"/>
        <v>3898209.5343499081</v>
      </c>
      <c r="C924" s="29">
        <f t="shared" ca="1" si="52"/>
        <v>-0.50293130998416613</v>
      </c>
      <c r="D924" s="30">
        <f t="shared" ca="1" si="54"/>
        <v>-1.6365418085512035E-2</v>
      </c>
      <c r="E924" s="56">
        <v>52566.63</v>
      </c>
      <c r="F924" s="56">
        <v>202133.91</v>
      </c>
      <c r="G924" s="56">
        <v>172138.52</v>
      </c>
      <c r="H924" s="46">
        <v>336374.78</v>
      </c>
      <c r="I924" s="46">
        <v>609056.24</v>
      </c>
      <c r="J924" s="46">
        <v>1253551.26</v>
      </c>
      <c r="K924" s="46">
        <v>1816406.02</v>
      </c>
      <c r="L924" s="46">
        <v>3951135.82</v>
      </c>
      <c r="M924" s="46"/>
      <c r="O924" s="46"/>
    </row>
    <row r="925" spans="1:15" x14ac:dyDescent="0.2">
      <c r="A925" s="5">
        <v>897</v>
      </c>
      <c r="B925" s="28">
        <f t="shared" ca="1" si="53"/>
        <v>3654602.2334707445</v>
      </c>
      <c r="C925" s="29">
        <f t="shared" ca="1" si="52"/>
        <v>-1.6365872252842129</v>
      </c>
      <c r="D925" s="30">
        <f t="shared" ca="1" si="54"/>
        <v>-6.2646727025061036E-2</v>
      </c>
      <c r="E925" s="56">
        <v>81139.86</v>
      </c>
      <c r="F925" s="56">
        <v>661121.31000000006</v>
      </c>
      <c r="G925" s="56">
        <v>1224698.3400000001</v>
      </c>
      <c r="H925" s="46">
        <v>1531817.02</v>
      </c>
      <c r="I925" s="46">
        <v>1878453.98</v>
      </c>
      <c r="J925" s="46">
        <v>4265159.95</v>
      </c>
      <c r="K925" s="46">
        <v>3224536.09</v>
      </c>
      <c r="L925" s="46">
        <v>2362958.88</v>
      </c>
      <c r="M925" s="46"/>
      <c r="O925" s="46"/>
    </row>
    <row r="926" spans="1:15" x14ac:dyDescent="0.2">
      <c r="A926" s="5">
        <v>898</v>
      </c>
      <c r="B926" s="28">
        <f t="shared" ca="1" si="53"/>
        <v>3447128.7454397758</v>
      </c>
      <c r="C926" s="29">
        <f t="shared" ca="1" si="52"/>
        <v>-1.4966889610797502</v>
      </c>
      <c r="D926" s="30">
        <f t="shared" ca="1" si="54"/>
        <v>-5.6935404305027665E-2</v>
      </c>
      <c r="E926" s="56">
        <v>38078.36</v>
      </c>
      <c r="F926" s="56">
        <v>98673.600000000006</v>
      </c>
      <c r="G926" s="56">
        <v>203252.43</v>
      </c>
      <c r="H926" s="46">
        <v>232609.9</v>
      </c>
      <c r="I926" s="46">
        <v>803497.49</v>
      </c>
      <c r="J926" s="46">
        <v>1056056.21</v>
      </c>
      <c r="K926" s="46">
        <v>2050459.38</v>
      </c>
      <c r="L926" s="46">
        <v>2745785.02</v>
      </c>
      <c r="M926" s="46"/>
      <c r="O926" s="46"/>
    </row>
    <row r="927" spans="1:15" x14ac:dyDescent="0.2">
      <c r="A927" s="5">
        <v>899</v>
      </c>
      <c r="B927" s="28">
        <f t="shared" ca="1" si="53"/>
        <v>3352883.0712178336</v>
      </c>
      <c r="C927" s="29">
        <f t="shared" ref="C927:C988" ca="1" si="55">NORMSINV(RAND())</f>
        <v>-0.77604411035733789</v>
      </c>
      <c r="D927" s="30">
        <f t="shared" ca="1" si="54"/>
        <v>-2.7515201471126599E-2</v>
      </c>
      <c r="E927" s="56">
        <v>50493.02</v>
      </c>
      <c r="F927" s="56">
        <v>125008.86</v>
      </c>
      <c r="G927" s="56">
        <v>220346.67</v>
      </c>
      <c r="H927" s="46">
        <v>227681.58</v>
      </c>
      <c r="I927" s="46">
        <v>939571.08</v>
      </c>
      <c r="J927" s="46">
        <v>947907.03</v>
      </c>
      <c r="K927" s="46">
        <v>1652224.26</v>
      </c>
      <c r="L927" s="46">
        <v>2590304.9</v>
      </c>
      <c r="M927" s="46"/>
      <c r="O927" s="46"/>
    </row>
    <row r="928" spans="1:15" x14ac:dyDescent="0.2">
      <c r="A928" s="5">
        <v>900</v>
      </c>
      <c r="B928" s="28">
        <f t="shared" ca="1" si="53"/>
        <v>3365168.8077015956</v>
      </c>
      <c r="C928" s="29">
        <f t="shared" ca="1" si="55"/>
        <v>-1.6710715055460516E-2</v>
      </c>
      <c r="D928" s="30">
        <f t="shared" ca="1" si="54"/>
        <v>3.4844545812846173E-3</v>
      </c>
      <c r="E928" s="56">
        <v>55835.65</v>
      </c>
      <c r="F928" s="56">
        <v>124104.25</v>
      </c>
      <c r="G928" s="56">
        <v>194538.6</v>
      </c>
      <c r="H928" s="46">
        <v>309008.19</v>
      </c>
      <c r="I928" s="46">
        <v>776835.54</v>
      </c>
      <c r="J928" s="46">
        <v>1105928.1399999999</v>
      </c>
      <c r="K928" s="46">
        <v>804612.98</v>
      </c>
      <c r="L928" s="46">
        <v>1496336.22</v>
      </c>
      <c r="M928" s="46"/>
      <c r="O928" s="46"/>
    </row>
    <row r="929" spans="1:15" x14ac:dyDescent="0.2">
      <c r="A929" s="5">
        <v>901</v>
      </c>
      <c r="B929" s="28">
        <f t="shared" ca="1" si="53"/>
        <v>3403112.4933808073</v>
      </c>
      <c r="C929" s="29">
        <f t="shared" ca="1" si="55"/>
        <v>0.16974062373846996</v>
      </c>
      <c r="D929" s="30">
        <f t="shared" ca="1" si="54"/>
        <v>1.1096298613016684E-2</v>
      </c>
      <c r="E929" s="56">
        <v>48195.65</v>
      </c>
      <c r="F929" s="56">
        <v>188933.23</v>
      </c>
      <c r="G929" s="56">
        <v>605772.43000000005</v>
      </c>
      <c r="H929" s="46">
        <v>778517.26</v>
      </c>
      <c r="I929" s="46">
        <v>2345370.0499999998</v>
      </c>
      <c r="J929" s="46">
        <v>1805762.49</v>
      </c>
      <c r="K929" s="46">
        <v>1871201.96</v>
      </c>
      <c r="L929" s="46">
        <v>2752980.37</v>
      </c>
      <c r="M929" s="46"/>
      <c r="O929" s="46"/>
    </row>
    <row r="930" spans="1:15" x14ac:dyDescent="0.2">
      <c r="A930" s="5">
        <v>902</v>
      </c>
      <c r="B930" s="28">
        <f t="shared" ca="1" si="53"/>
        <v>3525639.2799642798</v>
      </c>
      <c r="C930" s="29">
        <f t="shared" ca="1" si="55"/>
        <v>0.77552171052604335</v>
      </c>
      <c r="D930" s="30">
        <f t="shared" ca="1" si="54"/>
        <v>3.582720792065347E-2</v>
      </c>
      <c r="E930" s="56">
        <v>56283.75</v>
      </c>
      <c r="F930" s="56">
        <v>71971.16</v>
      </c>
      <c r="G930" s="56">
        <v>249033.81</v>
      </c>
      <c r="H930" s="46">
        <v>415690.13</v>
      </c>
      <c r="I930" s="46">
        <v>443175.18</v>
      </c>
      <c r="J930" s="46">
        <v>1795838.28</v>
      </c>
      <c r="K930" s="46">
        <v>2707715.37</v>
      </c>
      <c r="L930" s="46">
        <v>5454265.8499999996</v>
      </c>
      <c r="M930" s="46"/>
      <c r="O930" s="46"/>
    </row>
    <row r="931" spans="1:15" x14ac:dyDescent="0.2">
      <c r="A931" s="5">
        <v>903</v>
      </c>
      <c r="B931" s="28">
        <f t="shared" ca="1" si="53"/>
        <v>3675651.1174145546</v>
      </c>
      <c r="C931" s="29">
        <f t="shared" ca="1" si="55"/>
        <v>0.93597941364098824</v>
      </c>
      <c r="D931" s="30">
        <f t="shared" ca="1" si="54"/>
        <v>4.2377866219496907E-2</v>
      </c>
      <c r="E931" s="56">
        <v>44477.03</v>
      </c>
      <c r="F931" s="56">
        <v>158339.39000000001</v>
      </c>
      <c r="G931" s="56">
        <v>687827.88</v>
      </c>
      <c r="H931" s="46">
        <v>997774.41</v>
      </c>
      <c r="I931" s="46">
        <v>3326957.9</v>
      </c>
      <c r="J931" s="46">
        <v>4456509.58</v>
      </c>
      <c r="K931" s="46">
        <v>12043164.710000001</v>
      </c>
      <c r="L931" s="46">
        <v>16932770.870000001</v>
      </c>
      <c r="M931" s="46"/>
      <c r="O931" s="46"/>
    </row>
    <row r="932" spans="1:15" x14ac:dyDescent="0.2">
      <c r="A932" s="5">
        <v>904</v>
      </c>
      <c r="B932" s="28">
        <f t="shared" ca="1" si="53"/>
        <v>4040043.2513414738</v>
      </c>
      <c r="C932" s="29">
        <f t="shared" ca="1" si="55"/>
        <v>2.3222657338793229</v>
      </c>
      <c r="D932" s="30">
        <f t="shared" ca="1" si="54"/>
        <v>9.8972768252570856E-2</v>
      </c>
      <c r="E932" s="56">
        <v>46665.03</v>
      </c>
      <c r="F932" s="56">
        <v>195098.2</v>
      </c>
      <c r="G932" s="56">
        <v>574764.4</v>
      </c>
      <c r="H932" s="46">
        <v>903776.22</v>
      </c>
      <c r="I932" s="46">
        <v>2006773.99</v>
      </c>
      <c r="J932" s="46">
        <v>3911205.02</v>
      </c>
      <c r="K932" s="46">
        <v>5096827.43</v>
      </c>
      <c r="L932" s="46">
        <v>10743703.48</v>
      </c>
      <c r="M932" s="46"/>
      <c r="O932" s="46"/>
    </row>
    <row r="933" spans="1:15" x14ac:dyDescent="0.2">
      <c r="A933" s="5">
        <v>905</v>
      </c>
      <c r="B933" s="28">
        <f t="shared" ref="B933:B988" ca="1" si="56">(B932*(1+D933))+($C$6*(1+$C$8)^19)</f>
        <v>3917458.8630782105</v>
      </c>
      <c r="C933" s="29">
        <f t="shared" ca="1" si="55"/>
        <v>-0.84894931172788546</v>
      </c>
      <c r="D933" s="30">
        <f t="shared" ca="1" si="54"/>
        <v>-3.0491543853671574E-2</v>
      </c>
      <c r="E933" s="56">
        <v>48370.41</v>
      </c>
      <c r="F933" s="56">
        <v>139492.04999999999</v>
      </c>
      <c r="G933" s="56">
        <v>234904.53</v>
      </c>
      <c r="H933" s="46">
        <v>230182.84</v>
      </c>
      <c r="I933" s="46">
        <v>804561.52</v>
      </c>
      <c r="J933" s="46">
        <v>2590406.65</v>
      </c>
      <c r="K933" s="46">
        <v>4475453.83</v>
      </c>
      <c r="L933" s="46">
        <v>10488390.130000001</v>
      </c>
      <c r="M933" s="46"/>
      <c r="O933" s="46"/>
    </row>
    <row r="934" spans="1:15" x14ac:dyDescent="0.2">
      <c r="A934" s="5">
        <v>906</v>
      </c>
      <c r="B934" s="28">
        <f t="shared" ca="1" si="56"/>
        <v>4405356.4396981159</v>
      </c>
      <c r="C934" s="29">
        <f t="shared" ca="1" si="55"/>
        <v>2.9448713550622361</v>
      </c>
      <c r="D934" s="30">
        <f t="shared" ca="1" si="54"/>
        <v>0.12439053630068243</v>
      </c>
      <c r="E934" s="56">
        <v>47653.02</v>
      </c>
      <c r="F934" s="56">
        <v>147338.66</v>
      </c>
      <c r="G934" s="56">
        <v>169496.28</v>
      </c>
      <c r="H934" s="46">
        <v>279835.90000000002</v>
      </c>
      <c r="I934" s="46">
        <v>331995.71000000002</v>
      </c>
      <c r="J934" s="46">
        <v>545196.88</v>
      </c>
      <c r="K934" s="46">
        <v>842734.46</v>
      </c>
      <c r="L934" s="46">
        <v>836319.61</v>
      </c>
      <c r="M934" s="46"/>
      <c r="O934" s="46"/>
    </row>
    <row r="935" spans="1:15" x14ac:dyDescent="0.2">
      <c r="A935" s="5">
        <v>907</v>
      </c>
      <c r="B935" s="28">
        <f t="shared" ca="1" si="56"/>
        <v>4468539.7031174963</v>
      </c>
      <c r="C935" s="29">
        <f t="shared" ca="1" si="55"/>
        <v>0.24590133158780639</v>
      </c>
      <c r="D935" s="30">
        <f t="shared" ca="1" si="54"/>
        <v>1.4205546491017615E-2</v>
      </c>
      <c r="E935" s="56">
        <v>39930.480000000003</v>
      </c>
      <c r="F935" s="56">
        <v>123605.56</v>
      </c>
      <c r="G935" s="56">
        <v>285413.51</v>
      </c>
      <c r="H935" s="46">
        <v>256377.72</v>
      </c>
      <c r="I935" s="46">
        <v>407893.45</v>
      </c>
      <c r="J935" s="46">
        <v>540393.89</v>
      </c>
      <c r="K935" s="46">
        <v>583659.56000000006</v>
      </c>
      <c r="L935" s="46">
        <v>739552.04</v>
      </c>
      <c r="M935" s="46"/>
      <c r="O935" s="46"/>
    </row>
    <row r="936" spans="1:15" x14ac:dyDescent="0.2">
      <c r="A936" s="5">
        <v>908</v>
      </c>
      <c r="B936" s="28">
        <f t="shared" ca="1" si="56"/>
        <v>4646733.671304334</v>
      </c>
      <c r="C936" s="29">
        <f t="shared" ca="1" si="55"/>
        <v>0.8714278209246501</v>
      </c>
      <c r="D936" s="30">
        <f t="shared" ca="1" si="54"/>
        <v>3.9742558482180446E-2</v>
      </c>
      <c r="E936" s="56">
        <v>65256.23</v>
      </c>
      <c r="F936" s="56">
        <v>126875.9</v>
      </c>
      <c r="G936" s="56">
        <v>268263.26</v>
      </c>
      <c r="H936" s="46">
        <v>860823.87</v>
      </c>
      <c r="I936" s="46">
        <v>2921572.8</v>
      </c>
      <c r="J936" s="46">
        <v>4002854.47</v>
      </c>
      <c r="K936" s="46">
        <v>4495511.84</v>
      </c>
      <c r="L936" s="46">
        <v>11171488.24</v>
      </c>
      <c r="M936" s="46"/>
      <c r="O936" s="46"/>
    </row>
    <row r="937" spans="1:15" x14ac:dyDescent="0.2">
      <c r="A937" s="5">
        <v>909</v>
      </c>
      <c r="B937" s="28">
        <f t="shared" ca="1" si="56"/>
        <v>4902092.5390656916</v>
      </c>
      <c r="C937" s="29">
        <f t="shared" ca="1" si="55"/>
        <v>1.2408650201315428</v>
      </c>
      <c r="D937" s="30">
        <f t="shared" ca="1" si="54"/>
        <v>5.4824768983177598E-2</v>
      </c>
      <c r="E937" s="56">
        <v>43553.95</v>
      </c>
      <c r="F937" s="56">
        <v>267744.46000000002</v>
      </c>
      <c r="G937" s="56">
        <v>604472.34</v>
      </c>
      <c r="H937" s="46">
        <v>1266615.47</v>
      </c>
      <c r="I937" s="46">
        <v>1307515.3700000001</v>
      </c>
      <c r="J937" s="46">
        <v>2655486.0699999998</v>
      </c>
      <c r="K937" s="46">
        <v>6295755.7999999998</v>
      </c>
      <c r="L937" s="46">
        <v>11712810.83</v>
      </c>
      <c r="M937" s="46"/>
      <c r="O937" s="46"/>
    </row>
    <row r="938" spans="1:15" x14ac:dyDescent="0.2">
      <c r="A938" s="5">
        <v>910</v>
      </c>
      <c r="B938" s="28">
        <f t="shared" ca="1" si="56"/>
        <v>4626796.8163176645</v>
      </c>
      <c r="C938" s="29">
        <f t="shared" ca="1" si="55"/>
        <v>-1.4806784839346381</v>
      </c>
      <c r="D938" s="30">
        <f t="shared" ca="1" si="54"/>
        <v>-5.6281779312627386E-2</v>
      </c>
      <c r="E938" s="56">
        <v>43491.46</v>
      </c>
      <c r="F938" s="56">
        <v>203838.67</v>
      </c>
      <c r="G938" s="56">
        <v>437553.82</v>
      </c>
      <c r="H938" s="46">
        <v>956755.44</v>
      </c>
      <c r="I938" s="46">
        <v>4904015.57</v>
      </c>
      <c r="J938" s="46">
        <v>7138155.5999999996</v>
      </c>
      <c r="K938" s="46">
        <v>8822120.0299999993</v>
      </c>
      <c r="L938" s="46">
        <v>22938758.370000001</v>
      </c>
      <c r="M938" s="46"/>
      <c r="O938" s="46"/>
    </row>
    <row r="939" spans="1:15" x14ac:dyDescent="0.2">
      <c r="A939" s="5">
        <v>911</v>
      </c>
      <c r="B939" s="28">
        <f t="shared" ca="1" si="56"/>
        <v>4999694.8299148213</v>
      </c>
      <c r="C939" s="29">
        <f t="shared" ca="1" si="55"/>
        <v>1.8689200610315995</v>
      </c>
      <c r="D939" s="30">
        <f t="shared" ca="1" si="54"/>
        <v>8.0465008659643567E-2</v>
      </c>
      <c r="E939" s="56">
        <v>59491.81</v>
      </c>
      <c r="F939" s="56">
        <v>128017.97</v>
      </c>
      <c r="G939" s="56">
        <v>711706.47</v>
      </c>
      <c r="H939" s="46">
        <v>1270208.1399999999</v>
      </c>
      <c r="I939" s="46">
        <v>2794405.58</v>
      </c>
      <c r="J939" s="46">
        <v>3493794.96</v>
      </c>
      <c r="K939" s="46">
        <v>13339015.73</v>
      </c>
      <c r="L939" s="46">
        <v>8774469.5899999999</v>
      </c>
      <c r="M939" s="46"/>
      <c r="O939" s="46"/>
    </row>
    <row r="940" spans="1:15" x14ac:dyDescent="0.2">
      <c r="A940" s="5">
        <v>912</v>
      </c>
      <c r="B940" s="28">
        <f t="shared" ca="1" si="56"/>
        <v>4906986.4388549551</v>
      </c>
      <c r="C940" s="29">
        <f t="shared" ca="1" si="55"/>
        <v>-0.55921942733289676</v>
      </c>
      <c r="D940" s="30">
        <f t="shared" ca="1" si="54"/>
        <v>-1.8663370853616894E-2</v>
      </c>
      <c r="E940" s="56">
        <v>72405.47</v>
      </c>
      <c r="F940" s="56">
        <v>273047.43</v>
      </c>
      <c r="G940" s="56">
        <v>456130.01</v>
      </c>
      <c r="H940" s="46">
        <v>515637.24</v>
      </c>
      <c r="I940" s="46">
        <v>1776579.38</v>
      </c>
      <c r="J940" s="46">
        <v>1318588.06</v>
      </c>
      <c r="K940" s="46">
        <v>6195476.0499999998</v>
      </c>
      <c r="L940" s="46">
        <v>8336587.8899999997</v>
      </c>
      <c r="M940" s="46"/>
      <c r="O940" s="46"/>
    </row>
    <row r="941" spans="1:15" x14ac:dyDescent="0.2">
      <c r="A941" s="5">
        <v>913</v>
      </c>
      <c r="B941" s="28">
        <f t="shared" ca="1" si="56"/>
        <v>4871843.2591444599</v>
      </c>
      <c r="C941" s="29">
        <f t="shared" ca="1" si="55"/>
        <v>-0.28050016824392127</v>
      </c>
      <c r="D941" s="30">
        <f t="shared" ca="1" si="54"/>
        <v>-7.2847047493740163E-3</v>
      </c>
      <c r="E941" s="56">
        <v>52711.199999999997</v>
      </c>
      <c r="F941" s="56">
        <v>350523.9</v>
      </c>
      <c r="G941" s="56">
        <v>520671.77</v>
      </c>
      <c r="H941" s="46">
        <v>1444888.01</v>
      </c>
      <c r="I941" s="46">
        <v>1905508.06</v>
      </c>
      <c r="J941" s="46">
        <v>2696993.06</v>
      </c>
      <c r="K941" s="46">
        <v>3933385.62</v>
      </c>
      <c r="L941" s="46">
        <v>6848560.6399999997</v>
      </c>
      <c r="M941" s="46"/>
      <c r="O941" s="46"/>
    </row>
    <row r="942" spans="1:15" x14ac:dyDescent="0.2">
      <c r="A942" s="5">
        <v>914</v>
      </c>
      <c r="B942" s="28">
        <f t="shared" ca="1" si="56"/>
        <v>5090013.7814641828</v>
      </c>
      <c r="C942" s="29">
        <f t="shared" ca="1" si="55"/>
        <v>0.99183597569869497</v>
      </c>
      <c r="D942" s="30">
        <f t="shared" ca="1" si="54"/>
        <v>4.4658200816621647E-2</v>
      </c>
      <c r="E942" s="56">
        <v>51572.08</v>
      </c>
      <c r="F942" s="56">
        <v>147424.95000000001</v>
      </c>
      <c r="G942" s="56">
        <v>650093.19999999995</v>
      </c>
      <c r="H942" s="46">
        <v>257052.03</v>
      </c>
      <c r="I942" s="46">
        <v>626533.13</v>
      </c>
      <c r="J942" s="46">
        <v>1278260.4099999999</v>
      </c>
      <c r="K942" s="46">
        <v>3578050.51</v>
      </c>
      <c r="L942" s="46">
        <v>2466781.41</v>
      </c>
      <c r="M942" s="46"/>
      <c r="O942" s="46"/>
    </row>
    <row r="943" spans="1:15" x14ac:dyDescent="0.2">
      <c r="A943" s="5">
        <v>915</v>
      </c>
      <c r="B943" s="28">
        <f t="shared" ca="1" si="56"/>
        <v>5077229.2931787306</v>
      </c>
      <c r="C943" s="29">
        <f t="shared" ca="1" si="55"/>
        <v>-0.16648615404746567</v>
      </c>
      <c r="D943" s="30">
        <f t="shared" ca="1" si="54"/>
        <v>-2.630102110911455E-3</v>
      </c>
      <c r="E943" s="56">
        <v>78893.33</v>
      </c>
      <c r="F943" s="56">
        <v>143999.75</v>
      </c>
      <c r="G943" s="56">
        <v>562407.41</v>
      </c>
      <c r="H943" s="46">
        <v>1529783.77</v>
      </c>
      <c r="I943" s="46">
        <v>2846424.25</v>
      </c>
      <c r="J943" s="46">
        <v>3156647.65</v>
      </c>
      <c r="K943" s="46">
        <v>4051835.36</v>
      </c>
      <c r="L943" s="46">
        <v>7964744.4100000001</v>
      </c>
      <c r="M943" s="46"/>
      <c r="O943" s="46"/>
    </row>
    <row r="944" spans="1:15" x14ac:dyDescent="0.2">
      <c r="A944" s="5">
        <v>916</v>
      </c>
      <c r="B944" s="28">
        <f t="shared" ca="1" si="56"/>
        <v>4786299.5971460259</v>
      </c>
      <c r="C944" s="29">
        <f t="shared" ca="1" si="55"/>
        <v>-1.5085492300406762</v>
      </c>
      <c r="D944" s="30">
        <f t="shared" ca="1" si="54"/>
        <v>-5.741959775780163E-2</v>
      </c>
      <c r="E944" s="56">
        <v>52010.12</v>
      </c>
      <c r="F944" s="56">
        <v>98072.68</v>
      </c>
      <c r="G944" s="56">
        <v>182785.46</v>
      </c>
      <c r="H944" s="46">
        <v>386885.96</v>
      </c>
      <c r="I944" s="46">
        <v>796512.45</v>
      </c>
      <c r="J944" s="46">
        <v>1029847.7</v>
      </c>
      <c r="K944" s="46">
        <v>2468324.2400000002</v>
      </c>
      <c r="L944" s="46">
        <v>6189702.79</v>
      </c>
      <c r="M944" s="46"/>
      <c r="O944" s="46"/>
    </row>
    <row r="945" spans="1:15" x14ac:dyDescent="0.2">
      <c r="A945" s="5">
        <v>917</v>
      </c>
      <c r="B945" s="28">
        <f t="shared" ca="1" si="56"/>
        <v>5108854.1207897179</v>
      </c>
      <c r="C945" s="29">
        <f t="shared" ca="1" si="55"/>
        <v>1.5455939251641788</v>
      </c>
      <c r="D945" s="30">
        <f t="shared" ca="1" si="54"/>
        <v>6.7265274436627456E-2</v>
      </c>
      <c r="E945" s="56">
        <v>33312.629999999997</v>
      </c>
      <c r="F945" s="56">
        <v>145022.12</v>
      </c>
      <c r="G945" s="56">
        <v>699971.31</v>
      </c>
      <c r="H945" s="46">
        <v>1563447.26</v>
      </c>
      <c r="I945" s="46">
        <v>2751258.56</v>
      </c>
      <c r="J945" s="46">
        <v>3723907.5</v>
      </c>
      <c r="K945" s="46">
        <v>7852677.2400000002</v>
      </c>
      <c r="L945" s="46">
        <v>6085059.9000000004</v>
      </c>
      <c r="M945" s="46"/>
      <c r="O945" s="46"/>
    </row>
    <row r="946" spans="1:15" x14ac:dyDescent="0.2">
      <c r="A946" s="5">
        <v>918</v>
      </c>
      <c r="B946" s="28">
        <f t="shared" ca="1" si="56"/>
        <v>5269889.7014041608</v>
      </c>
      <c r="C946" s="29">
        <f t="shared" ca="1" si="55"/>
        <v>0.66714863556718906</v>
      </c>
      <c r="D946" s="30">
        <f t="shared" ca="1" si="54"/>
        <v>3.1402895662227037E-2</v>
      </c>
      <c r="E946" s="56">
        <v>36650.25</v>
      </c>
      <c r="F946" s="56">
        <v>147200.87</v>
      </c>
      <c r="G946" s="56">
        <v>421769.62</v>
      </c>
      <c r="H946" s="46">
        <v>752183.65</v>
      </c>
      <c r="I946" s="46">
        <v>647818.30000000005</v>
      </c>
      <c r="J946" s="46">
        <v>760911.11</v>
      </c>
      <c r="K946" s="46">
        <v>1744440.49</v>
      </c>
      <c r="L946" s="46">
        <v>2442828.69</v>
      </c>
      <c r="M946" s="46"/>
      <c r="O946" s="46"/>
    </row>
    <row r="947" spans="1:15" x14ac:dyDescent="0.2">
      <c r="A947" s="5">
        <v>919</v>
      </c>
      <c r="B947" s="28">
        <f t="shared" ca="1" si="56"/>
        <v>5296289.4395936877</v>
      </c>
      <c r="C947" s="29">
        <f t="shared" ca="1" si="55"/>
        <v>1.7844449484615305E-2</v>
      </c>
      <c r="D947" s="30">
        <f t="shared" ca="1" si="54"/>
        <v>4.8951632663029624E-3</v>
      </c>
      <c r="E947" s="56">
        <v>64476.87</v>
      </c>
      <c r="F947" s="56">
        <v>167722.56</v>
      </c>
      <c r="G947" s="56">
        <v>224439.91</v>
      </c>
      <c r="H947" s="46">
        <v>328449.37</v>
      </c>
      <c r="I947" s="46">
        <v>474059.85</v>
      </c>
      <c r="J947" s="46">
        <v>730203.63</v>
      </c>
      <c r="K947" s="46">
        <v>1330873.92</v>
      </c>
      <c r="L947" s="46">
        <v>1811754.48</v>
      </c>
      <c r="M947" s="46"/>
      <c r="O947" s="46"/>
    </row>
    <row r="948" spans="1:15" x14ac:dyDescent="0.2">
      <c r="A948" s="5">
        <v>920</v>
      </c>
      <c r="B948" s="28">
        <f t="shared" ca="1" si="56"/>
        <v>5296834.0934270434</v>
      </c>
      <c r="C948" s="29">
        <f t="shared" ca="1" si="55"/>
        <v>-0.10233084443433869</v>
      </c>
      <c r="D948" s="30">
        <f t="shared" ca="1" si="54"/>
        <v>-1.0972563537561819E-5</v>
      </c>
      <c r="E948" s="56">
        <v>64692.53</v>
      </c>
      <c r="F948" s="56">
        <v>320552.68</v>
      </c>
      <c r="G948" s="56">
        <v>376732.98</v>
      </c>
      <c r="H948" s="46">
        <v>1239294.78</v>
      </c>
      <c r="I948" s="46">
        <v>858688.66</v>
      </c>
      <c r="J948" s="46">
        <v>1054025.27</v>
      </c>
      <c r="K948" s="46">
        <v>3873367.82</v>
      </c>
      <c r="L948" s="46">
        <v>7635731.1399999997</v>
      </c>
      <c r="M948" s="46"/>
      <c r="O948" s="46"/>
    </row>
    <row r="949" spans="1:15" x14ac:dyDescent="0.2">
      <c r="A949" s="5">
        <v>921</v>
      </c>
      <c r="B949" s="28">
        <f t="shared" ca="1" si="56"/>
        <v>5756161.4621808548</v>
      </c>
      <c r="C949" s="29">
        <f t="shared" ca="1" si="55"/>
        <v>2.0192828387224768</v>
      </c>
      <c r="D949" s="30">
        <f t="shared" ca="1" si="54"/>
        <v>8.6603543353813428E-2</v>
      </c>
      <c r="E949" s="56">
        <v>81874.83</v>
      </c>
      <c r="F949" s="56">
        <v>131869.07</v>
      </c>
      <c r="G949" s="56">
        <v>141374.54999999999</v>
      </c>
      <c r="H949" s="46">
        <v>535915.68000000005</v>
      </c>
      <c r="I949" s="46">
        <v>952063.69</v>
      </c>
      <c r="J949" s="46">
        <v>1727904.44</v>
      </c>
      <c r="K949" s="46">
        <v>1169400.53</v>
      </c>
      <c r="L949" s="46">
        <v>3141248.68</v>
      </c>
      <c r="M949" s="46"/>
      <c r="O949" s="46"/>
    </row>
    <row r="950" spans="1:15" x14ac:dyDescent="0.2">
      <c r="A950" s="5">
        <v>922</v>
      </c>
      <c r="B950" s="28">
        <f t="shared" ca="1" si="56"/>
        <v>5434689.695533786</v>
      </c>
      <c r="C950" s="29">
        <f t="shared" ca="1" si="55"/>
        <v>-1.4726252048217572</v>
      </c>
      <c r="D950" s="30">
        <f t="shared" ca="1" si="54"/>
        <v>-5.5953005569581188E-2</v>
      </c>
      <c r="E950" s="56">
        <v>52572.13</v>
      </c>
      <c r="F950" s="56">
        <v>225404.56</v>
      </c>
      <c r="G950" s="56">
        <v>429525.65</v>
      </c>
      <c r="H950" s="46">
        <v>1069951.3799999999</v>
      </c>
      <c r="I950" s="46">
        <v>3048223.45</v>
      </c>
      <c r="J950" s="46">
        <v>4373762.21</v>
      </c>
      <c r="K950" s="46">
        <v>6510010.6399999997</v>
      </c>
      <c r="L950" s="46">
        <v>22225103.039999999</v>
      </c>
      <c r="M950" s="46"/>
      <c r="O950" s="46"/>
    </row>
    <row r="951" spans="1:15" x14ac:dyDescent="0.2">
      <c r="A951" s="5">
        <v>923</v>
      </c>
      <c r="B951" s="28">
        <f t="shared" ca="1" si="56"/>
        <v>6083035.4144456545</v>
      </c>
      <c r="C951" s="29">
        <f t="shared" ca="1" si="55"/>
        <v>2.8174049141439208</v>
      </c>
      <c r="D951" s="30">
        <f t="shared" ca="1" si="54"/>
        <v>0.11918674064104091</v>
      </c>
      <c r="E951" s="56">
        <v>41160.03</v>
      </c>
      <c r="F951" s="56">
        <v>78343.06</v>
      </c>
      <c r="G951" s="56">
        <v>83846.7</v>
      </c>
      <c r="H951" s="46">
        <v>175581</v>
      </c>
      <c r="I951" s="46">
        <v>444959.67</v>
      </c>
      <c r="J951" s="46">
        <v>899568.15</v>
      </c>
      <c r="K951" s="46">
        <v>1914137.61</v>
      </c>
      <c r="L951" s="46">
        <v>2026049.16</v>
      </c>
      <c r="M951" s="46"/>
      <c r="O951" s="46"/>
    </row>
    <row r="952" spans="1:15" x14ac:dyDescent="0.2">
      <c r="A952" s="5">
        <v>924</v>
      </c>
      <c r="B952" s="28">
        <f t="shared" ca="1" si="56"/>
        <v>6389139.7214063089</v>
      </c>
      <c r="C952" s="29">
        <f t="shared" ca="1" si="55"/>
        <v>1.1281179868857403</v>
      </c>
      <c r="D952" s="30">
        <f t="shared" ca="1" si="54"/>
        <v>5.0221890625430476E-2</v>
      </c>
      <c r="E952" s="56">
        <v>48501.3</v>
      </c>
      <c r="F952" s="56">
        <v>131203.18</v>
      </c>
      <c r="G952" s="56">
        <v>281340.03999999998</v>
      </c>
      <c r="H952" s="46">
        <v>492171.65</v>
      </c>
      <c r="I952" s="46">
        <v>1180673.7</v>
      </c>
      <c r="J952" s="46">
        <v>710381.22</v>
      </c>
      <c r="K952" s="46">
        <v>959136.78</v>
      </c>
      <c r="L952" s="46">
        <v>2526120.42</v>
      </c>
      <c r="M952" s="46"/>
      <c r="O952" s="46"/>
    </row>
    <row r="953" spans="1:15" x14ac:dyDescent="0.2">
      <c r="A953" s="5">
        <v>925</v>
      </c>
      <c r="B953" s="28">
        <f t="shared" ca="1" si="56"/>
        <v>6469265.1428652005</v>
      </c>
      <c r="C953" s="29">
        <f t="shared" ca="1" si="55"/>
        <v>0.20281453547354358</v>
      </c>
      <c r="D953" s="30">
        <f t="shared" ca="1" si="54"/>
        <v>1.2446535405496333E-2</v>
      </c>
      <c r="E953" s="56">
        <v>52662.879999999997</v>
      </c>
      <c r="F953" s="56">
        <v>218316.28</v>
      </c>
      <c r="G953" s="56">
        <v>348170.29</v>
      </c>
      <c r="H953" s="46">
        <v>898118.24</v>
      </c>
      <c r="I953" s="46">
        <v>1658038.8</v>
      </c>
      <c r="J953" s="46">
        <v>4059798.88</v>
      </c>
      <c r="K953" s="46">
        <v>14246856.84</v>
      </c>
      <c r="L953" s="46">
        <v>57545883.850000001</v>
      </c>
      <c r="M953" s="46"/>
      <c r="O953" s="46"/>
    </row>
    <row r="954" spans="1:15" x14ac:dyDescent="0.2">
      <c r="A954" s="5">
        <v>926</v>
      </c>
      <c r="B954" s="28">
        <f t="shared" ca="1" si="56"/>
        <v>6435732.6611869214</v>
      </c>
      <c r="C954" s="29">
        <f t="shared" ca="1" si="55"/>
        <v>-0.23131004960718551</v>
      </c>
      <c r="D954" s="30">
        <f t="shared" ca="1" si="54"/>
        <v>-5.2765265652578172E-3</v>
      </c>
      <c r="E954" s="56">
        <v>55458.5</v>
      </c>
      <c r="F954" s="56">
        <v>185510.83</v>
      </c>
      <c r="G954" s="56">
        <v>279104.57</v>
      </c>
      <c r="H954" s="46">
        <v>556913.01</v>
      </c>
      <c r="I954" s="46">
        <v>1025826.28</v>
      </c>
      <c r="J954" s="46">
        <v>1021349.73</v>
      </c>
      <c r="K954" s="46">
        <v>2236917.66</v>
      </c>
      <c r="L954" s="46">
        <v>6577232.0999999996</v>
      </c>
      <c r="M954" s="46"/>
      <c r="O954" s="46"/>
    </row>
    <row r="955" spans="1:15" x14ac:dyDescent="0.2">
      <c r="A955" s="5">
        <v>927</v>
      </c>
      <c r="B955" s="28">
        <f t="shared" ca="1" si="56"/>
        <v>6643157.0580227794</v>
      </c>
      <c r="C955" s="29">
        <f t="shared" ca="1" si="55"/>
        <v>0.68511708135232319</v>
      </c>
      <c r="D955" s="30">
        <f t="shared" ca="1" si="54"/>
        <v>3.2136454389634403E-2</v>
      </c>
      <c r="E955" s="56">
        <v>35960.49</v>
      </c>
      <c r="F955" s="56">
        <v>93277.02</v>
      </c>
      <c r="G955" s="56">
        <v>110075.06</v>
      </c>
      <c r="H955" s="46">
        <v>178386.51</v>
      </c>
      <c r="I955" s="46">
        <v>417942.84</v>
      </c>
      <c r="J955" s="46">
        <v>504806.78</v>
      </c>
      <c r="K955" s="46">
        <v>964636.84</v>
      </c>
      <c r="L955" s="46">
        <v>616869.17000000004</v>
      </c>
      <c r="M955" s="46"/>
      <c r="O955" s="46"/>
    </row>
    <row r="956" spans="1:15" x14ac:dyDescent="0.2">
      <c r="A956" s="5">
        <v>928</v>
      </c>
      <c r="B956" s="28">
        <f t="shared" ca="1" si="56"/>
        <v>6651045.9556157244</v>
      </c>
      <c r="C956" s="29">
        <f t="shared" ca="1" si="55"/>
        <v>-7.519638169913298E-2</v>
      </c>
      <c r="D956" s="30">
        <f t="shared" ca="1" si="54"/>
        <v>1.0967872388927512E-3</v>
      </c>
      <c r="E956" s="56">
        <v>91024.41</v>
      </c>
      <c r="F956" s="56">
        <v>121463.42</v>
      </c>
      <c r="G956" s="56">
        <v>550799.01</v>
      </c>
      <c r="H956" s="46">
        <v>796845.38</v>
      </c>
      <c r="I956" s="46">
        <v>1005693.72</v>
      </c>
      <c r="J956" s="46">
        <v>1676651.81</v>
      </c>
      <c r="K956" s="46">
        <v>1871047.62</v>
      </c>
      <c r="L956" s="46">
        <v>1843081.76</v>
      </c>
      <c r="M956" s="46"/>
      <c r="O956" s="46"/>
    </row>
    <row r="957" spans="1:15" x14ac:dyDescent="0.2">
      <c r="A957" s="5">
        <v>929</v>
      </c>
      <c r="B957" s="28">
        <f t="shared" ca="1" si="56"/>
        <v>7051651.5254096715</v>
      </c>
      <c r="C957" s="29">
        <f t="shared" ca="1" si="55"/>
        <v>1.3710938299865338</v>
      </c>
      <c r="D957" s="30">
        <f t="shared" ref="D957:D971" ca="1" si="57">$D$20+(C957*$D$21)</f>
        <v>6.0141337882421958E-2</v>
      </c>
      <c r="E957" s="56">
        <v>74313.960000000006</v>
      </c>
      <c r="F957" s="56">
        <v>142801.15</v>
      </c>
      <c r="G957" s="56">
        <v>232883.11</v>
      </c>
      <c r="H957" s="46">
        <v>313685.37</v>
      </c>
      <c r="I957" s="46">
        <v>675630.52</v>
      </c>
      <c r="J957" s="46">
        <v>669519.57999999996</v>
      </c>
      <c r="K957" s="46">
        <v>1138796.67</v>
      </c>
      <c r="L957" s="46">
        <v>1772013.86</v>
      </c>
      <c r="M957" s="46"/>
      <c r="O957" s="46"/>
    </row>
    <row r="958" spans="1:15" x14ac:dyDescent="0.2">
      <c r="A958" s="5">
        <v>930</v>
      </c>
      <c r="B958" s="28">
        <f t="shared" ca="1" si="56"/>
        <v>6891899.1298724534</v>
      </c>
      <c r="C958" s="29">
        <f t="shared" ca="1" si="55"/>
        <v>-0.65907815055260266</v>
      </c>
      <c r="D958" s="30">
        <f t="shared" ca="1" si="57"/>
        <v>-2.2740086157851794E-2</v>
      </c>
      <c r="E958" s="56">
        <v>68775.490000000005</v>
      </c>
      <c r="F958" s="56">
        <v>221558.46</v>
      </c>
      <c r="G958" s="56">
        <v>436704.48</v>
      </c>
      <c r="H958" s="46">
        <v>1065324.31</v>
      </c>
      <c r="I958" s="46">
        <v>1194390.8600000001</v>
      </c>
      <c r="J958" s="46">
        <v>2723385.06</v>
      </c>
      <c r="K958" s="46">
        <v>5015641.3899999997</v>
      </c>
      <c r="L958" s="46">
        <v>11749312.710000001</v>
      </c>
      <c r="M958" s="46"/>
      <c r="O958" s="46"/>
    </row>
    <row r="959" spans="1:15" x14ac:dyDescent="0.2">
      <c r="A959" s="5">
        <v>931</v>
      </c>
      <c r="B959" s="28">
        <f t="shared" ca="1" si="56"/>
        <v>7276949.4880925296</v>
      </c>
      <c r="C959" s="29">
        <f t="shared" ca="1" si="55"/>
        <v>1.2643253510200345</v>
      </c>
      <c r="D959" s="30">
        <f t="shared" ca="1" si="57"/>
        <v>5.5782532981071928E-2</v>
      </c>
      <c r="E959" s="56">
        <v>66289.42</v>
      </c>
      <c r="F959" s="56">
        <v>116187.27</v>
      </c>
      <c r="G959" s="56">
        <v>209340.12</v>
      </c>
      <c r="H959" s="46">
        <v>352892.76</v>
      </c>
      <c r="I959" s="46">
        <v>785647.44</v>
      </c>
      <c r="J959" s="46">
        <v>3181734.78</v>
      </c>
      <c r="K959" s="46">
        <v>3709420.19</v>
      </c>
      <c r="L959" s="46">
        <v>4186494.99</v>
      </c>
      <c r="M959" s="46"/>
      <c r="O959" s="46"/>
    </row>
    <row r="960" spans="1:15" x14ac:dyDescent="0.2">
      <c r="A960" s="5">
        <v>932</v>
      </c>
      <c r="B960" s="28">
        <f t="shared" ca="1" si="56"/>
        <v>6774034.3150833128</v>
      </c>
      <c r="C960" s="29">
        <f t="shared" ca="1" si="55"/>
        <v>-1.796950889841906</v>
      </c>
      <c r="D960" s="30">
        <f t="shared" ca="1" si="57"/>
        <v>-6.9193546215880891E-2</v>
      </c>
      <c r="E960" s="56">
        <v>62706.59</v>
      </c>
      <c r="F960" s="56">
        <v>98964.43</v>
      </c>
      <c r="G960" s="56">
        <v>145078.23000000001</v>
      </c>
      <c r="H960" s="46">
        <v>245562.72</v>
      </c>
      <c r="I960" s="46">
        <v>722783.15</v>
      </c>
      <c r="J960" s="46">
        <v>1173220.24</v>
      </c>
      <c r="K960" s="46">
        <v>1563629.99</v>
      </c>
      <c r="L960" s="46">
        <v>1904144.82</v>
      </c>
      <c r="M960" s="46"/>
      <c r="O960" s="46"/>
    </row>
    <row r="961" spans="1:15" x14ac:dyDescent="0.2">
      <c r="A961" s="5">
        <v>933</v>
      </c>
      <c r="B961" s="28">
        <f t="shared" ca="1" si="56"/>
        <v>6917510.5221761502</v>
      </c>
      <c r="C961" s="29">
        <f t="shared" ca="1" si="55"/>
        <v>0.41456805946882058</v>
      </c>
      <c r="D961" s="30">
        <f t="shared" ca="1" si="57"/>
        <v>2.1091336822573376E-2</v>
      </c>
      <c r="E961" s="56">
        <v>60160.18</v>
      </c>
      <c r="F961" s="56">
        <v>91488.24</v>
      </c>
      <c r="G961" s="56">
        <v>253845.37</v>
      </c>
      <c r="H961" s="46">
        <v>280887.37</v>
      </c>
      <c r="I961" s="46">
        <v>311607.09999999998</v>
      </c>
      <c r="J961" s="46">
        <v>469907.61</v>
      </c>
      <c r="K961" s="46">
        <v>1058783.6200000001</v>
      </c>
      <c r="L961" s="46">
        <v>1760406.97</v>
      </c>
      <c r="M961" s="46"/>
      <c r="O961" s="46"/>
    </row>
    <row r="962" spans="1:15" x14ac:dyDescent="0.2">
      <c r="A962" s="5">
        <v>934</v>
      </c>
      <c r="B962" s="28">
        <f t="shared" ca="1" si="56"/>
        <v>6666255.9240121273</v>
      </c>
      <c r="C962" s="29">
        <f t="shared" ca="1" si="55"/>
        <v>-0.99388873824178625</v>
      </c>
      <c r="D962" s="30">
        <f t="shared" ca="1" si="57"/>
        <v>-3.6408671163182846E-2</v>
      </c>
      <c r="E962" s="56">
        <v>74499.899999999994</v>
      </c>
      <c r="F962" s="56">
        <v>135306.93</v>
      </c>
      <c r="G962" s="56">
        <v>426476.47</v>
      </c>
      <c r="H962" s="46">
        <v>270882.31</v>
      </c>
      <c r="I962" s="46">
        <v>981287.77</v>
      </c>
      <c r="J962" s="46">
        <v>1479737.31</v>
      </c>
      <c r="K962" s="46">
        <v>2752394.81</v>
      </c>
      <c r="L962" s="46">
        <v>4651734.3600000003</v>
      </c>
      <c r="M962" s="46"/>
      <c r="O962" s="46"/>
    </row>
    <row r="963" spans="1:15" x14ac:dyDescent="0.2">
      <c r="A963" s="5">
        <v>935</v>
      </c>
      <c r="B963" s="28">
        <f t="shared" ca="1" si="56"/>
        <v>6148938.8130336814</v>
      </c>
      <c r="C963" s="29">
        <f t="shared" ca="1" si="55"/>
        <v>-2.0051384694442702</v>
      </c>
      <c r="D963" s="30">
        <f t="shared" ca="1" si="57"/>
        <v>-7.7692768562728359E-2</v>
      </c>
      <c r="E963" s="56">
        <v>47207.55</v>
      </c>
      <c r="F963" s="56">
        <v>121616.87</v>
      </c>
      <c r="G963" s="56">
        <v>136250.41</v>
      </c>
      <c r="H963" s="46">
        <v>404252.22</v>
      </c>
      <c r="I963" s="46">
        <v>727599.42</v>
      </c>
      <c r="J963" s="46">
        <v>1071643.47</v>
      </c>
      <c r="K963" s="46">
        <v>1130369.6100000001</v>
      </c>
      <c r="L963" s="46">
        <v>2346619.89</v>
      </c>
      <c r="M963" s="46"/>
      <c r="O963" s="46"/>
    </row>
    <row r="964" spans="1:15" x14ac:dyDescent="0.2">
      <c r="A964" s="5">
        <v>936</v>
      </c>
      <c r="B964" s="28">
        <f t="shared" ca="1" si="56"/>
        <v>6155660.6424949393</v>
      </c>
      <c r="C964" s="29">
        <f t="shared" ca="1" si="55"/>
        <v>-7.768619336048585E-2</v>
      </c>
      <c r="D964" s="30">
        <f t="shared" ca="1" si="57"/>
        <v>9.9514110346032121E-4</v>
      </c>
      <c r="E964" s="56">
        <v>57964.88</v>
      </c>
      <c r="F964" s="56">
        <v>86812.73</v>
      </c>
      <c r="G964" s="56">
        <v>213986.18</v>
      </c>
      <c r="H964" s="46">
        <v>401320.86</v>
      </c>
      <c r="I964" s="46">
        <v>485521.93</v>
      </c>
      <c r="J964" s="46">
        <v>1432390.35</v>
      </c>
      <c r="K964" s="46">
        <v>2901433.85</v>
      </c>
      <c r="L964" s="46">
        <v>3748215.31</v>
      </c>
      <c r="M964" s="46"/>
      <c r="O964" s="46"/>
    </row>
    <row r="965" spans="1:15" x14ac:dyDescent="0.2">
      <c r="A965" s="5">
        <v>937</v>
      </c>
      <c r="B965" s="28">
        <f t="shared" ca="1" si="56"/>
        <v>6345579.6750978697</v>
      </c>
      <c r="C965" s="29">
        <f t="shared" ca="1" si="55"/>
        <v>0.65127420750055331</v>
      </c>
      <c r="D965" s="30">
        <f t="shared" ca="1" si="57"/>
        <v>3.0754824850197475E-2</v>
      </c>
      <c r="E965" s="56">
        <v>73215.55</v>
      </c>
      <c r="F965" s="56">
        <v>155209.25</v>
      </c>
      <c r="G965" s="56">
        <v>614129.74</v>
      </c>
      <c r="H965" s="46">
        <v>1144359.74</v>
      </c>
      <c r="I965" s="46">
        <v>1070331.7</v>
      </c>
      <c r="J965" s="46">
        <v>1432176.9</v>
      </c>
      <c r="K965" s="46">
        <v>1523482.71</v>
      </c>
      <c r="L965" s="46">
        <v>2862502.57</v>
      </c>
      <c r="M965" s="46"/>
      <c r="O965" s="46"/>
    </row>
    <row r="966" spans="1:15" x14ac:dyDescent="0.2">
      <c r="A966" s="5">
        <v>938</v>
      </c>
      <c r="B966" s="28">
        <f t="shared" ca="1" si="56"/>
        <v>7076623.1693001874</v>
      </c>
      <c r="C966" s="29">
        <f t="shared" ca="1" si="55"/>
        <v>2.7175496238313772</v>
      </c>
      <c r="D966" s="30">
        <f t="shared" ca="1" si="57"/>
        <v>0.11511016548465405</v>
      </c>
      <c r="E966" s="56">
        <v>49765.48</v>
      </c>
      <c r="F966" s="56">
        <v>165463.39000000001</v>
      </c>
      <c r="G966" s="56">
        <v>423214.99</v>
      </c>
      <c r="H966" s="46">
        <v>1186208.68</v>
      </c>
      <c r="I966" s="46">
        <v>1391934.08</v>
      </c>
      <c r="J966" s="46">
        <v>2391100.0499999998</v>
      </c>
      <c r="K966" s="46">
        <v>4222158.58</v>
      </c>
      <c r="L966" s="46">
        <v>5696953.9900000002</v>
      </c>
      <c r="M966" s="46"/>
      <c r="O966" s="46"/>
    </row>
    <row r="967" spans="1:15" x14ac:dyDescent="0.2">
      <c r="A967" s="5">
        <v>939</v>
      </c>
      <c r="B967" s="28">
        <f t="shared" ca="1" si="56"/>
        <v>6819593.9388479618</v>
      </c>
      <c r="C967" s="29">
        <f t="shared" ca="1" si="55"/>
        <v>-0.99382488349782672</v>
      </c>
      <c r="D967" s="30">
        <f t="shared" ca="1" si="57"/>
        <v>-3.6406064304176894E-2</v>
      </c>
      <c r="E967" s="56">
        <v>56229.35</v>
      </c>
      <c r="F967" s="56">
        <v>159101.49</v>
      </c>
      <c r="G967" s="56">
        <v>192342.48</v>
      </c>
      <c r="H967" s="46">
        <v>406382.13</v>
      </c>
      <c r="I967" s="46">
        <v>572481.84</v>
      </c>
      <c r="J967" s="46">
        <v>394376.61</v>
      </c>
      <c r="K967" s="46">
        <v>864766.78</v>
      </c>
      <c r="L967" s="46">
        <v>2215583.16</v>
      </c>
      <c r="M967" s="46"/>
      <c r="O967" s="46"/>
    </row>
    <row r="968" spans="1:15" x14ac:dyDescent="0.2">
      <c r="A968" s="5">
        <v>940</v>
      </c>
      <c r="B968" s="28">
        <f t="shared" ca="1" si="56"/>
        <v>6940827.5722994413</v>
      </c>
      <c r="C968" s="29">
        <f t="shared" ca="1" si="55"/>
        <v>0.33122482240574608</v>
      </c>
      <c r="D968" s="30">
        <f t="shared" ca="1" si="57"/>
        <v>1.7688863417300915E-2</v>
      </c>
      <c r="E968" s="56">
        <v>62671.24</v>
      </c>
      <c r="F968" s="56">
        <v>230028.53</v>
      </c>
      <c r="G968" s="56">
        <v>265592.33</v>
      </c>
      <c r="H968" s="46">
        <v>566645.67000000004</v>
      </c>
      <c r="I968" s="46">
        <v>757508.35</v>
      </c>
      <c r="J968" s="46">
        <v>940181.76</v>
      </c>
      <c r="K968" s="46">
        <v>1426546.72</v>
      </c>
      <c r="L968" s="46">
        <v>2558987.33</v>
      </c>
      <c r="M968" s="46"/>
      <c r="O968" s="46"/>
    </row>
    <row r="969" spans="1:15" x14ac:dyDescent="0.2">
      <c r="A969" s="5">
        <v>941</v>
      </c>
      <c r="B969" s="28">
        <f t="shared" ca="1" si="56"/>
        <v>6926391.5973987933</v>
      </c>
      <c r="C969" s="29">
        <f t="shared" ca="1" si="55"/>
        <v>-0.15513534864104883</v>
      </c>
      <c r="D969" s="30">
        <f t="shared" ca="1" si="57"/>
        <v>-2.1667074206556895E-3</v>
      </c>
      <c r="E969" s="56">
        <v>56601.120000000003</v>
      </c>
      <c r="F969" s="56">
        <v>106202.58</v>
      </c>
      <c r="G969" s="56">
        <v>185241.16</v>
      </c>
      <c r="H969" s="46">
        <v>281104.11</v>
      </c>
      <c r="I969" s="46">
        <v>777477.75</v>
      </c>
      <c r="J969" s="46">
        <v>1220764.1200000001</v>
      </c>
      <c r="K969" s="46">
        <v>1142832.26</v>
      </c>
      <c r="L969" s="46">
        <v>909501.18</v>
      </c>
      <c r="M969" s="46"/>
      <c r="O969" s="46"/>
    </row>
    <row r="970" spans="1:15" x14ac:dyDescent="0.2">
      <c r="A970" s="5">
        <v>942</v>
      </c>
      <c r="B970" s="28">
        <f t="shared" ca="1" si="56"/>
        <v>6545683.0296494914</v>
      </c>
      <c r="C970" s="29">
        <f t="shared" ca="1" si="55"/>
        <v>-1.4505538404722085</v>
      </c>
      <c r="D970" s="30">
        <f t="shared" ca="1" si="57"/>
        <v>-5.505194589319036E-2</v>
      </c>
      <c r="E970" s="56">
        <v>45475.57</v>
      </c>
      <c r="F970" s="56">
        <v>172616.04</v>
      </c>
      <c r="G970" s="56">
        <v>220666.33</v>
      </c>
      <c r="H970" s="46">
        <v>418084.28</v>
      </c>
      <c r="I970" s="46">
        <v>566659.51</v>
      </c>
      <c r="J970" s="46">
        <v>821814.61</v>
      </c>
      <c r="K970" s="46">
        <v>1225038.19</v>
      </c>
      <c r="L970" s="46">
        <v>2715421.03</v>
      </c>
      <c r="M970" s="46"/>
      <c r="O970" s="46"/>
    </row>
    <row r="971" spans="1:15" x14ac:dyDescent="0.2">
      <c r="A971" s="5">
        <v>943</v>
      </c>
      <c r="B971" s="28">
        <f t="shared" ca="1" si="56"/>
        <v>6839785.4653197248</v>
      </c>
      <c r="C971" s="29">
        <f t="shared" ca="1" si="55"/>
        <v>0.99625635027867365</v>
      </c>
      <c r="D971" s="30">
        <f t="shared" ca="1" si="57"/>
        <v>4.4838661853170272E-2</v>
      </c>
      <c r="E971" s="56">
        <v>54144.32</v>
      </c>
      <c r="F971" s="56">
        <v>235343.97</v>
      </c>
      <c r="G971" s="56">
        <v>302807.53000000003</v>
      </c>
      <c r="H971" s="46">
        <v>321359.58</v>
      </c>
      <c r="I971" s="46">
        <v>587345.98</v>
      </c>
      <c r="J971" s="46">
        <v>775631.75</v>
      </c>
      <c r="K971" s="46">
        <v>1410902.15</v>
      </c>
      <c r="L971" s="46">
        <v>2479566.9900000002</v>
      </c>
      <c r="M971" s="46"/>
      <c r="O971" s="46"/>
    </row>
    <row r="972" spans="1:15" x14ac:dyDescent="0.2">
      <c r="A972" s="5">
        <v>944</v>
      </c>
      <c r="B972" s="28">
        <f t="shared" ca="1" si="56"/>
        <v>7131762.5061229784</v>
      </c>
      <c r="C972" s="29">
        <f t="shared" ca="1" si="55"/>
        <v>0.94141845302635607</v>
      </c>
      <c r="D972" s="30">
        <f t="shared" ref="D972:D988" ca="1" si="58">$D$20+(C972*$D$21)</f>
        <v>4.259991407258111E-2</v>
      </c>
      <c r="E972" s="56">
        <v>74732.67</v>
      </c>
      <c r="F972" s="56">
        <v>166709.29</v>
      </c>
      <c r="G972" s="56">
        <v>322104.27</v>
      </c>
      <c r="H972" s="46">
        <v>598937.98</v>
      </c>
      <c r="I972" s="46">
        <v>1330953.1200000001</v>
      </c>
      <c r="J972" s="46">
        <v>1046665.37</v>
      </c>
      <c r="K972" s="46">
        <v>2677487.77</v>
      </c>
      <c r="L972" s="46">
        <v>5578922.7300000004</v>
      </c>
      <c r="M972" s="46"/>
      <c r="O972" s="46"/>
    </row>
    <row r="973" spans="1:15" x14ac:dyDescent="0.2">
      <c r="A973" s="5">
        <v>945</v>
      </c>
      <c r="B973" s="28">
        <f t="shared" ca="1" si="56"/>
        <v>7017796.3492007004</v>
      </c>
      <c r="C973" s="29">
        <f t="shared" ca="1" si="55"/>
        <v>-0.49556284535917083</v>
      </c>
      <c r="D973" s="30">
        <f t="shared" ca="1" si="58"/>
        <v>-1.6064601776862256E-2</v>
      </c>
      <c r="E973" s="56">
        <v>42011.37</v>
      </c>
      <c r="F973" s="56">
        <v>107645.85</v>
      </c>
      <c r="G973" s="56">
        <v>165479.32999999999</v>
      </c>
      <c r="H973" s="46">
        <v>564233.81999999995</v>
      </c>
      <c r="I973" s="46">
        <v>904343.01</v>
      </c>
      <c r="J973" s="46">
        <v>817510.43</v>
      </c>
      <c r="K973" s="46">
        <v>1707304.46</v>
      </c>
      <c r="L973" s="46">
        <v>3867460.87</v>
      </c>
      <c r="M973" s="46"/>
      <c r="O973" s="46"/>
    </row>
    <row r="974" spans="1:15" x14ac:dyDescent="0.2">
      <c r="A974" s="5">
        <v>946</v>
      </c>
      <c r="B974" s="28">
        <f t="shared" ca="1" si="56"/>
        <v>7162185.9782957342</v>
      </c>
      <c r="C974" s="29">
        <f t="shared" ca="1" si="55"/>
        <v>0.39981120012464705</v>
      </c>
      <c r="D974" s="30">
        <f t="shared" ca="1" si="58"/>
        <v>2.0488890562585925E-2</v>
      </c>
      <c r="E974" s="56">
        <v>38639.769999999997</v>
      </c>
      <c r="F974" s="56">
        <v>148919.04000000001</v>
      </c>
      <c r="G974" s="56">
        <v>435157.49</v>
      </c>
      <c r="H974" s="46">
        <v>875517.32</v>
      </c>
      <c r="I974" s="46">
        <v>896785.48</v>
      </c>
      <c r="J974" s="46">
        <v>1379840.2</v>
      </c>
      <c r="K974" s="46">
        <v>3885944.05</v>
      </c>
      <c r="L974" s="46">
        <v>6159368.6200000001</v>
      </c>
      <c r="M974" s="46"/>
      <c r="O974" s="46"/>
    </row>
    <row r="975" spans="1:15" x14ac:dyDescent="0.2">
      <c r="A975" s="5">
        <v>947</v>
      </c>
      <c r="B975" s="28">
        <f t="shared" ca="1" si="56"/>
        <v>7154669.3791123964</v>
      </c>
      <c r="C975" s="29">
        <f t="shared" ca="1" si="55"/>
        <v>-0.1298305583450029</v>
      </c>
      <c r="D975" s="30">
        <f t="shared" ca="1" si="58"/>
        <v>-1.1336436827649593E-3</v>
      </c>
      <c r="E975" s="56">
        <v>37396.269999999997</v>
      </c>
      <c r="F975" s="56">
        <v>118216.92</v>
      </c>
      <c r="G975" s="56">
        <v>220883.72</v>
      </c>
      <c r="H975" s="46">
        <v>257711.63</v>
      </c>
      <c r="I975" s="46">
        <v>272667.71999999997</v>
      </c>
      <c r="J975" s="46">
        <v>417995.32</v>
      </c>
      <c r="K975" s="46">
        <v>1259411.3</v>
      </c>
      <c r="L975" s="46">
        <v>2457616.21</v>
      </c>
      <c r="M975" s="46"/>
      <c r="O975" s="46"/>
    </row>
    <row r="976" spans="1:15" x14ac:dyDescent="0.2">
      <c r="A976" s="5">
        <v>948</v>
      </c>
      <c r="B976" s="28">
        <f t="shared" ca="1" si="56"/>
        <v>6685656.0635242173</v>
      </c>
      <c r="C976" s="29">
        <f t="shared" ca="1" si="55"/>
        <v>-1.7098509418441679</v>
      </c>
      <c r="D976" s="30">
        <f t="shared" ca="1" si="58"/>
        <v>-6.5637705728924092E-2</v>
      </c>
      <c r="E976" s="56">
        <v>60260.67</v>
      </c>
      <c r="F976" s="56">
        <v>226348.78</v>
      </c>
      <c r="G976" s="56">
        <v>648166.52</v>
      </c>
      <c r="H976" s="46">
        <v>1793802.85</v>
      </c>
      <c r="I976" s="46">
        <v>4049761.77</v>
      </c>
      <c r="J976" s="46">
        <v>5629616.4299999997</v>
      </c>
      <c r="K976" s="46">
        <v>3267231.3</v>
      </c>
      <c r="L976" s="46">
        <v>6697784.8099999996</v>
      </c>
      <c r="M976" s="46"/>
      <c r="O976" s="46"/>
    </row>
    <row r="977" spans="1:15" x14ac:dyDescent="0.2">
      <c r="A977" s="5">
        <v>949</v>
      </c>
      <c r="B977" s="28">
        <f t="shared" ca="1" si="56"/>
        <v>6905958.2084564613</v>
      </c>
      <c r="C977" s="29">
        <f t="shared" ca="1" si="55"/>
        <v>0.70287220144611229</v>
      </c>
      <c r="D977" s="30">
        <f t="shared" ca="1" si="58"/>
        <v>3.2861304132161401E-2</v>
      </c>
      <c r="E977" s="56">
        <v>82449.7</v>
      </c>
      <c r="F977" s="56">
        <v>732667.21</v>
      </c>
      <c r="G977" s="56">
        <v>982069.94</v>
      </c>
      <c r="H977" s="46">
        <v>1128757.67</v>
      </c>
      <c r="I977" s="46">
        <v>3109026.77</v>
      </c>
      <c r="J977" s="46">
        <v>2849826.24</v>
      </c>
      <c r="K977" s="46">
        <v>3135502.54</v>
      </c>
      <c r="L977" s="46">
        <v>6151442.5499999998</v>
      </c>
      <c r="M977" s="46"/>
      <c r="O977" s="46"/>
    </row>
    <row r="978" spans="1:15" x14ac:dyDescent="0.2">
      <c r="A978" s="5">
        <v>950</v>
      </c>
      <c r="B978" s="28">
        <f t="shared" ca="1" si="56"/>
        <v>6754041.0353312492</v>
      </c>
      <c r="C978" s="29">
        <f t="shared" ca="1" si="55"/>
        <v>-0.64303845758431366</v>
      </c>
      <c r="D978" s="30">
        <f t="shared" ca="1" si="58"/>
        <v>-2.2085268434464869E-2</v>
      </c>
      <c r="E978" s="56">
        <v>39535.22</v>
      </c>
      <c r="F978" s="56">
        <v>94251.03</v>
      </c>
      <c r="G978" s="56">
        <v>309940.38</v>
      </c>
      <c r="H978" s="46">
        <v>994707.77</v>
      </c>
      <c r="I978" s="46">
        <v>1116680.8899999999</v>
      </c>
      <c r="J978" s="46">
        <v>1890116.86</v>
      </c>
      <c r="K978" s="46">
        <v>6380161.9000000004</v>
      </c>
      <c r="L978" s="46">
        <v>5483598.2000000002</v>
      </c>
      <c r="M978" s="46"/>
      <c r="O978" s="46"/>
    </row>
    <row r="979" spans="1:15" x14ac:dyDescent="0.2">
      <c r="A979" s="5">
        <v>951</v>
      </c>
      <c r="B979" s="28">
        <f t="shared" ca="1" si="56"/>
        <v>6247947.2688291678</v>
      </c>
      <c r="C979" s="29">
        <f t="shared" ca="1" si="55"/>
        <v>-1.9396996539591251</v>
      </c>
      <c r="D979" s="30">
        <f t="shared" ca="1" si="58"/>
        <v>-7.5021240107549292E-2</v>
      </c>
      <c r="E979" s="56">
        <v>60429.8</v>
      </c>
      <c r="F979" s="56">
        <v>202000.48</v>
      </c>
      <c r="G979" s="56">
        <v>160370.01</v>
      </c>
      <c r="H979" s="46">
        <v>495919.42</v>
      </c>
      <c r="I979" s="46">
        <v>519958.39</v>
      </c>
      <c r="J979" s="46">
        <v>1040885.53</v>
      </c>
      <c r="K979" s="46">
        <v>1387050.65</v>
      </c>
      <c r="L979" s="46">
        <v>1297000.52</v>
      </c>
      <c r="M979" s="46"/>
      <c r="O979" s="46"/>
    </row>
    <row r="980" spans="1:15" x14ac:dyDescent="0.2">
      <c r="A980" s="5">
        <v>952</v>
      </c>
      <c r="B980" s="28">
        <f t="shared" ca="1" si="56"/>
        <v>6373646.4691896448</v>
      </c>
      <c r="C980" s="29">
        <f t="shared" ca="1" si="55"/>
        <v>0.38837489085724941</v>
      </c>
      <c r="D980" s="30">
        <f t="shared" ca="1" si="58"/>
        <v>2.0022005191822814E-2</v>
      </c>
      <c r="E980" s="56">
        <v>49465.77</v>
      </c>
      <c r="F980" s="56">
        <v>79222.559999999998</v>
      </c>
      <c r="G980" s="56">
        <v>163531.78</v>
      </c>
      <c r="H980" s="46">
        <v>353536.04</v>
      </c>
      <c r="I980" s="46">
        <v>1042559.63</v>
      </c>
      <c r="J980" s="46">
        <v>1101620.6000000001</v>
      </c>
      <c r="K980" s="46">
        <v>1394616.21</v>
      </c>
      <c r="L980" s="46">
        <v>2603141.62</v>
      </c>
      <c r="M980" s="46"/>
      <c r="O980" s="46"/>
    </row>
    <row r="981" spans="1:15" x14ac:dyDescent="0.2">
      <c r="A981" s="5">
        <v>953</v>
      </c>
      <c r="B981" s="28">
        <f t="shared" ca="1" si="56"/>
        <v>6235961.0966507867</v>
      </c>
      <c r="C981" s="29">
        <f t="shared" ca="1" si="55"/>
        <v>-0.63352452933547843</v>
      </c>
      <c r="D981" s="30">
        <f t="shared" ca="1" si="58"/>
        <v>-2.1696863940146586E-2</v>
      </c>
      <c r="E981" s="56">
        <v>50695.45</v>
      </c>
      <c r="F981" s="56">
        <v>118696.39</v>
      </c>
      <c r="G981" s="56">
        <v>388091.64</v>
      </c>
      <c r="H981" s="46">
        <v>906633.61</v>
      </c>
      <c r="I981" s="46">
        <v>951965.16</v>
      </c>
      <c r="J981" s="46">
        <v>1256563.02</v>
      </c>
      <c r="K981" s="46">
        <v>4179258.61</v>
      </c>
      <c r="L981" s="46">
        <v>3585117.01</v>
      </c>
      <c r="M981" s="46"/>
      <c r="O981" s="46"/>
    </row>
    <row r="982" spans="1:15" x14ac:dyDescent="0.2">
      <c r="A982" s="5">
        <v>954</v>
      </c>
      <c r="B982" s="28">
        <f t="shared" ca="1" si="56"/>
        <v>6204826.3259587623</v>
      </c>
      <c r="C982" s="29">
        <f t="shared" ca="1" si="55"/>
        <v>-0.22672733842122578</v>
      </c>
      <c r="D982" s="30">
        <f t="shared" ca="1" si="58"/>
        <v>-5.0894381645220496E-3</v>
      </c>
      <c r="E982" s="56">
        <v>34811.910000000003</v>
      </c>
      <c r="F982" s="56">
        <v>163992.17000000001</v>
      </c>
      <c r="G982" s="56">
        <v>545046.42000000004</v>
      </c>
      <c r="H982" s="46">
        <v>537346.96</v>
      </c>
      <c r="I982" s="46">
        <v>789150.64</v>
      </c>
      <c r="J982" s="46">
        <v>1008728.32</v>
      </c>
      <c r="K982" s="46">
        <v>2285267.9700000002</v>
      </c>
      <c r="L982" s="46">
        <v>5140412.91</v>
      </c>
      <c r="M982" s="46"/>
      <c r="O982" s="46"/>
    </row>
    <row r="983" spans="1:15" x14ac:dyDescent="0.2">
      <c r="A983" s="5">
        <v>955</v>
      </c>
      <c r="B983" s="28">
        <f t="shared" ca="1" si="56"/>
        <v>6177801.4998060511</v>
      </c>
      <c r="C983" s="29">
        <f t="shared" ca="1" si="55"/>
        <v>-0.21112799036929078</v>
      </c>
      <c r="D983" s="30">
        <f t="shared" ca="1" si="58"/>
        <v>-4.4525974470667239E-3</v>
      </c>
      <c r="E983" s="56">
        <v>48173.82</v>
      </c>
      <c r="F983" s="56">
        <v>212696.14</v>
      </c>
      <c r="G983" s="56">
        <v>578170.82999999996</v>
      </c>
      <c r="H983" s="46">
        <v>533993.21</v>
      </c>
      <c r="I983" s="46">
        <v>433734.99</v>
      </c>
      <c r="J983" s="46">
        <v>708313.35</v>
      </c>
      <c r="K983" s="46">
        <v>502366.67</v>
      </c>
      <c r="L983" s="46">
        <v>1971889.52</v>
      </c>
      <c r="M983" s="46"/>
      <c r="O983" s="46"/>
    </row>
    <row r="984" spans="1:15" x14ac:dyDescent="0.2">
      <c r="A984" s="5">
        <v>956</v>
      </c>
      <c r="B984" s="28">
        <f t="shared" ca="1" si="56"/>
        <v>6361056.4086683895</v>
      </c>
      <c r="C984" s="29">
        <f t="shared" ca="1" si="55"/>
        <v>0.62215113862836746</v>
      </c>
      <c r="D984" s="30">
        <f t="shared" ca="1" si="58"/>
        <v>2.9565880542184356E-2</v>
      </c>
      <c r="E984" s="56">
        <v>65020.98</v>
      </c>
      <c r="F984" s="56">
        <v>123695.93</v>
      </c>
      <c r="G984" s="56">
        <v>386775.82</v>
      </c>
      <c r="H984" s="46">
        <v>1168479.45</v>
      </c>
      <c r="I984" s="46">
        <v>3310816.15</v>
      </c>
      <c r="J984" s="46">
        <v>8110033.3200000003</v>
      </c>
      <c r="K984" s="46">
        <v>11978520.83</v>
      </c>
      <c r="L984" s="46">
        <v>12892001.109999999</v>
      </c>
      <c r="M984" s="46"/>
      <c r="O984" s="46"/>
    </row>
    <row r="985" spans="1:15" x14ac:dyDescent="0.2">
      <c r="A985" s="5">
        <v>957</v>
      </c>
      <c r="B985" s="28">
        <f t="shared" ca="1" si="56"/>
        <v>5976547.3234655261</v>
      </c>
      <c r="C985" s="29">
        <f t="shared" ca="1" si="55"/>
        <v>-1.5850351401686462</v>
      </c>
      <c r="D985" s="30">
        <f t="shared" ca="1" si="58"/>
        <v>-6.0542121963233275E-2</v>
      </c>
      <c r="E985" s="56">
        <v>41057.550000000003</v>
      </c>
      <c r="F985" s="56">
        <v>110669.77</v>
      </c>
      <c r="G985" s="56">
        <v>218057.74</v>
      </c>
      <c r="H985" s="46">
        <v>450330.54</v>
      </c>
      <c r="I985" s="46">
        <v>1019921.04</v>
      </c>
      <c r="J985" s="46">
        <v>4468203.3499999996</v>
      </c>
      <c r="K985" s="46">
        <v>7598556.1200000001</v>
      </c>
      <c r="L985" s="46">
        <v>10365407.23</v>
      </c>
      <c r="M985" s="46"/>
      <c r="O985" s="46"/>
    </row>
    <row r="986" spans="1:15" x14ac:dyDescent="0.2">
      <c r="A986" s="5">
        <v>958</v>
      </c>
      <c r="B986" s="28">
        <f t="shared" ca="1" si="56"/>
        <v>6387071.7624243936</v>
      </c>
      <c r="C986" s="29">
        <f t="shared" ca="1" si="55"/>
        <v>1.578003146874055</v>
      </c>
      <c r="D986" s="30">
        <f t="shared" ca="1" si="58"/>
        <v>6.8588375372459584E-2</v>
      </c>
      <c r="E986" s="46">
        <v>37725.82</v>
      </c>
      <c r="F986" s="46">
        <v>114258.7</v>
      </c>
      <c r="G986" s="46">
        <v>321815.42</v>
      </c>
      <c r="H986" s="46">
        <v>504097.63</v>
      </c>
      <c r="I986" s="46">
        <v>628116.35</v>
      </c>
      <c r="J986" s="46">
        <v>902642.86</v>
      </c>
      <c r="K986" s="46">
        <v>1542871.72</v>
      </c>
      <c r="L986" s="46">
        <v>3336103.27</v>
      </c>
      <c r="M986" s="46"/>
      <c r="N986" s="46"/>
    </row>
    <row r="987" spans="1:15" x14ac:dyDescent="0.2">
      <c r="A987" s="5">
        <v>959</v>
      </c>
      <c r="B987" s="28">
        <f t="shared" ca="1" si="56"/>
        <v>6246918.0706274845</v>
      </c>
      <c r="C987" s="29">
        <f t="shared" ca="1" si="55"/>
        <v>-0.64187361162293577</v>
      </c>
      <c r="D987" s="30">
        <f t="shared" ca="1" si="58"/>
        <v>-2.2037713797226244E-2</v>
      </c>
      <c r="E987" s="46">
        <v>59623.67</v>
      </c>
      <c r="F987" s="46">
        <v>182330.06</v>
      </c>
      <c r="G987" s="46">
        <v>388299.56</v>
      </c>
      <c r="H987" s="46">
        <v>641379.41</v>
      </c>
      <c r="I987" s="46">
        <v>694048.78</v>
      </c>
      <c r="J987" s="46">
        <v>781289.13</v>
      </c>
      <c r="K987" s="46">
        <v>1494822.18</v>
      </c>
      <c r="L987" s="46">
        <v>1791717.67</v>
      </c>
      <c r="M987" s="46"/>
      <c r="N987" s="46"/>
    </row>
    <row r="988" spans="1:15" x14ac:dyDescent="0.2">
      <c r="A988" s="5">
        <v>960</v>
      </c>
      <c r="B988" s="28">
        <f t="shared" ca="1" si="56"/>
        <v>6216590.6909837741</v>
      </c>
      <c r="C988" s="29">
        <f t="shared" ca="1" si="55"/>
        <v>-0.22334280307967119</v>
      </c>
      <c r="D988" s="30">
        <f t="shared" ca="1" si="58"/>
        <v>-4.9512650878016312E-3</v>
      </c>
      <c r="E988" s="46">
        <v>38463.49</v>
      </c>
      <c r="F988" s="46">
        <v>71253.52</v>
      </c>
      <c r="G988" s="46">
        <v>91569.33</v>
      </c>
      <c r="H988" s="46">
        <v>173376.59</v>
      </c>
      <c r="I988" s="46">
        <v>664927.6</v>
      </c>
      <c r="J988" s="46">
        <v>869401.47</v>
      </c>
      <c r="K988" s="46">
        <v>1785263.06</v>
      </c>
      <c r="L988" s="46">
        <v>2836038.41</v>
      </c>
      <c r="M988" s="46"/>
      <c r="N988" s="46"/>
    </row>
    <row r="989" spans="1:15" x14ac:dyDescent="0.2">
      <c r="E989" s="46">
        <v>72645.19</v>
      </c>
      <c r="F989" s="46">
        <v>121141.16</v>
      </c>
      <c r="G989" s="46">
        <v>218675.38</v>
      </c>
      <c r="H989" s="46">
        <v>234310.37</v>
      </c>
      <c r="I989" s="46">
        <v>293994.43</v>
      </c>
      <c r="J989" s="46">
        <v>179657.69</v>
      </c>
      <c r="K989" s="46">
        <v>402486.21</v>
      </c>
      <c r="L989" s="46">
        <v>296062.2</v>
      </c>
      <c r="M989" s="46"/>
      <c r="N989" s="46"/>
    </row>
    <row r="990" spans="1:15" x14ac:dyDescent="0.2">
      <c r="E990" s="46">
        <v>42151.56</v>
      </c>
      <c r="F990" s="46">
        <v>78838.83</v>
      </c>
      <c r="G990" s="46">
        <v>142067.32</v>
      </c>
      <c r="H990" s="46">
        <v>288028.96999999997</v>
      </c>
      <c r="I990" s="46">
        <v>475192.58</v>
      </c>
      <c r="J990" s="46">
        <v>840483.12</v>
      </c>
      <c r="K990" s="46">
        <v>998827.05</v>
      </c>
      <c r="L990" s="46">
        <v>2153695.58</v>
      </c>
      <c r="M990" s="46"/>
      <c r="N990" s="46"/>
    </row>
    <row r="991" spans="1:15" x14ac:dyDescent="0.2">
      <c r="E991" s="46">
        <v>37155.730000000003</v>
      </c>
      <c r="F991" s="46">
        <v>239811.91</v>
      </c>
      <c r="G991" s="46">
        <v>564360.17000000004</v>
      </c>
      <c r="H991" s="46">
        <v>1061781.74</v>
      </c>
      <c r="I991" s="46">
        <v>2761890.65</v>
      </c>
      <c r="J991" s="46">
        <v>7245648.9000000004</v>
      </c>
      <c r="K991" s="46">
        <v>22402944.48</v>
      </c>
      <c r="L991" s="46">
        <v>25155008.550000001</v>
      </c>
      <c r="M991" s="46"/>
      <c r="N991" s="46"/>
    </row>
    <row r="992" spans="1:15" x14ac:dyDescent="0.2">
      <c r="E992" s="46">
        <v>42577.66</v>
      </c>
      <c r="F992" s="46">
        <v>131353.46</v>
      </c>
      <c r="G992" s="46">
        <v>264487.65999999997</v>
      </c>
      <c r="H992" s="46">
        <v>346027.79</v>
      </c>
      <c r="I992" s="46">
        <v>808269.79</v>
      </c>
      <c r="J992" s="46">
        <v>988009.7</v>
      </c>
      <c r="K992" s="46">
        <v>2612682.91</v>
      </c>
      <c r="L992" s="46">
        <v>1829063.26</v>
      </c>
      <c r="M992" s="46"/>
      <c r="N992" s="46"/>
    </row>
    <row r="993" spans="5:14" x14ac:dyDescent="0.2">
      <c r="E993" s="46">
        <v>61269.65</v>
      </c>
      <c r="F993" s="46">
        <v>108082.98</v>
      </c>
      <c r="G993" s="46">
        <v>206992.06</v>
      </c>
      <c r="H993" s="46">
        <v>449779.14</v>
      </c>
      <c r="I993" s="46">
        <v>613683.44999999995</v>
      </c>
      <c r="J993" s="46">
        <v>642988.68999999994</v>
      </c>
      <c r="K993" s="46">
        <v>863458.09</v>
      </c>
      <c r="L993" s="46">
        <v>1012317.59</v>
      </c>
      <c r="M993" s="46"/>
      <c r="N993" s="46"/>
    </row>
    <row r="994" spans="5:14" x14ac:dyDescent="0.2">
      <c r="E994" s="46">
        <v>41932.730000000003</v>
      </c>
      <c r="F994" s="46">
        <v>153425.68</v>
      </c>
      <c r="G994" s="46">
        <v>271721.43</v>
      </c>
      <c r="H994" s="46">
        <v>766224.63</v>
      </c>
      <c r="I994" s="46">
        <v>2043196.87</v>
      </c>
      <c r="J994" s="46">
        <v>1419811.08</v>
      </c>
      <c r="K994" s="46">
        <v>2193938.59</v>
      </c>
      <c r="L994" s="46">
        <v>1775058.54</v>
      </c>
      <c r="M994" s="46"/>
      <c r="N994" s="46"/>
    </row>
    <row r="995" spans="5:14" x14ac:dyDescent="0.2">
      <c r="E995" s="46">
        <v>45316.68</v>
      </c>
      <c r="F995" s="46">
        <v>188546.27</v>
      </c>
      <c r="G995" s="46">
        <v>504664.53</v>
      </c>
      <c r="H995" s="46">
        <v>522684.81</v>
      </c>
      <c r="I995" s="46">
        <v>1264794.82</v>
      </c>
      <c r="J995" s="46">
        <v>3466185.31</v>
      </c>
      <c r="K995" s="46">
        <v>7032318.9400000004</v>
      </c>
      <c r="L995" s="46">
        <v>16312788.310000001</v>
      </c>
      <c r="M995" s="46"/>
      <c r="N995" s="46"/>
    </row>
    <row r="996" spans="5:14" x14ac:dyDescent="0.2">
      <c r="E996" s="46">
        <v>54452.9</v>
      </c>
      <c r="F996" s="46">
        <v>143959.17000000001</v>
      </c>
      <c r="G996" s="46">
        <v>249854.27</v>
      </c>
      <c r="H996" s="46">
        <v>922528</v>
      </c>
      <c r="I996" s="46">
        <v>1422662.04</v>
      </c>
      <c r="J996" s="46">
        <v>2407227.92</v>
      </c>
      <c r="K996" s="46">
        <v>2326126.3199999998</v>
      </c>
      <c r="L996" s="46">
        <v>1929273.47</v>
      </c>
      <c r="M996" s="46"/>
      <c r="N996" s="46"/>
    </row>
    <row r="997" spans="5:14" x14ac:dyDescent="0.2">
      <c r="E997" s="46">
        <v>63246.400000000001</v>
      </c>
      <c r="F997" s="46">
        <v>134680.4</v>
      </c>
      <c r="G997" s="46">
        <v>90793.15</v>
      </c>
      <c r="H997" s="46">
        <v>272672.92</v>
      </c>
      <c r="I997" s="46">
        <v>276433.37</v>
      </c>
      <c r="J997" s="46">
        <v>728775.52</v>
      </c>
      <c r="K997" s="46">
        <v>1109756.04</v>
      </c>
      <c r="L997" s="46">
        <v>969771.09</v>
      </c>
      <c r="M997" s="46"/>
      <c r="N997" s="46"/>
    </row>
    <row r="998" spans="5:14" x14ac:dyDescent="0.2">
      <c r="E998" s="46">
        <v>35812.019999999997</v>
      </c>
      <c r="F998" s="46">
        <v>91586.73</v>
      </c>
      <c r="G998" s="46">
        <v>267259.56</v>
      </c>
      <c r="H998" s="46">
        <v>773847.7</v>
      </c>
      <c r="I998" s="46">
        <v>660567.03</v>
      </c>
      <c r="J998" s="46">
        <v>695577.07</v>
      </c>
      <c r="K998" s="46">
        <v>1157867.3400000001</v>
      </c>
      <c r="L998" s="46">
        <v>1266553.6599999999</v>
      </c>
      <c r="M998" s="46"/>
      <c r="N998" s="46"/>
    </row>
    <row r="999" spans="5:14" x14ac:dyDescent="0.2">
      <c r="E999" s="46">
        <v>79078.13</v>
      </c>
      <c r="F999" s="46">
        <v>174947.01</v>
      </c>
      <c r="G999" s="46">
        <v>379684.04</v>
      </c>
      <c r="H999" s="46">
        <v>764457.51</v>
      </c>
      <c r="I999" s="46">
        <v>1163261.81</v>
      </c>
      <c r="J999" s="46">
        <v>1330178.25</v>
      </c>
      <c r="K999" s="46">
        <v>1958024.61</v>
      </c>
      <c r="L999" s="46">
        <v>3300096.91</v>
      </c>
      <c r="M999" s="46"/>
      <c r="N999" s="46"/>
    </row>
    <row r="1000" spans="5:14" x14ac:dyDescent="0.2">
      <c r="E1000" s="46">
        <v>56016.81</v>
      </c>
      <c r="F1000" s="46">
        <v>154738.42000000001</v>
      </c>
      <c r="G1000" s="46">
        <v>260532.55</v>
      </c>
      <c r="H1000" s="46">
        <v>185128.79</v>
      </c>
      <c r="I1000" s="46">
        <v>445366.09</v>
      </c>
      <c r="J1000" s="46">
        <v>587825.81000000006</v>
      </c>
      <c r="K1000" s="46">
        <v>2020870.96</v>
      </c>
      <c r="L1000" s="46">
        <v>5910335.04</v>
      </c>
      <c r="M1000" s="46"/>
      <c r="N1000" s="46"/>
    </row>
    <row r="1001" spans="5:14" x14ac:dyDescent="0.2">
      <c r="E1001" s="46">
        <v>68741.119999999995</v>
      </c>
      <c r="F1001" s="46">
        <v>108443.87</v>
      </c>
      <c r="G1001" s="46">
        <v>198376.51</v>
      </c>
      <c r="H1001" s="46">
        <v>566002.94999999995</v>
      </c>
      <c r="I1001" s="46">
        <v>869937.98</v>
      </c>
      <c r="J1001" s="46">
        <v>1434704.15</v>
      </c>
      <c r="K1001" s="46">
        <v>1616826.74</v>
      </c>
      <c r="L1001" s="46">
        <v>1804292.95</v>
      </c>
      <c r="M1001" s="46"/>
      <c r="N1001" s="46"/>
    </row>
    <row r="1002" spans="5:14" x14ac:dyDescent="0.2">
      <c r="E1002" s="46">
        <v>57889.23</v>
      </c>
      <c r="F1002" s="46">
        <v>205047.63</v>
      </c>
      <c r="G1002" s="46">
        <v>205416.79</v>
      </c>
      <c r="H1002" s="46">
        <v>700743.03</v>
      </c>
      <c r="I1002" s="46">
        <v>966875.83</v>
      </c>
      <c r="J1002" s="46">
        <v>703945.47</v>
      </c>
      <c r="K1002" s="46">
        <v>1198920.3999999999</v>
      </c>
      <c r="L1002" s="46">
        <v>1879682.8</v>
      </c>
      <c r="M1002" s="46"/>
      <c r="N1002" s="46"/>
    </row>
    <row r="1003" spans="5:14" x14ac:dyDescent="0.2">
      <c r="E1003" s="46">
        <v>47455.15</v>
      </c>
      <c r="F1003" s="46">
        <v>213266.09</v>
      </c>
      <c r="G1003" s="46">
        <v>309011.26</v>
      </c>
      <c r="H1003" s="46">
        <v>702542.46</v>
      </c>
      <c r="I1003" s="46">
        <v>1101569.6299999999</v>
      </c>
      <c r="J1003" s="46">
        <v>2303229.54</v>
      </c>
      <c r="K1003" s="46">
        <v>3606711.41</v>
      </c>
      <c r="L1003" s="46">
        <v>3186035.73</v>
      </c>
      <c r="M1003" s="46"/>
      <c r="N1003" s="46"/>
    </row>
    <row r="1004" spans="5:14" x14ac:dyDescent="0.2">
      <c r="E1004" s="46">
        <v>33074.269999999997</v>
      </c>
      <c r="F1004" s="46">
        <v>102252.19</v>
      </c>
      <c r="G1004" s="46">
        <v>370154.05</v>
      </c>
      <c r="H1004" s="46">
        <v>381002.74</v>
      </c>
      <c r="I1004" s="46">
        <v>412522.74</v>
      </c>
      <c r="J1004" s="46">
        <v>1756219.1</v>
      </c>
      <c r="K1004" s="46">
        <v>2532507.5499999998</v>
      </c>
      <c r="L1004" s="46">
        <v>4942235.28</v>
      </c>
      <c r="M1004" s="46"/>
      <c r="N1004" s="46"/>
    </row>
    <row r="1005" spans="5:14" x14ac:dyDescent="0.2">
      <c r="E1005" s="46">
        <v>62058.19</v>
      </c>
      <c r="F1005" s="46">
        <v>80479.460000000006</v>
      </c>
      <c r="G1005" s="46">
        <v>159372.64000000001</v>
      </c>
      <c r="H1005" s="46">
        <v>238583.86</v>
      </c>
      <c r="I1005" s="46">
        <v>331656.17</v>
      </c>
      <c r="J1005" s="46">
        <v>704676.4</v>
      </c>
      <c r="K1005" s="46">
        <v>1453651.59</v>
      </c>
      <c r="L1005" s="46">
        <v>2039348.64</v>
      </c>
      <c r="M1005" s="46"/>
      <c r="N1005" s="46"/>
    </row>
    <row r="1006" spans="5:14" x14ac:dyDescent="0.2">
      <c r="E1006" s="46">
        <v>31638.240000000002</v>
      </c>
      <c r="F1006" s="46">
        <v>93184.73</v>
      </c>
      <c r="G1006" s="46">
        <v>215488.3</v>
      </c>
      <c r="H1006" s="46">
        <v>421675.24</v>
      </c>
      <c r="I1006" s="46">
        <v>605887.32999999996</v>
      </c>
      <c r="J1006" s="46">
        <v>708558.23</v>
      </c>
      <c r="K1006" s="46">
        <v>1697381.04</v>
      </c>
      <c r="L1006" s="46">
        <v>1937483.93</v>
      </c>
      <c r="M1006" s="46"/>
      <c r="N1006" s="46"/>
    </row>
    <row r="1007" spans="5:14" x14ac:dyDescent="0.2">
      <c r="E1007" s="46">
        <v>50297.99</v>
      </c>
      <c r="F1007" s="46">
        <v>150859.79</v>
      </c>
      <c r="G1007" s="46">
        <v>227718.62</v>
      </c>
      <c r="H1007" s="46">
        <v>341391.85</v>
      </c>
      <c r="I1007" s="46">
        <v>597958.41</v>
      </c>
      <c r="J1007" s="46">
        <v>1094289.72</v>
      </c>
      <c r="K1007" s="46">
        <v>864972</v>
      </c>
      <c r="L1007" s="46">
        <v>1210263.17</v>
      </c>
      <c r="M1007" s="46"/>
      <c r="N1007" s="46"/>
    </row>
    <row r="1008" spans="5:14" x14ac:dyDescent="0.2">
      <c r="E1008" s="46">
        <v>54340.14</v>
      </c>
      <c r="F1008" s="46">
        <v>165074.13</v>
      </c>
      <c r="G1008" s="46">
        <v>311514.25</v>
      </c>
      <c r="H1008" s="46">
        <v>1144910.72</v>
      </c>
      <c r="I1008" s="46">
        <v>1576821.74</v>
      </c>
      <c r="J1008" s="46">
        <v>4024754.55</v>
      </c>
      <c r="K1008" s="46">
        <v>5099682.38</v>
      </c>
      <c r="L1008" s="46">
        <v>15817051.619999999</v>
      </c>
      <c r="M1008" s="46"/>
      <c r="N1008" s="46"/>
    </row>
    <row r="1009" spans="5:14" x14ac:dyDescent="0.2">
      <c r="E1009" s="46">
        <v>66927</v>
      </c>
      <c r="F1009" s="46">
        <v>243550.6</v>
      </c>
      <c r="G1009" s="46">
        <v>457281.25</v>
      </c>
      <c r="H1009" s="46">
        <v>673247.78</v>
      </c>
      <c r="I1009" s="46">
        <v>1126475.1000000001</v>
      </c>
      <c r="J1009" s="46">
        <v>1138814.3700000001</v>
      </c>
      <c r="K1009" s="46">
        <v>1523780.27</v>
      </c>
      <c r="L1009" s="46">
        <v>3470205.77</v>
      </c>
      <c r="M1009" s="46"/>
      <c r="N1009" s="46"/>
    </row>
    <row r="1010" spans="5:14" x14ac:dyDescent="0.2">
      <c r="E1010" s="46">
        <v>63763.68</v>
      </c>
      <c r="F1010" s="46">
        <v>148067.63</v>
      </c>
      <c r="G1010" s="46">
        <v>291881.01</v>
      </c>
      <c r="H1010" s="46">
        <v>527819.56000000006</v>
      </c>
      <c r="I1010" s="46">
        <v>1426990.57</v>
      </c>
      <c r="J1010" s="46">
        <v>1202066.99</v>
      </c>
      <c r="K1010" s="46">
        <v>2197160.2000000002</v>
      </c>
      <c r="L1010" s="46">
        <v>6156222.29</v>
      </c>
      <c r="M1010" s="46"/>
      <c r="N1010" s="46"/>
    </row>
    <row r="1011" spans="5:14" x14ac:dyDescent="0.2">
      <c r="E1011" s="46">
        <v>54160.12</v>
      </c>
      <c r="F1011" s="46">
        <v>191624.93</v>
      </c>
      <c r="G1011" s="46">
        <v>514343.29</v>
      </c>
      <c r="H1011" s="46">
        <v>1103899.28</v>
      </c>
      <c r="I1011" s="46">
        <v>1602112.21</v>
      </c>
      <c r="J1011" s="46">
        <v>4309418.4400000004</v>
      </c>
      <c r="K1011" s="46">
        <v>4010347.53</v>
      </c>
      <c r="L1011" s="46">
        <v>2932291.75</v>
      </c>
      <c r="M1011" s="46"/>
      <c r="N1011" s="46"/>
    </row>
    <row r="1012" spans="5:14" x14ac:dyDescent="0.2">
      <c r="E1012" s="46">
        <v>50339.32</v>
      </c>
      <c r="F1012" s="46">
        <v>78301.91</v>
      </c>
      <c r="G1012" s="46">
        <v>133350.20000000001</v>
      </c>
      <c r="H1012" s="46">
        <v>395928.88</v>
      </c>
      <c r="I1012" s="46">
        <v>379582.17</v>
      </c>
      <c r="J1012" s="46">
        <v>886428.26</v>
      </c>
      <c r="K1012" s="46">
        <v>1342647.79</v>
      </c>
      <c r="L1012" s="46">
        <v>1976614.23</v>
      </c>
      <c r="M1012" s="46"/>
      <c r="N1012" s="46"/>
    </row>
    <row r="1013" spans="5:14" x14ac:dyDescent="0.2">
      <c r="E1013" s="46">
        <v>43866.3</v>
      </c>
      <c r="F1013" s="46">
        <v>150570.01</v>
      </c>
      <c r="G1013" s="46">
        <v>315142.71000000002</v>
      </c>
      <c r="H1013" s="46">
        <v>655940.31000000006</v>
      </c>
      <c r="I1013" s="46">
        <v>1200326.28</v>
      </c>
      <c r="J1013" s="46">
        <v>1383829.15</v>
      </c>
      <c r="K1013" s="46">
        <v>2381807.92</v>
      </c>
      <c r="L1013" s="46">
        <v>2168681.0499999998</v>
      </c>
      <c r="M1013" s="46"/>
      <c r="N1013" s="46"/>
    </row>
    <row r="1014" spans="5:14" x14ac:dyDescent="0.2">
      <c r="E1014" s="46">
        <v>33869.78</v>
      </c>
      <c r="F1014" s="46">
        <v>110371.76</v>
      </c>
      <c r="G1014" s="46">
        <v>263099.28000000003</v>
      </c>
      <c r="H1014" s="46">
        <v>345353.28</v>
      </c>
      <c r="I1014" s="46">
        <v>524033.4</v>
      </c>
      <c r="J1014" s="46">
        <v>1318521.3600000001</v>
      </c>
      <c r="K1014" s="46">
        <v>2395412.7799999998</v>
      </c>
      <c r="L1014" s="46">
        <v>5016390.21</v>
      </c>
      <c r="M1014" s="46"/>
      <c r="N1014" s="46"/>
    </row>
    <row r="1015" spans="5:14" x14ac:dyDescent="0.2">
      <c r="E1015" s="46">
        <v>32469.87</v>
      </c>
      <c r="F1015" s="46">
        <v>166329.41</v>
      </c>
      <c r="G1015" s="46">
        <v>331868.26</v>
      </c>
      <c r="H1015" s="46">
        <v>1388534.7</v>
      </c>
      <c r="I1015" s="46">
        <v>3591619.89</v>
      </c>
      <c r="J1015" s="46">
        <v>8127888.9299999997</v>
      </c>
      <c r="K1015" s="46">
        <v>7280711.9400000004</v>
      </c>
      <c r="L1015" s="46">
        <v>5162926.49</v>
      </c>
      <c r="M1015" s="46"/>
      <c r="N1015" s="46"/>
    </row>
    <row r="1016" spans="5:14" x14ac:dyDescent="0.2">
      <c r="E1016" s="46">
        <v>63033.34</v>
      </c>
      <c r="F1016" s="46">
        <v>308298.31</v>
      </c>
      <c r="G1016" s="46">
        <v>350810.63</v>
      </c>
      <c r="H1016" s="46">
        <v>344027.92</v>
      </c>
      <c r="I1016" s="46">
        <v>579188.81999999995</v>
      </c>
      <c r="J1016" s="46">
        <v>885683.83</v>
      </c>
      <c r="K1016" s="46">
        <v>1578361.86</v>
      </c>
      <c r="L1016" s="46">
        <v>1727134.6</v>
      </c>
      <c r="M1016" s="46"/>
      <c r="N1016" s="46"/>
    </row>
    <row r="1017" spans="5:14" x14ac:dyDescent="0.2">
      <c r="E1017" s="46">
        <v>54447.040000000001</v>
      </c>
      <c r="F1017" s="46">
        <v>165240.19</v>
      </c>
      <c r="G1017" s="46">
        <v>253620.45</v>
      </c>
      <c r="H1017" s="46">
        <v>422538.52</v>
      </c>
      <c r="I1017" s="46">
        <v>741556.38</v>
      </c>
      <c r="J1017" s="46">
        <v>882299.53</v>
      </c>
      <c r="K1017" s="46">
        <v>998436.12</v>
      </c>
      <c r="L1017" s="46">
        <v>1161692.68</v>
      </c>
      <c r="M1017" s="46"/>
      <c r="N1017" s="46"/>
    </row>
    <row r="1018" spans="5:14" x14ac:dyDescent="0.2">
      <c r="E1018" s="46">
        <v>45594.18</v>
      </c>
      <c r="F1018" s="46">
        <v>153641.54</v>
      </c>
      <c r="G1018" s="46">
        <v>325411.24</v>
      </c>
      <c r="H1018" s="46">
        <v>540490.42000000004</v>
      </c>
      <c r="I1018" s="46">
        <v>610636.53</v>
      </c>
      <c r="J1018" s="46">
        <v>2043606.37</v>
      </c>
      <c r="K1018" s="46">
        <v>2978052.61</v>
      </c>
      <c r="L1018" s="46">
        <v>3928121.83</v>
      </c>
      <c r="M1018" s="46"/>
      <c r="N1018" s="46"/>
    </row>
    <row r="1019" spans="5:14" x14ac:dyDescent="0.2">
      <c r="E1019" s="46">
        <v>68977.64</v>
      </c>
      <c r="F1019" s="46">
        <v>196609.39</v>
      </c>
      <c r="G1019" s="46">
        <v>319923.89</v>
      </c>
      <c r="H1019" s="46">
        <v>536429.80000000005</v>
      </c>
      <c r="I1019" s="46">
        <v>1350334.78</v>
      </c>
      <c r="J1019" s="46">
        <v>1563758.14</v>
      </c>
      <c r="K1019" s="46">
        <v>4412885.4800000004</v>
      </c>
      <c r="L1019" s="46">
        <v>2742149.06</v>
      </c>
      <c r="M1019" s="46"/>
      <c r="N1019" s="46"/>
    </row>
    <row r="1020" spans="5:14" x14ac:dyDescent="0.2">
      <c r="E1020" s="46">
        <v>55223.11</v>
      </c>
      <c r="F1020" s="46">
        <v>148489.60000000001</v>
      </c>
      <c r="G1020" s="46">
        <v>479594.46</v>
      </c>
      <c r="H1020" s="46">
        <v>1004553.66</v>
      </c>
      <c r="I1020" s="46">
        <v>1937736.32</v>
      </c>
      <c r="J1020" s="46">
        <v>3185098</v>
      </c>
      <c r="K1020" s="46">
        <v>7319808.7199999997</v>
      </c>
      <c r="L1020" s="46">
        <v>14938067.84</v>
      </c>
      <c r="M1020" s="46"/>
      <c r="N1020" s="46"/>
    </row>
    <row r="1021" spans="5:14" x14ac:dyDescent="0.2">
      <c r="E1021" s="46">
        <v>45050.5</v>
      </c>
      <c r="F1021" s="46">
        <v>90686.74</v>
      </c>
      <c r="G1021" s="46">
        <v>143047.10999999999</v>
      </c>
      <c r="H1021" s="46">
        <v>395515.08</v>
      </c>
      <c r="I1021" s="46">
        <v>455765.52</v>
      </c>
      <c r="J1021" s="46">
        <v>706757.4</v>
      </c>
      <c r="K1021" s="46">
        <v>2017544.44</v>
      </c>
      <c r="L1021" s="46">
        <v>3231176.73</v>
      </c>
      <c r="M1021" s="46"/>
      <c r="N1021" s="46"/>
    </row>
    <row r="1022" spans="5:14" x14ac:dyDescent="0.2">
      <c r="E1022" s="46">
        <v>41644.870000000003</v>
      </c>
      <c r="F1022" s="46">
        <v>81384.84</v>
      </c>
      <c r="G1022" s="46">
        <v>132074.71</v>
      </c>
      <c r="H1022" s="46">
        <v>376971.63</v>
      </c>
      <c r="I1022" s="46">
        <v>511065.58</v>
      </c>
      <c r="J1022" s="46">
        <v>835442.57</v>
      </c>
      <c r="K1022" s="46">
        <v>1922468.22</v>
      </c>
      <c r="L1022" s="46">
        <v>2662261.79</v>
      </c>
      <c r="M1022" s="46"/>
      <c r="N1022" s="46"/>
    </row>
    <row r="1023" spans="5:14" x14ac:dyDescent="0.2">
      <c r="E1023" s="46">
        <v>58206.36</v>
      </c>
      <c r="F1023" s="46">
        <v>208196.98</v>
      </c>
      <c r="G1023" s="46">
        <v>474561.86</v>
      </c>
      <c r="H1023" s="46">
        <v>1005295.55</v>
      </c>
      <c r="I1023" s="46">
        <v>1468414.5</v>
      </c>
      <c r="J1023" s="46">
        <v>2716464.76</v>
      </c>
      <c r="K1023" s="46">
        <v>4502932.8899999997</v>
      </c>
      <c r="L1023" s="46">
        <v>7055074.4400000004</v>
      </c>
      <c r="M1023" s="46"/>
      <c r="N1023" s="46"/>
    </row>
    <row r="1024" spans="5:14" x14ac:dyDescent="0.2">
      <c r="E1024" s="46">
        <v>81698.41</v>
      </c>
      <c r="F1024" s="46">
        <v>227797.2</v>
      </c>
      <c r="G1024" s="46">
        <v>721719.65</v>
      </c>
      <c r="H1024" s="46">
        <v>877318.46</v>
      </c>
      <c r="I1024" s="46">
        <v>1716766.34</v>
      </c>
      <c r="J1024" s="46">
        <v>2138301.39</v>
      </c>
      <c r="K1024" s="46">
        <v>2569793.35</v>
      </c>
      <c r="L1024" s="46">
        <v>1709762.27</v>
      </c>
      <c r="M1024" s="46"/>
      <c r="N1024" s="46"/>
    </row>
    <row r="1025" spans="5:14" x14ac:dyDescent="0.2">
      <c r="E1025" s="46">
        <v>43299.81</v>
      </c>
      <c r="F1025" s="46">
        <v>125848.58</v>
      </c>
      <c r="G1025" s="46">
        <v>221739.95</v>
      </c>
      <c r="H1025" s="46">
        <v>265417.11</v>
      </c>
      <c r="I1025" s="46">
        <v>424965.77</v>
      </c>
      <c r="J1025" s="46">
        <v>512916.78</v>
      </c>
      <c r="K1025" s="46">
        <v>411892.46</v>
      </c>
      <c r="L1025" s="46">
        <v>724583.85</v>
      </c>
      <c r="M1025" s="46"/>
      <c r="N1025" s="46"/>
    </row>
    <row r="1026" spans="5:14" x14ac:dyDescent="0.2">
      <c r="E1026" s="46">
        <v>42053.99</v>
      </c>
      <c r="F1026" s="46">
        <v>164332.29</v>
      </c>
      <c r="G1026" s="46">
        <v>339701.89</v>
      </c>
      <c r="H1026" s="46">
        <v>543553.05000000005</v>
      </c>
      <c r="I1026" s="46">
        <v>687836.42</v>
      </c>
      <c r="J1026" s="46">
        <v>1105142.73</v>
      </c>
      <c r="K1026" s="46">
        <v>1749330.72</v>
      </c>
      <c r="L1026" s="46">
        <v>1174146.21</v>
      </c>
      <c r="M1026" s="46"/>
      <c r="N1026" s="46"/>
    </row>
    <row r="1027" spans="5:14" x14ac:dyDescent="0.2">
      <c r="E1027" s="46">
        <v>50218.8</v>
      </c>
      <c r="F1027" s="46">
        <v>85616.75</v>
      </c>
      <c r="G1027" s="46">
        <v>230813.68</v>
      </c>
      <c r="H1027" s="46">
        <v>398783.16</v>
      </c>
      <c r="I1027" s="46">
        <v>731866.14</v>
      </c>
      <c r="J1027" s="46">
        <v>874232.65</v>
      </c>
      <c r="K1027" s="46">
        <v>934999.98</v>
      </c>
      <c r="L1027" s="46">
        <v>1827667.32</v>
      </c>
      <c r="M1027" s="46"/>
      <c r="N1027" s="46"/>
    </row>
    <row r="1028" spans="5:14" x14ac:dyDescent="0.2">
      <c r="E1028" s="46">
        <v>53756.2</v>
      </c>
      <c r="F1028" s="46">
        <v>65769.59</v>
      </c>
      <c r="G1028" s="46">
        <v>171955.3</v>
      </c>
      <c r="H1028" s="46">
        <v>565363.93000000005</v>
      </c>
      <c r="I1028" s="46">
        <v>890759.02</v>
      </c>
      <c r="J1028" s="46">
        <v>1601331.82</v>
      </c>
      <c r="K1028" s="46">
        <v>2200891.23</v>
      </c>
      <c r="L1028" s="46">
        <v>1975641.45</v>
      </c>
      <c r="M1028" s="46"/>
      <c r="N1028" s="46"/>
    </row>
    <row r="1029" spans="5:14" x14ac:dyDescent="0.2">
      <c r="E1029" s="46">
        <v>62240.63</v>
      </c>
      <c r="F1029" s="46">
        <v>181457</v>
      </c>
      <c r="G1029" s="46">
        <v>510456.55</v>
      </c>
      <c r="H1029" s="46">
        <v>750301.31</v>
      </c>
      <c r="I1029" s="46">
        <v>1913316.37</v>
      </c>
      <c r="J1029" s="46">
        <v>2535199.84</v>
      </c>
      <c r="K1029" s="46">
        <v>6942456.5999999996</v>
      </c>
      <c r="L1029" s="46">
        <v>8081848.54</v>
      </c>
      <c r="M1029" s="46"/>
      <c r="N1029" s="46"/>
    </row>
    <row r="1030" spans="5:14" x14ac:dyDescent="0.2">
      <c r="E1030" s="46">
        <v>83657.86</v>
      </c>
      <c r="F1030" s="46">
        <v>152241.09</v>
      </c>
      <c r="G1030" s="46">
        <v>230410.04</v>
      </c>
      <c r="H1030" s="46">
        <v>294179.5</v>
      </c>
      <c r="I1030" s="46">
        <v>307047.75</v>
      </c>
      <c r="J1030" s="46">
        <v>499661.82</v>
      </c>
      <c r="K1030" s="46">
        <v>1267836.03</v>
      </c>
      <c r="L1030" s="46">
        <v>3760018.63</v>
      </c>
      <c r="M1030" s="46"/>
      <c r="N1030" s="46"/>
    </row>
    <row r="1031" spans="5:14" x14ac:dyDescent="0.2">
      <c r="E1031" s="46">
        <v>69302.039999999994</v>
      </c>
      <c r="F1031" s="46">
        <v>233036.24</v>
      </c>
      <c r="G1031" s="46">
        <v>516247.15</v>
      </c>
      <c r="H1031" s="46">
        <v>1024235.89</v>
      </c>
      <c r="I1031" s="46">
        <v>1809500.03</v>
      </c>
      <c r="J1031" s="46">
        <v>1762536.95</v>
      </c>
      <c r="K1031" s="46">
        <v>1403626.71</v>
      </c>
      <c r="L1031" s="46">
        <v>1685909.27</v>
      </c>
      <c r="M1031" s="46"/>
      <c r="N1031" s="46"/>
    </row>
    <row r="1032" spans="5:14" x14ac:dyDescent="0.2">
      <c r="E1032" s="46">
        <v>53098.81</v>
      </c>
      <c r="F1032" s="46">
        <v>79435.73</v>
      </c>
      <c r="G1032" s="46">
        <v>96079.78</v>
      </c>
      <c r="H1032" s="46">
        <v>256140.58</v>
      </c>
      <c r="I1032" s="46">
        <v>473594.7</v>
      </c>
      <c r="J1032" s="46">
        <v>851336.23</v>
      </c>
      <c r="K1032" s="46">
        <v>803501.92</v>
      </c>
      <c r="L1032" s="46">
        <v>748908.93</v>
      </c>
      <c r="M1032" s="46"/>
      <c r="N1032" s="46"/>
    </row>
    <row r="1033" spans="5:14" x14ac:dyDescent="0.2">
      <c r="E1033" s="46">
        <v>29663.78</v>
      </c>
      <c r="F1033" s="46">
        <v>153200.29</v>
      </c>
      <c r="G1033" s="46">
        <v>341448.89</v>
      </c>
      <c r="H1033" s="46">
        <v>366517.37</v>
      </c>
      <c r="I1033" s="46">
        <v>625737.04</v>
      </c>
      <c r="J1033" s="46">
        <v>1983631.12</v>
      </c>
      <c r="K1033" s="46">
        <v>3635275.95</v>
      </c>
      <c r="L1033" s="46">
        <v>3619390.52</v>
      </c>
      <c r="M1033" s="46"/>
      <c r="N1033" s="46"/>
    </row>
    <row r="1034" spans="5:14" x14ac:dyDescent="0.2">
      <c r="E1034" s="46">
        <v>53644.160000000003</v>
      </c>
      <c r="F1034" s="46">
        <v>88853.94</v>
      </c>
      <c r="G1034" s="46">
        <v>227577.84</v>
      </c>
      <c r="H1034" s="46">
        <v>660264.26</v>
      </c>
      <c r="I1034" s="46">
        <v>1121216.25</v>
      </c>
      <c r="J1034" s="46">
        <v>3814929.67</v>
      </c>
      <c r="K1034" s="46">
        <v>13159629.810000001</v>
      </c>
      <c r="L1034" s="46">
        <v>13105049.119999999</v>
      </c>
      <c r="M1034" s="46"/>
      <c r="N1034" s="46"/>
    </row>
    <row r="1035" spans="5:14" x14ac:dyDescent="0.2">
      <c r="E1035" s="46">
        <v>45967.87</v>
      </c>
      <c r="F1035" s="46">
        <v>70549.62</v>
      </c>
      <c r="G1035" s="46">
        <v>130640.73</v>
      </c>
      <c r="H1035" s="46">
        <v>199355.48</v>
      </c>
      <c r="I1035" s="46">
        <v>588740.85</v>
      </c>
      <c r="J1035" s="46">
        <v>1021327.82</v>
      </c>
      <c r="K1035" s="46">
        <v>2859952.22</v>
      </c>
      <c r="L1035" s="46">
        <v>5329942.57</v>
      </c>
      <c r="M1035" s="46"/>
      <c r="N1035" s="46"/>
    </row>
    <row r="1036" spans="5:14" x14ac:dyDescent="0.2">
      <c r="E1036" s="46">
        <v>48261.63</v>
      </c>
      <c r="F1036" s="46">
        <v>217970.06</v>
      </c>
      <c r="G1036" s="46">
        <v>379624.37</v>
      </c>
      <c r="H1036" s="46">
        <v>640060.6</v>
      </c>
      <c r="I1036" s="46">
        <v>2420867.2599999998</v>
      </c>
      <c r="J1036" s="46">
        <v>4543066.01</v>
      </c>
      <c r="K1036" s="46">
        <v>8590571.6500000004</v>
      </c>
      <c r="L1036" s="46">
        <v>16716336.960000001</v>
      </c>
      <c r="M1036" s="46"/>
      <c r="N1036" s="46"/>
    </row>
    <row r="1037" spans="5:14" x14ac:dyDescent="0.2">
      <c r="E1037" s="46">
        <v>37846.160000000003</v>
      </c>
      <c r="F1037" s="46">
        <v>205277.17</v>
      </c>
      <c r="G1037" s="46">
        <v>303816.65999999997</v>
      </c>
      <c r="H1037" s="46">
        <v>441463.03999999998</v>
      </c>
      <c r="I1037" s="46">
        <v>1418998.86</v>
      </c>
      <c r="J1037" s="46">
        <v>1231417.3400000001</v>
      </c>
      <c r="K1037" s="46">
        <v>3247859.52</v>
      </c>
      <c r="L1037" s="46">
        <v>5038291.67</v>
      </c>
      <c r="M1037" s="46"/>
      <c r="N1037" s="46"/>
    </row>
    <row r="1038" spans="5:14" x14ac:dyDescent="0.2">
      <c r="E1038" s="46">
        <v>63162.39</v>
      </c>
      <c r="F1038" s="46">
        <v>160426.82</v>
      </c>
      <c r="G1038" s="46">
        <v>280951.69</v>
      </c>
      <c r="H1038" s="46">
        <v>480077.62</v>
      </c>
      <c r="I1038" s="46">
        <v>1380932.08</v>
      </c>
      <c r="J1038" s="46">
        <v>6398470.4100000001</v>
      </c>
      <c r="K1038" s="46">
        <v>10632031.41</v>
      </c>
      <c r="L1038" s="46">
        <v>47762966.600000001</v>
      </c>
      <c r="M1038" s="46"/>
      <c r="N1038" s="46"/>
    </row>
    <row r="1039" spans="5:14" x14ac:dyDescent="0.2">
      <c r="E1039" s="46">
        <v>46604.22</v>
      </c>
      <c r="F1039" s="46">
        <v>89994.15</v>
      </c>
      <c r="G1039" s="46">
        <v>196687.45</v>
      </c>
      <c r="H1039" s="46">
        <v>480260.72</v>
      </c>
      <c r="I1039" s="46">
        <v>1943631.59</v>
      </c>
      <c r="J1039" s="46">
        <v>4209152.3</v>
      </c>
      <c r="K1039" s="46">
        <v>8503861.5299999993</v>
      </c>
      <c r="L1039" s="46">
        <v>16924431.719999999</v>
      </c>
      <c r="M1039" s="46"/>
      <c r="N1039" s="46"/>
    </row>
    <row r="1040" spans="5:14" x14ac:dyDescent="0.2">
      <c r="E1040" s="46">
        <v>51821.34</v>
      </c>
      <c r="F1040" s="46">
        <v>78615.33</v>
      </c>
      <c r="G1040" s="46">
        <v>239978.02</v>
      </c>
      <c r="H1040" s="46">
        <v>227104.34</v>
      </c>
      <c r="I1040" s="46">
        <v>720061.7</v>
      </c>
      <c r="J1040" s="46">
        <v>1256711.83</v>
      </c>
      <c r="K1040" s="46">
        <v>1386280.99</v>
      </c>
      <c r="L1040" s="46">
        <v>1349173.85</v>
      </c>
      <c r="M1040" s="46"/>
      <c r="N1040" s="46"/>
    </row>
    <row r="1041" spans="5:14" x14ac:dyDescent="0.2">
      <c r="E1041" s="46">
        <v>56656.93</v>
      </c>
      <c r="F1041" s="46">
        <v>114503.42</v>
      </c>
      <c r="G1041" s="46">
        <v>224985.91</v>
      </c>
      <c r="H1041" s="46">
        <v>377065.17</v>
      </c>
      <c r="I1041" s="46">
        <v>313247.2</v>
      </c>
      <c r="J1041" s="46">
        <v>759156.99</v>
      </c>
      <c r="K1041" s="46">
        <v>1555408.79</v>
      </c>
      <c r="L1041" s="46">
        <v>1832608.55</v>
      </c>
      <c r="M1041" s="46"/>
      <c r="N1041" s="46"/>
    </row>
    <row r="1042" spans="5:14" x14ac:dyDescent="0.2">
      <c r="E1042" s="46">
        <v>65372.08</v>
      </c>
      <c r="F1042" s="46">
        <v>202307.4</v>
      </c>
      <c r="G1042" s="46">
        <v>340675.69</v>
      </c>
      <c r="H1042" s="46">
        <v>1168660.22</v>
      </c>
      <c r="I1042" s="46">
        <v>1002550.01</v>
      </c>
      <c r="J1042" s="46">
        <v>2798044.6</v>
      </c>
      <c r="K1042" s="46">
        <v>4920491.08</v>
      </c>
      <c r="L1042" s="46">
        <v>8942483.4499999993</v>
      </c>
      <c r="M1042" s="46"/>
      <c r="N1042" s="46"/>
    </row>
    <row r="1043" spans="5:14" x14ac:dyDescent="0.2">
      <c r="E1043" s="46">
        <v>50751.45</v>
      </c>
      <c r="F1043" s="46">
        <v>70269.17</v>
      </c>
      <c r="G1043" s="46">
        <v>149654.34</v>
      </c>
      <c r="H1043" s="46">
        <v>485881.46</v>
      </c>
      <c r="I1043" s="46">
        <v>500420.74</v>
      </c>
      <c r="J1043" s="46">
        <v>637482.59</v>
      </c>
      <c r="K1043" s="46">
        <v>1196082.05</v>
      </c>
      <c r="L1043" s="46">
        <v>1295486.46</v>
      </c>
      <c r="M1043" s="46"/>
      <c r="N1043" s="46"/>
    </row>
    <row r="1044" spans="5:14" x14ac:dyDescent="0.2">
      <c r="E1044" s="46">
        <v>41764.800000000003</v>
      </c>
      <c r="F1044" s="46">
        <v>70748.160000000003</v>
      </c>
      <c r="G1044" s="46">
        <v>112651.67</v>
      </c>
      <c r="H1044" s="46">
        <v>159912.32999999999</v>
      </c>
      <c r="I1044" s="46">
        <v>392636.94</v>
      </c>
      <c r="J1044" s="46">
        <v>600152.19999999995</v>
      </c>
      <c r="K1044" s="46">
        <v>1306596.6000000001</v>
      </c>
      <c r="L1044" s="46">
        <v>2378736.29</v>
      </c>
      <c r="M1044" s="46"/>
      <c r="N1044" s="46"/>
    </row>
    <row r="1045" spans="5:14" x14ac:dyDescent="0.2">
      <c r="E1045" s="46">
        <v>58022.36</v>
      </c>
      <c r="F1045" s="46">
        <v>177375.13</v>
      </c>
      <c r="G1045" s="46">
        <v>180503.93</v>
      </c>
      <c r="H1045" s="46">
        <v>460046.12</v>
      </c>
      <c r="I1045" s="46">
        <v>1563579.19</v>
      </c>
      <c r="J1045" s="46">
        <v>1839361.31</v>
      </c>
      <c r="K1045" s="46">
        <v>5017436.4800000004</v>
      </c>
      <c r="L1045" s="46">
        <v>6378898.2300000004</v>
      </c>
      <c r="M1045" s="46"/>
      <c r="N1045" s="46"/>
    </row>
    <row r="1046" spans="5:14" x14ac:dyDescent="0.2">
      <c r="E1046" s="46">
        <v>48330.99</v>
      </c>
      <c r="F1046" s="46">
        <v>103382.44</v>
      </c>
      <c r="G1046" s="46">
        <v>398590.99</v>
      </c>
      <c r="H1046" s="46">
        <v>792788.54</v>
      </c>
      <c r="I1046" s="46">
        <v>1224228.75</v>
      </c>
      <c r="J1046" s="46">
        <v>6181368.0800000001</v>
      </c>
      <c r="K1046" s="46">
        <v>12469337.699999999</v>
      </c>
      <c r="L1046" s="46">
        <v>30810880.280000001</v>
      </c>
      <c r="M1046" s="46"/>
      <c r="N1046" s="46"/>
    </row>
    <row r="1047" spans="5:14" x14ac:dyDescent="0.2">
      <c r="E1047" s="46">
        <v>40154.9</v>
      </c>
      <c r="F1047" s="46">
        <v>133477.60999999999</v>
      </c>
      <c r="G1047" s="46">
        <v>281040.65000000002</v>
      </c>
      <c r="H1047" s="46">
        <v>431683.8</v>
      </c>
      <c r="I1047" s="46">
        <v>441783.11</v>
      </c>
      <c r="J1047" s="46">
        <v>1816852.81</v>
      </c>
      <c r="K1047" s="46">
        <v>2320257.5499999998</v>
      </c>
      <c r="L1047" s="46">
        <v>3812631.96</v>
      </c>
      <c r="M1047" s="46"/>
      <c r="N1047" s="46"/>
    </row>
    <row r="1048" spans="5:14" x14ac:dyDescent="0.2">
      <c r="E1048" s="46">
        <v>39675.56</v>
      </c>
      <c r="F1048" s="46">
        <v>165486.39000000001</v>
      </c>
      <c r="G1048" s="46">
        <v>241078.76</v>
      </c>
      <c r="H1048" s="46">
        <v>645070.68000000005</v>
      </c>
      <c r="I1048" s="46">
        <v>1774426.85</v>
      </c>
      <c r="J1048" s="46">
        <v>2271022</v>
      </c>
      <c r="K1048" s="46">
        <v>4900544.78</v>
      </c>
      <c r="L1048" s="46">
        <v>4017759.54</v>
      </c>
      <c r="M1048" s="46"/>
      <c r="N1048" s="46"/>
    </row>
    <row r="1049" spans="5:14" x14ac:dyDescent="0.2">
      <c r="E1049" s="46">
        <v>27846.91</v>
      </c>
      <c r="F1049" s="46">
        <v>91983.79</v>
      </c>
      <c r="G1049" s="46">
        <v>142599.41</v>
      </c>
      <c r="H1049" s="46">
        <v>343114.75</v>
      </c>
      <c r="I1049" s="46">
        <v>636492.57999999996</v>
      </c>
      <c r="J1049" s="46">
        <v>464427.86</v>
      </c>
      <c r="K1049" s="46">
        <v>335246.13</v>
      </c>
      <c r="L1049" s="46">
        <v>259870.73</v>
      </c>
      <c r="M1049" s="46"/>
      <c r="N1049" s="46"/>
    </row>
    <row r="1050" spans="5:14" x14ac:dyDescent="0.2">
      <c r="E1050" s="46">
        <v>52075.23</v>
      </c>
      <c r="F1050" s="46">
        <v>310559.8</v>
      </c>
      <c r="G1050" s="46">
        <v>723269.98</v>
      </c>
      <c r="H1050" s="46">
        <v>888986.48</v>
      </c>
      <c r="I1050" s="46">
        <v>1976440.43</v>
      </c>
      <c r="J1050" s="46">
        <v>2814148.97</v>
      </c>
      <c r="K1050" s="46">
        <v>3943397.32</v>
      </c>
      <c r="L1050" s="46">
        <v>19571076.91</v>
      </c>
      <c r="M1050" s="46"/>
      <c r="N1050" s="46"/>
    </row>
    <row r="1051" spans="5:14" x14ac:dyDescent="0.2">
      <c r="E1051" s="46">
        <v>36168.67</v>
      </c>
      <c r="F1051" s="46">
        <v>126905.17</v>
      </c>
      <c r="G1051" s="46">
        <v>358963.11</v>
      </c>
      <c r="H1051" s="46">
        <v>655863.88</v>
      </c>
      <c r="I1051" s="46">
        <v>558982.86</v>
      </c>
      <c r="J1051" s="46">
        <v>1508300.35</v>
      </c>
      <c r="K1051" s="46">
        <v>1934851.51</v>
      </c>
      <c r="L1051" s="46">
        <v>4405958.26</v>
      </c>
      <c r="M1051" s="46"/>
      <c r="N1051" s="46"/>
    </row>
    <row r="1052" spans="5:14" x14ac:dyDescent="0.2">
      <c r="E1052" s="46">
        <v>42978.05</v>
      </c>
      <c r="F1052" s="46">
        <v>141837.28</v>
      </c>
      <c r="G1052" s="46">
        <v>254387.67</v>
      </c>
      <c r="H1052" s="46">
        <v>715589.97</v>
      </c>
      <c r="I1052" s="46">
        <v>542811.51</v>
      </c>
      <c r="J1052" s="46">
        <v>1076929.6000000001</v>
      </c>
      <c r="K1052" s="46">
        <v>2726061.01</v>
      </c>
      <c r="L1052" s="46">
        <v>3030554.92</v>
      </c>
      <c r="M1052" s="46"/>
      <c r="N1052" s="46"/>
    </row>
    <row r="1053" spans="5:14" x14ac:dyDescent="0.2">
      <c r="E1053" s="46">
        <v>36801.050000000003</v>
      </c>
      <c r="F1053" s="46">
        <v>91631.15</v>
      </c>
      <c r="G1053" s="46">
        <v>196951.56</v>
      </c>
      <c r="H1053" s="46">
        <v>390602.63</v>
      </c>
      <c r="I1053" s="46">
        <v>1101234.5</v>
      </c>
      <c r="J1053" s="46">
        <v>1352693.04</v>
      </c>
      <c r="K1053" s="46">
        <v>1341871.03</v>
      </c>
      <c r="L1053" s="46">
        <v>1647666.57</v>
      </c>
      <c r="M1053" s="46"/>
      <c r="N1053" s="46"/>
    </row>
    <row r="1054" spans="5:14" x14ac:dyDescent="0.2">
      <c r="E1054" s="46">
        <v>48221.81</v>
      </c>
      <c r="F1054" s="46">
        <v>120791.28</v>
      </c>
      <c r="G1054" s="46">
        <v>228204.39</v>
      </c>
      <c r="H1054" s="46">
        <v>706187.68</v>
      </c>
      <c r="I1054" s="46">
        <v>830765.59</v>
      </c>
      <c r="J1054" s="46">
        <v>2300798.59</v>
      </c>
      <c r="K1054" s="46">
        <v>1706495.66</v>
      </c>
      <c r="L1054" s="46">
        <v>1880992.47</v>
      </c>
      <c r="M1054" s="46"/>
      <c r="N1054" s="46"/>
    </row>
    <row r="1055" spans="5:14" x14ac:dyDescent="0.2">
      <c r="E1055" s="46">
        <v>109348.69</v>
      </c>
      <c r="F1055" s="46">
        <v>249219.88</v>
      </c>
      <c r="G1055" s="46">
        <v>444517.95</v>
      </c>
      <c r="H1055" s="46">
        <v>513438.26</v>
      </c>
      <c r="I1055" s="46">
        <v>1008660.96</v>
      </c>
      <c r="J1055" s="46">
        <v>3056444.35</v>
      </c>
      <c r="K1055" s="46">
        <v>4147221.74</v>
      </c>
      <c r="L1055" s="46">
        <v>4011691.52</v>
      </c>
      <c r="M1055" s="46"/>
      <c r="N1055" s="46"/>
    </row>
    <row r="1056" spans="5:14" x14ac:dyDescent="0.2">
      <c r="E1056" s="46">
        <v>40408.699999999997</v>
      </c>
      <c r="F1056" s="46">
        <v>127817.37</v>
      </c>
      <c r="G1056" s="46">
        <v>504962.09</v>
      </c>
      <c r="H1056" s="46">
        <v>678832.36</v>
      </c>
      <c r="I1056" s="46">
        <v>297952.17</v>
      </c>
      <c r="J1056" s="46">
        <v>407396.24</v>
      </c>
      <c r="K1056" s="46">
        <v>569253.1</v>
      </c>
      <c r="L1056" s="46">
        <v>1470499.4</v>
      </c>
      <c r="M1056" s="46"/>
      <c r="N1056" s="46"/>
    </row>
    <row r="1057" spans="5:14" x14ac:dyDescent="0.2">
      <c r="E1057" s="46">
        <v>59700.42</v>
      </c>
      <c r="F1057" s="46">
        <v>332370.08</v>
      </c>
      <c r="G1057" s="46">
        <v>361768.29</v>
      </c>
      <c r="H1057" s="46">
        <v>654596.09</v>
      </c>
      <c r="I1057" s="46">
        <v>725050.61</v>
      </c>
      <c r="J1057" s="46">
        <v>938995.87</v>
      </c>
      <c r="K1057" s="46">
        <v>1737972.93</v>
      </c>
      <c r="L1057" s="46">
        <v>2803060.23</v>
      </c>
      <c r="M1057" s="46"/>
      <c r="N1057" s="46"/>
    </row>
    <row r="1058" spans="5:14" x14ac:dyDescent="0.2">
      <c r="E1058" s="46">
        <v>42029.760000000002</v>
      </c>
      <c r="F1058" s="46">
        <v>83851.06</v>
      </c>
      <c r="G1058" s="46">
        <v>322363.3</v>
      </c>
      <c r="H1058" s="46">
        <v>697062.38</v>
      </c>
      <c r="I1058" s="46">
        <v>648602.36</v>
      </c>
      <c r="J1058" s="46">
        <v>2767034.69</v>
      </c>
      <c r="K1058" s="46">
        <v>2831686.09</v>
      </c>
      <c r="L1058" s="46">
        <v>4991322.29</v>
      </c>
      <c r="M1058" s="46"/>
      <c r="N1058" s="46"/>
    </row>
    <row r="1059" spans="5:14" x14ac:dyDescent="0.2">
      <c r="E1059" s="46">
        <v>57404.67</v>
      </c>
      <c r="F1059" s="46">
        <v>135373.88</v>
      </c>
      <c r="G1059" s="46">
        <v>247030.54</v>
      </c>
      <c r="H1059" s="46">
        <v>296551.51</v>
      </c>
      <c r="I1059" s="46">
        <v>1093577.17</v>
      </c>
      <c r="J1059" s="46">
        <v>2810196.45</v>
      </c>
      <c r="K1059" s="46">
        <v>8022019.0499999998</v>
      </c>
      <c r="L1059" s="46">
        <v>10313864.630000001</v>
      </c>
      <c r="M1059" s="46"/>
      <c r="N1059" s="46"/>
    </row>
    <row r="1060" spans="5:14" x14ac:dyDescent="0.2">
      <c r="E1060" s="46">
        <v>50182.07</v>
      </c>
      <c r="F1060" s="46">
        <v>136561.20000000001</v>
      </c>
      <c r="G1060" s="46">
        <v>370607.7</v>
      </c>
      <c r="H1060" s="46">
        <v>320024.40999999997</v>
      </c>
      <c r="I1060" s="46">
        <v>304616.67</v>
      </c>
      <c r="J1060" s="46">
        <v>475842.64</v>
      </c>
      <c r="K1060" s="46">
        <v>1107532.77</v>
      </c>
      <c r="L1060" s="46">
        <v>1259873.02</v>
      </c>
      <c r="M1060" s="46"/>
      <c r="N1060" s="46"/>
    </row>
    <row r="1061" spans="5:14" x14ac:dyDescent="0.2">
      <c r="E1061" s="46">
        <v>49805.06</v>
      </c>
      <c r="F1061" s="46">
        <v>113619</v>
      </c>
      <c r="G1061" s="46">
        <v>200828.29</v>
      </c>
      <c r="H1061" s="46">
        <v>448646.29</v>
      </c>
      <c r="I1061" s="46">
        <v>576948.39</v>
      </c>
      <c r="J1061" s="46">
        <v>1945453.77</v>
      </c>
      <c r="K1061" s="46">
        <v>2126668.0299999998</v>
      </c>
      <c r="L1061" s="46">
        <v>4449681.8899999997</v>
      </c>
      <c r="M1061" s="46"/>
      <c r="N1061" s="46"/>
    </row>
    <row r="1062" spans="5:14" x14ac:dyDescent="0.2">
      <c r="E1062" s="46">
        <v>51296.83</v>
      </c>
      <c r="F1062" s="46">
        <v>124824.56</v>
      </c>
      <c r="G1062" s="46">
        <v>242552.6</v>
      </c>
      <c r="H1062" s="46">
        <v>377505.91</v>
      </c>
      <c r="I1062" s="46">
        <v>351357.42</v>
      </c>
      <c r="J1062" s="46">
        <v>786698.9</v>
      </c>
      <c r="K1062" s="46">
        <v>1848264.22</v>
      </c>
      <c r="L1062" s="46">
        <v>1063173.76</v>
      </c>
      <c r="M1062" s="46"/>
      <c r="N1062" s="46"/>
    </row>
    <row r="1063" spans="5:14" x14ac:dyDescent="0.2">
      <c r="E1063" s="46">
        <v>44895.96</v>
      </c>
      <c r="F1063" s="46">
        <v>163328.24</v>
      </c>
      <c r="G1063" s="46">
        <v>373341.39</v>
      </c>
      <c r="H1063" s="46">
        <v>867849.33</v>
      </c>
      <c r="I1063" s="46">
        <v>1752273.63</v>
      </c>
      <c r="J1063" s="46">
        <v>3202449.77</v>
      </c>
      <c r="K1063" s="46">
        <v>3632527.63</v>
      </c>
      <c r="L1063" s="46">
        <v>5311659.78</v>
      </c>
      <c r="M1063" s="46"/>
      <c r="N1063" s="46"/>
    </row>
    <row r="1064" spans="5:14" x14ac:dyDescent="0.2">
      <c r="E1064" s="46">
        <v>53330.62</v>
      </c>
      <c r="F1064" s="46">
        <v>108078.57</v>
      </c>
      <c r="G1064" s="46">
        <v>364783.66</v>
      </c>
      <c r="H1064" s="46">
        <v>647218.97</v>
      </c>
      <c r="I1064" s="46">
        <v>1515734.59</v>
      </c>
      <c r="J1064" s="46">
        <v>2924272.16</v>
      </c>
      <c r="K1064" s="46">
        <v>2862957.58</v>
      </c>
      <c r="L1064" s="46">
        <v>4611134.4000000004</v>
      </c>
      <c r="M1064" s="46"/>
      <c r="N1064" s="46"/>
    </row>
    <row r="1065" spans="5:14" x14ac:dyDescent="0.2">
      <c r="E1065" s="46">
        <v>54749.64</v>
      </c>
      <c r="F1065" s="46">
        <v>94621.95</v>
      </c>
      <c r="G1065" s="46">
        <v>207883.86</v>
      </c>
      <c r="H1065" s="46">
        <v>372858.82</v>
      </c>
      <c r="I1065" s="46">
        <v>412091.85</v>
      </c>
      <c r="J1065" s="46">
        <v>275640.03000000003</v>
      </c>
      <c r="K1065" s="46">
        <v>606346.68999999994</v>
      </c>
      <c r="L1065" s="46">
        <v>1188922.47</v>
      </c>
      <c r="M1065" s="46"/>
      <c r="N1065" s="46"/>
    </row>
    <row r="1066" spans="5:14" x14ac:dyDescent="0.2">
      <c r="E1066" s="46">
        <v>47762.86</v>
      </c>
      <c r="F1066" s="46">
        <v>203232.55</v>
      </c>
      <c r="G1066" s="46">
        <v>355598.34</v>
      </c>
      <c r="H1066" s="46">
        <v>324192.21999999997</v>
      </c>
      <c r="I1066" s="46">
        <v>852178.1</v>
      </c>
      <c r="J1066" s="46">
        <v>2165349.2000000002</v>
      </c>
      <c r="K1066" s="46">
        <v>3871571.62</v>
      </c>
      <c r="L1066" s="46">
        <v>4354703.49</v>
      </c>
      <c r="M1066" s="46"/>
      <c r="N1066" s="46"/>
    </row>
    <row r="1067" spans="5:14" x14ac:dyDescent="0.2">
      <c r="E1067" s="46">
        <v>62299.72</v>
      </c>
      <c r="F1067" s="46">
        <v>136172.04</v>
      </c>
      <c r="G1067" s="46">
        <v>196077.9</v>
      </c>
      <c r="H1067" s="46">
        <v>931776.16</v>
      </c>
      <c r="I1067" s="46">
        <v>1942946.2</v>
      </c>
      <c r="J1067" s="46">
        <v>4048435.35</v>
      </c>
      <c r="K1067" s="46">
        <v>4847557.99</v>
      </c>
      <c r="L1067" s="46">
        <v>11800203.52</v>
      </c>
      <c r="M1067" s="46"/>
      <c r="N1067" s="46"/>
    </row>
    <row r="1068" spans="5:14" x14ac:dyDescent="0.2">
      <c r="E1068" s="46">
        <v>60246.58</v>
      </c>
      <c r="F1068" s="46">
        <v>136750.72</v>
      </c>
      <c r="G1068" s="46">
        <v>158977.94</v>
      </c>
      <c r="H1068" s="46">
        <v>288027.75</v>
      </c>
      <c r="I1068" s="46">
        <v>822159.82</v>
      </c>
      <c r="J1068" s="46">
        <v>1994560.48</v>
      </c>
      <c r="K1068" s="46">
        <v>7237908.6200000001</v>
      </c>
      <c r="L1068" s="46">
        <v>14519029.34</v>
      </c>
      <c r="M1068" s="46"/>
      <c r="N1068" s="46"/>
    </row>
    <row r="1069" spans="5:14" x14ac:dyDescent="0.2">
      <c r="E1069" s="46">
        <v>64665.21</v>
      </c>
      <c r="F1069" s="46">
        <v>313861.58</v>
      </c>
      <c r="G1069" s="46">
        <v>702070.52</v>
      </c>
      <c r="H1069" s="46">
        <v>691415.06</v>
      </c>
      <c r="I1069" s="46">
        <v>988867.13</v>
      </c>
      <c r="J1069" s="46">
        <v>677996.13</v>
      </c>
      <c r="K1069" s="46">
        <v>1252812.97</v>
      </c>
      <c r="L1069" s="46">
        <v>1320440.7</v>
      </c>
      <c r="M1069" s="46"/>
      <c r="N1069" s="46"/>
    </row>
    <row r="1070" spans="5:14" x14ac:dyDescent="0.2">
      <c r="E1070" s="46">
        <v>60884.63</v>
      </c>
      <c r="F1070" s="46">
        <v>412552.75</v>
      </c>
      <c r="G1070" s="46">
        <v>598603.64</v>
      </c>
      <c r="H1070" s="46">
        <v>889763.36</v>
      </c>
      <c r="I1070" s="46">
        <v>595307.16</v>
      </c>
      <c r="J1070" s="46">
        <v>1560276.86</v>
      </c>
      <c r="K1070" s="46">
        <v>1860866.1</v>
      </c>
      <c r="L1070" s="46">
        <v>3572313.92</v>
      </c>
      <c r="M1070" s="46"/>
      <c r="N1070" s="46"/>
    </row>
    <row r="1071" spans="5:14" x14ac:dyDescent="0.2">
      <c r="E1071" s="46">
        <v>48046.33</v>
      </c>
      <c r="F1071" s="46">
        <v>165635.01</v>
      </c>
      <c r="G1071" s="46">
        <v>361213.13</v>
      </c>
      <c r="H1071" s="46">
        <v>1075807.8500000001</v>
      </c>
      <c r="I1071" s="46">
        <v>1522494.53</v>
      </c>
      <c r="J1071" s="46">
        <v>2947660.94</v>
      </c>
      <c r="K1071" s="46">
        <v>3046134.16</v>
      </c>
      <c r="L1071" s="46">
        <v>8505208.7899999991</v>
      </c>
      <c r="M1071" s="46"/>
      <c r="N1071" s="46"/>
    </row>
    <row r="1072" spans="5:14" x14ac:dyDescent="0.2">
      <c r="E1072" s="46">
        <v>51305.82</v>
      </c>
      <c r="F1072" s="46">
        <v>131661.20000000001</v>
      </c>
      <c r="G1072" s="46">
        <v>284432.06</v>
      </c>
      <c r="H1072" s="46">
        <v>467883.49</v>
      </c>
      <c r="I1072" s="46">
        <v>920577.84</v>
      </c>
      <c r="J1072" s="46">
        <v>1603613.13</v>
      </c>
      <c r="K1072" s="46">
        <v>4706959.51</v>
      </c>
      <c r="L1072" s="46">
        <v>16588657.039999999</v>
      </c>
      <c r="M1072" s="46"/>
      <c r="N1072" s="46"/>
    </row>
    <row r="1073" spans="5:14" x14ac:dyDescent="0.2">
      <c r="E1073" s="46">
        <v>62293.72</v>
      </c>
      <c r="F1073" s="46">
        <v>133062.5</v>
      </c>
      <c r="G1073" s="46">
        <v>206596.37</v>
      </c>
      <c r="H1073" s="46">
        <v>445811.69</v>
      </c>
      <c r="I1073" s="46">
        <v>1218600.81</v>
      </c>
      <c r="J1073" s="46">
        <v>4047163.77</v>
      </c>
      <c r="K1073" s="46">
        <v>2491140.7400000002</v>
      </c>
      <c r="L1073" s="46">
        <v>3671315.77</v>
      </c>
      <c r="M1073" s="46"/>
      <c r="N1073" s="46"/>
    </row>
    <row r="1074" spans="5:14" x14ac:dyDescent="0.2">
      <c r="E1074" s="46">
        <v>35686.15</v>
      </c>
      <c r="F1074" s="46">
        <v>90109.56</v>
      </c>
      <c r="G1074" s="46">
        <v>316825.01</v>
      </c>
      <c r="H1074" s="46">
        <v>538769.06999999995</v>
      </c>
      <c r="I1074" s="46">
        <v>637843.79</v>
      </c>
      <c r="J1074" s="46">
        <v>732968.69</v>
      </c>
      <c r="K1074" s="46">
        <v>1651153.31</v>
      </c>
      <c r="L1074" s="46">
        <v>822821.94</v>
      </c>
      <c r="M1074" s="46"/>
      <c r="N1074" s="46"/>
    </row>
    <row r="1075" spans="5:14" x14ac:dyDescent="0.2">
      <c r="E1075" s="46">
        <v>38667.64</v>
      </c>
      <c r="F1075" s="46">
        <v>224705.57</v>
      </c>
      <c r="G1075" s="46">
        <v>751837.92</v>
      </c>
      <c r="H1075" s="46">
        <v>1854641.36</v>
      </c>
      <c r="I1075" s="46">
        <v>3076883.72</v>
      </c>
      <c r="J1075" s="46">
        <v>4088137.71</v>
      </c>
      <c r="K1075" s="46">
        <v>5909322.4000000004</v>
      </c>
      <c r="L1075" s="46">
        <v>8590878.3599999994</v>
      </c>
      <c r="M1075" s="46"/>
      <c r="N1075" s="46"/>
    </row>
    <row r="1076" spans="5:14" x14ac:dyDescent="0.2">
      <c r="E1076" s="46">
        <v>56998.14</v>
      </c>
      <c r="F1076" s="46">
        <v>50643.199999999997</v>
      </c>
      <c r="G1076" s="46">
        <v>173797.22</v>
      </c>
      <c r="H1076" s="46">
        <v>290147.24</v>
      </c>
      <c r="I1076" s="46">
        <v>163351.6</v>
      </c>
      <c r="J1076" s="46">
        <v>483060.18</v>
      </c>
      <c r="K1076" s="46">
        <v>929038.27</v>
      </c>
      <c r="L1076" s="46">
        <v>1116508.1000000001</v>
      </c>
      <c r="M1076" s="46"/>
      <c r="N1076" s="46"/>
    </row>
    <row r="1077" spans="5:14" x14ac:dyDescent="0.2">
      <c r="E1077" s="46">
        <v>62352.25</v>
      </c>
      <c r="F1077" s="46">
        <v>385115.35</v>
      </c>
      <c r="G1077" s="46">
        <v>825026.01</v>
      </c>
      <c r="H1077" s="46">
        <v>822614.56</v>
      </c>
      <c r="I1077" s="46">
        <v>1069246.1299999999</v>
      </c>
      <c r="J1077" s="46">
        <v>1059946.5</v>
      </c>
      <c r="K1077" s="46">
        <v>991963.84</v>
      </c>
      <c r="L1077" s="46">
        <v>3075608.44</v>
      </c>
      <c r="M1077" s="46"/>
      <c r="N1077" s="46"/>
    </row>
    <row r="1078" spans="5:14" x14ac:dyDescent="0.2">
      <c r="E1078" s="46">
        <v>48766.41</v>
      </c>
      <c r="F1078" s="46">
        <v>114732.07</v>
      </c>
      <c r="G1078" s="46">
        <v>229129.17</v>
      </c>
      <c r="H1078" s="46">
        <v>275300.46999999997</v>
      </c>
      <c r="I1078" s="46">
        <v>438534.06</v>
      </c>
      <c r="J1078" s="46">
        <v>819139.66</v>
      </c>
      <c r="K1078" s="46">
        <v>1326180.57</v>
      </c>
      <c r="L1078" s="46">
        <v>1761009.43</v>
      </c>
      <c r="M1078" s="46"/>
      <c r="N1078" s="46"/>
    </row>
    <row r="1079" spans="5:14" x14ac:dyDescent="0.2">
      <c r="E1079" s="46">
        <v>42036.05</v>
      </c>
      <c r="F1079" s="46">
        <v>128697.08</v>
      </c>
      <c r="G1079" s="46">
        <v>401715.92</v>
      </c>
      <c r="H1079" s="46">
        <v>621021.74</v>
      </c>
      <c r="I1079" s="46">
        <v>735887.85</v>
      </c>
      <c r="J1079" s="46">
        <v>2603867.79</v>
      </c>
      <c r="K1079" s="46">
        <v>7197250.8700000001</v>
      </c>
      <c r="L1079" s="46">
        <v>10251413.560000001</v>
      </c>
      <c r="M1079" s="46"/>
      <c r="N1079" s="46"/>
    </row>
    <row r="1080" spans="5:14" x14ac:dyDescent="0.2">
      <c r="E1080" s="46">
        <v>45022.98</v>
      </c>
      <c r="F1080" s="46">
        <v>184151.91</v>
      </c>
      <c r="G1080" s="46">
        <v>353230.77</v>
      </c>
      <c r="H1080" s="46">
        <v>440928.86</v>
      </c>
      <c r="I1080" s="46">
        <v>923460.61</v>
      </c>
      <c r="J1080" s="46">
        <v>2729990.4</v>
      </c>
      <c r="K1080" s="46">
        <v>4061646.23</v>
      </c>
      <c r="L1080" s="46">
        <v>2450431.15</v>
      </c>
      <c r="M1080" s="46"/>
      <c r="N1080" s="46"/>
    </row>
    <row r="1081" spans="5:14" x14ac:dyDescent="0.2">
      <c r="E1081" s="46">
        <v>93296.72</v>
      </c>
      <c r="F1081" s="46">
        <v>256437.55</v>
      </c>
      <c r="G1081" s="46">
        <v>416388.14</v>
      </c>
      <c r="H1081" s="46">
        <v>416095.37</v>
      </c>
      <c r="I1081" s="46">
        <v>676754.08</v>
      </c>
      <c r="J1081" s="46">
        <v>900250.16</v>
      </c>
      <c r="K1081" s="46">
        <v>1305227.72</v>
      </c>
      <c r="L1081" s="46">
        <v>2256610.61</v>
      </c>
      <c r="M1081" s="46"/>
      <c r="N1081" s="46"/>
    </row>
    <row r="1082" spans="5:14" x14ac:dyDescent="0.2">
      <c r="E1082" s="46">
        <v>53216.62</v>
      </c>
      <c r="F1082" s="46">
        <v>262619.76</v>
      </c>
      <c r="G1082" s="46">
        <v>632500.80000000005</v>
      </c>
      <c r="H1082" s="46">
        <v>1228501.98</v>
      </c>
      <c r="I1082" s="46">
        <v>1255474.49</v>
      </c>
      <c r="J1082" s="46">
        <v>1705493.23</v>
      </c>
      <c r="K1082" s="46">
        <v>3133059.65</v>
      </c>
      <c r="L1082" s="46">
        <v>4984392.57</v>
      </c>
      <c r="M1082" s="46"/>
      <c r="N1082" s="46"/>
    </row>
    <row r="1083" spans="5:14" x14ac:dyDescent="0.2">
      <c r="E1083" s="46">
        <v>64773.89</v>
      </c>
      <c r="F1083" s="46">
        <v>176376.25</v>
      </c>
      <c r="G1083" s="46">
        <v>671177.63</v>
      </c>
      <c r="H1083" s="46">
        <v>2060641.31</v>
      </c>
      <c r="I1083" s="46">
        <v>2361848.06</v>
      </c>
      <c r="J1083" s="46">
        <v>6308607.8099999996</v>
      </c>
      <c r="K1083" s="46">
        <v>8422755.7899999991</v>
      </c>
      <c r="L1083" s="46">
        <v>32017710.420000002</v>
      </c>
      <c r="M1083" s="46"/>
      <c r="N1083" s="46"/>
    </row>
    <row r="1084" spans="5:14" x14ac:dyDescent="0.2">
      <c r="E1084" s="46">
        <v>31757.54</v>
      </c>
      <c r="F1084" s="46">
        <v>59866.04</v>
      </c>
      <c r="G1084" s="46">
        <v>222699.87</v>
      </c>
      <c r="H1084" s="46">
        <v>373540.64</v>
      </c>
      <c r="I1084" s="46">
        <v>559627.09</v>
      </c>
      <c r="J1084" s="46">
        <v>827028.74</v>
      </c>
      <c r="K1084" s="46">
        <v>651662.91</v>
      </c>
      <c r="L1084" s="46">
        <v>888656.76</v>
      </c>
      <c r="M1084" s="46"/>
      <c r="N1084" s="46"/>
    </row>
    <row r="1085" spans="5:14" x14ac:dyDescent="0.2">
      <c r="E1085" s="46">
        <v>68850.570000000007</v>
      </c>
      <c r="F1085" s="46">
        <v>236007.89</v>
      </c>
      <c r="G1085" s="46">
        <v>590854.06999999995</v>
      </c>
      <c r="H1085" s="46">
        <v>1437172.87</v>
      </c>
      <c r="I1085" s="46">
        <v>3921195.11</v>
      </c>
      <c r="J1085" s="46">
        <v>4927730.84</v>
      </c>
      <c r="K1085" s="46">
        <v>5855342.5700000003</v>
      </c>
      <c r="L1085" s="46">
        <v>13032350.560000001</v>
      </c>
      <c r="M1085" s="46"/>
      <c r="N1085" s="46"/>
    </row>
    <row r="1086" spans="5:14" x14ac:dyDescent="0.2">
      <c r="E1086" s="46">
        <v>83294.12</v>
      </c>
      <c r="F1086" s="46">
        <v>210889.1</v>
      </c>
      <c r="G1086" s="46">
        <v>502879.54</v>
      </c>
      <c r="H1086" s="46">
        <v>325162.11</v>
      </c>
      <c r="I1086" s="46">
        <v>848638.72</v>
      </c>
      <c r="J1086" s="46">
        <v>705556.96</v>
      </c>
      <c r="K1086" s="46">
        <v>695268.52</v>
      </c>
      <c r="L1086" s="46">
        <v>787253.79</v>
      </c>
      <c r="M1086" s="46"/>
      <c r="N1086" s="46"/>
    </row>
    <row r="1087" spans="5:14" x14ac:dyDescent="0.2">
      <c r="E1087" s="46">
        <v>56714.18</v>
      </c>
      <c r="F1087" s="46">
        <v>212479.78</v>
      </c>
      <c r="G1087" s="46">
        <v>534640.62</v>
      </c>
      <c r="H1087" s="46">
        <v>1670476.4</v>
      </c>
      <c r="I1087" s="46">
        <v>2640586.86</v>
      </c>
      <c r="J1087" s="46">
        <v>2521364.79</v>
      </c>
      <c r="K1087" s="46">
        <v>6893146.8499999996</v>
      </c>
      <c r="L1087" s="46">
        <v>15776970.550000001</v>
      </c>
      <c r="M1087" s="46"/>
      <c r="N1087" s="46"/>
    </row>
    <row r="1088" spans="5:14" x14ac:dyDescent="0.2">
      <c r="E1088" s="46">
        <v>59554.28</v>
      </c>
      <c r="F1088" s="46">
        <v>263762.11</v>
      </c>
      <c r="G1088" s="46">
        <v>462398.64</v>
      </c>
      <c r="H1088" s="46">
        <v>355926.8</v>
      </c>
      <c r="I1088" s="46">
        <v>1040906.03</v>
      </c>
      <c r="J1088" s="46">
        <v>832623.78</v>
      </c>
      <c r="K1088" s="46">
        <v>1239781.77</v>
      </c>
      <c r="L1088" s="46">
        <v>1799809.03</v>
      </c>
      <c r="M1088" s="46"/>
      <c r="N1088" s="46"/>
    </row>
    <row r="1089" spans="5:14" x14ac:dyDescent="0.2">
      <c r="E1089" s="46">
        <v>68594.58</v>
      </c>
      <c r="F1089" s="46">
        <v>120441.61</v>
      </c>
      <c r="G1089" s="46">
        <v>218802.54</v>
      </c>
      <c r="H1089" s="46">
        <v>253776.54</v>
      </c>
      <c r="I1089" s="46">
        <v>509445.01</v>
      </c>
      <c r="J1089" s="46">
        <v>786872.1</v>
      </c>
      <c r="K1089" s="46">
        <v>854320.58</v>
      </c>
      <c r="L1089" s="46">
        <v>2168935.46</v>
      </c>
      <c r="M1089" s="46"/>
      <c r="N1089" s="46"/>
    </row>
    <row r="1090" spans="5:14" x14ac:dyDescent="0.2">
      <c r="E1090" s="46">
        <v>51046.94</v>
      </c>
      <c r="F1090" s="46">
        <v>213899.9</v>
      </c>
      <c r="G1090" s="46">
        <v>926485.82</v>
      </c>
      <c r="H1090" s="46">
        <v>2160694.65</v>
      </c>
      <c r="I1090" s="46">
        <v>5742834.3300000001</v>
      </c>
      <c r="J1090" s="46">
        <v>8764667.5999999996</v>
      </c>
      <c r="K1090" s="46">
        <v>15400001.220000001</v>
      </c>
      <c r="L1090" s="46">
        <v>56272664.140000001</v>
      </c>
      <c r="M1090" s="46"/>
      <c r="N1090" s="46"/>
    </row>
    <row r="1091" spans="5:14" x14ac:dyDescent="0.2">
      <c r="E1091" s="46">
        <v>55147.27</v>
      </c>
      <c r="F1091" s="46">
        <v>73049.77</v>
      </c>
      <c r="G1091" s="46">
        <v>142162.79</v>
      </c>
      <c r="H1091" s="46">
        <v>268796.24</v>
      </c>
      <c r="I1091" s="46">
        <v>354302.02</v>
      </c>
      <c r="J1091" s="46">
        <v>902958.64</v>
      </c>
      <c r="K1091" s="46">
        <v>753575.29</v>
      </c>
      <c r="L1091" s="46">
        <v>523833.86</v>
      </c>
      <c r="M1091" s="46"/>
      <c r="N1091" s="46"/>
    </row>
    <row r="1092" spans="5:14" x14ac:dyDescent="0.2">
      <c r="E1092" s="46">
        <v>50641.120000000003</v>
      </c>
      <c r="F1092" s="46">
        <v>117642.98</v>
      </c>
      <c r="G1092" s="46">
        <v>127935.82</v>
      </c>
      <c r="H1092" s="46">
        <v>337627.47</v>
      </c>
      <c r="I1092" s="46">
        <v>1369399.13</v>
      </c>
      <c r="J1092" s="46">
        <v>1833633.78</v>
      </c>
      <c r="K1092" s="46">
        <v>3445534.43</v>
      </c>
      <c r="L1092" s="46">
        <v>12316512.6</v>
      </c>
      <c r="M1092" s="46"/>
      <c r="N1092" s="46"/>
    </row>
    <row r="1093" spans="5:14" x14ac:dyDescent="0.2">
      <c r="E1093" s="46">
        <v>53134.65</v>
      </c>
      <c r="F1093" s="46">
        <v>88725.63</v>
      </c>
      <c r="G1093" s="46">
        <v>227238.73</v>
      </c>
      <c r="H1093" s="46">
        <v>190073.65</v>
      </c>
      <c r="I1093" s="46">
        <v>313221.77</v>
      </c>
      <c r="J1093" s="46">
        <v>641691.63</v>
      </c>
      <c r="K1093" s="46">
        <v>1557469.93</v>
      </c>
      <c r="L1093" s="46">
        <v>4870479.87</v>
      </c>
      <c r="M1093" s="46"/>
      <c r="N1093" s="46"/>
    </row>
    <row r="1094" spans="5:14" x14ac:dyDescent="0.2">
      <c r="E1094" s="46">
        <v>64401.74</v>
      </c>
      <c r="F1094" s="46">
        <v>101052.47</v>
      </c>
      <c r="G1094" s="46">
        <v>275728.2</v>
      </c>
      <c r="H1094" s="46">
        <v>402960.99</v>
      </c>
      <c r="I1094" s="46">
        <v>1175226.5</v>
      </c>
      <c r="J1094" s="46">
        <v>2306939.16</v>
      </c>
      <c r="K1094" s="46">
        <v>2311719.7599999998</v>
      </c>
      <c r="L1094" s="46">
        <v>2797557.15</v>
      </c>
      <c r="M1094" s="46"/>
      <c r="N1094" s="46"/>
    </row>
    <row r="1095" spans="5:14" x14ac:dyDescent="0.2">
      <c r="E1095" s="46">
        <v>83639.350000000006</v>
      </c>
      <c r="F1095" s="46">
        <v>121098.96</v>
      </c>
      <c r="G1095" s="46">
        <v>256065.1</v>
      </c>
      <c r="H1095" s="46">
        <v>308842.53000000003</v>
      </c>
      <c r="I1095" s="46">
        <v>565532.32999999996</v>
      </c>
      <c r="J1095" s="46">
        <v>801463.08</v>
      </c>
      <c r="K1095" s="46">
        <v>909218.9</v>
      </c>
      <c r="L1095" s="46">
        <v>1803449.09</v>
      </c>
      <c r="M1095" s="46"/>
      <c r="N1095" s="46"/>
    </row>
    <row r="1096" spans="5:14" x14ac:dyDescent="0.2">
      <c r="E1096" s="46">
        <v>94061.3</v>
      </c>
      <c r="F1096" s="46">
        <v>245246.19</v>
      </c>
      <c r="G1096" s="46">
        <v>475753.23</v>
      </c>
      <c r="H1096" s="46">
        <v>577970.31000000006</v>
      </c>
      <c r="I1096" s="46">
        <v>1352960.84</v>
      </c>
      <c r="J1096" s="46">
        <v>1357364.27</v>
      </c>
      <c r="K1096" s="46">
        <v>1016902.86</v>
      </c>
      <c r="L1096" s="46">
        <v>1387482.16</v>
      </c>
      <c r="M1096" s="46"/>
      <c r="N1096" s="46"/>
    </row>
    <row r="1097" spans="5:14" x14ac:dyDescent="0.2">
      <c r="E1097" s="46">
        <v>35855.9</v>
      </c>
      <c r="F1097" s="46">
        <v>110129.19</v>
      </c>
      <c r="G1097" s="46">
        <v>316205.43</v>
      </c>
      <c r="H1097" s="46">
        <v>421806.77</v>
      </c>
      <c r="I1097" s="46">
        <v>2071762.65</v>
      </c>
      <c r="J1097" s="46">
        <v>3979473.81</v>
      </c>
      <c r="K1097" s="46">
        <v>7617242.1200000001</v>
      </c>
      <c r="L1097" s="46">
        <v>13097718.75</v>
      </c>
      <c r="M1097" s="46"/>
      <c r="N1097" s="46"/>
    </row>
    <row r="1098" spans="5:14" x14ac:dyDescent="0.2">
      <c r="E1098" s="46">
        <v>40118.559999999998</v>
      </c>
      <c r="F1098" s="46">
        <v>183270.2</v>
      </c>
      <c r="G1098" s="46">
        <v>438729.54</v>
      </c>
      <c r="H1098" s="46">
        <v>423929.41</v>
      </c>
      <c r="I1098" s="46">
        <v>1843660.26</v>
      </c>
      <c r="J1098" s="46">
        <v>3553095.95</v>
      </c>
      <c r="K1098" s="46">
        <v>4936215.21</v>
      </c>
      <c r="L1098" s="46">
        <v>8895095.1999999993</v>
      </c>
      <c r="M1098" s="46"/>
      <c r="N1098" s="46"/>
    </row>
    <row r="1099" spans="5:14" x14ac:dyDescent="0.2">
      <c r="E1099" s="46">
        <v>43541.21</v>
      </c>
      <c r="F1099" s="46">
        <v>154430.38</v>
      </c>
      <c r="G1099" s="46">
        <v>273366.15000000002</v>
      </c>
      <c r="H1099" s="46">
        <v>546487.32999999996</v>
      </c>
      <c r="I1099" s="46">
        <v>913199.78</v>
      </c>
      <c r="J1099" s="46">
        <v>2391157.38</v>
      </c>
      <c r="K1099" s="46">
        <v>6885955.8300000001</v>
      </c>
      <c r="L1099" s="46">
        <v>11469842.6</v>
      </c>
      <c r="M1099" s="46"/>
      <c r="N1099" s="46"/>
    </row>
    <row r="1100" spans="5:14" x14ac:dyDescent="0.2">
      <c r="E1100" s="46">
        <v>88675.39</v>
      </c>
      <c r="F1100" s="46">
        <v>147063.62</v>
      </c>
      <c r="G1100" s="46">
        <v>381060.58</v>
      </c>
      <c r="H1100" s="46">
        <v>1460668.94</v>
      </c>
      <c r="I1100" s="46">
        <v>1736061.4</v>
      </c>
      <c r="J1100" s="46">
        <v>3658752.06</v>
      </c>
      <c r="K1100" s="46">
        <v>6103613.4699999997</v>
      </c>
      <c r="L1100" s="46">
        <v>16142602.609999999</v>
      </c>
      <c r="M1100" s="46"/>
      <c r="N1100" s="46"/>
    </row>
    <row r="1101" spans="5:14" x14ac:dyDescent="0.2">
      <c r="E1101" s="46">
        <v>71698.27</v>
      </c>
      <c r="F1101" s="46">
        <v>254803.53</v>
      </c>
      <c r="G1101" s="46">
        <v>383836.07</v>
      </c>
      <c r="H1101" s="46">
        <v>767618.63</v>
      </c>
      <c r="I1101" s="46">
        <v>1099065.49</v>
      </c>
      <c r="J1101" s="46">
        <v>1928368.46</v>
      </c>
      <c r="K1101" s="46">
        <v>3987307.04</v>
      </c>
      <c r="L1101" s="46">
        <v>8054878.2000000002</v>
      </c>
      <c r="M1101" s="46"/>
      <c r="N1101" s="46"/>
    </row>
    <row r="1102" spans="5:14" x14ac:dyDescent="0.2">
      <c r="E1102" s="46">
        <v>66939.8</v>
      </c>
      <c r="F1102" s="46">
        <v>183198.35</v>
      </c>
      <c r="G1102" s="46">
        <v>277760.76</v>
      </c>
      <c r="H1102" s="46">
        <v>617992.27</v>
      </c>
      <c r="I1102" s="46">
        <v>1093896.33</v>
      </c>
      <c r="J1102" s="46">
        <v>1664053.35</v>
      </c>
      <c r="K1102" s="46">
        <v>4857945.53</v>
      </c>
      <c r="L1102" s="46">
        <v>19904263.079999998</v>
      </c>
      <c r="M1102" s="46"/>
      <c r="N1102" s="46"/>
    </row>
    <row r="1103" spans="5:14" x14ac:dyDescent="0.2">
      <c r="E1103" s="46">
        <v>33382.78</v>
      </c>
      <c r="F1103" s="46">
        <v>61842.78</v>
      </c>
      <c r="G1103" s="46">
        <v>255679.57</v>
      </c>
      <c r="H1103" s="46">
        <v>641093.5</v>
      </c>
      <c r="I1103" s="46">
        <v>1018591.54</v>
      </c>
      <c r="J1103" s="46">
        <v>2010506.78</v>
      </c>
      <c r="K1103" s="46">
        <v>3769920.94</v>
      </c>
      <c r="L1103" s="46">
        <v>6677764.4500000002</v>
      </c>
      <c r="M1103" s="46"/>
      <c r="N1103" s="46"/>
    </row>
    <row r="1104" spans="5:14" x14ac:dyDescent="0.2">
      <c r="E1104" s="46">
        <v>49813.97</v>
      </c>
      <c r="F1104" s="46">
        <v>87081.57</v>
      </c>
      <c r="G1104" s="46">
        <v>435365.2</v>
      </c>
      <c r="H1104" s="46">
        <v>1460948</v>
      </c>
      <c r="I1104" s="46">
        <v>2898129.79</v>
      </c>
      <c r="J1104" s="46">
        <v>5763226.9500000002</v>
      </c>
      <c r="K1104" s="46">
        <v>7288420.21</v>
      </c>
      <c r="L1104" s="46">
        <v>9705195.3399999999</v>
      </c>
      <c r="M1104" s="46"/>
      <c r="N1104" s="46"/>
    </row>
    <row r="1105" spans="5:14" x14ac:dyDescent="0.2">
      <c r="E1105" s="46">
        <v>57249.74</v>
      </c>
      <c r="F1105" s="46">
        <v>113014.03</v>
      </c>
      <c r="G1105" s="46">
        <v>506900.04</v>
      </c>
      <c r="H1105" s="46">
        <v>758368.49</v>
      </c>
      <c r="I1105" s="46">
        <v>1327085.05</v>
      </c>
      <c r="J1105" s="46">
        <v>2126850.4700000002</v>
      </c>
      <c r="K1105" s="46">
        <v>4857262.1500000004</v>
      </c>
      <c r="L1105" s="46">
        <v>8967624.9600000009</v>
      </c>
      <c r="M1105" s="46"/>
      <c r="N1105" s="46"/>
    </row>
    <row r="1106" spans="5:14" x14ac:dyDescent="0.2">
      <c r="E1106" s="46">
        <v>54902.2</v>
      </c>
      <c r="F1106" s="46">
        <v>112033.25</v>
      </c>
      <c r="G1106" s="46">
        <v>423441.45</v>
      </c>
      <c r="H1106" s="46">
        <v>672971.92</v>
      </c>
      <c r="I1106" s="46">
        <v>569295.37</v>
      </c>
      <c r="J1106" s="46">
        <v>1721672.56</v>
      </c>
      <c r="K1106" s="46">
        <v>1678937.3</v>
      </c>
      <c r="L1106" s="46">
        <v>2760198.39</v>
      </c>
      <c r="M1106" s="46"/>
      <c r="N1106" s="46"/>
    </row>
    <row r="1107" spans="5:14" x14ac:dyDescent="0.2">
      <c r="E1107" s="46">
        <v>41789.82</v>
      </c>
      <c r="F1107" s="46">
        <v>202583.28</v>
      </c>
      <c r="G1107" s="46">
        <v>594747.41</v>
      </c>
      <c r="H1107" s="46">
        <v>1073639.56</v>
      </c>
      <c r="I1107" s="46">
        <v>1938665.48</v>
      </c>
      <c r="J1107" s="46">
        <v>2189306.81</v>
      </c>
      <c r="K1107" s="46">
        <v>3215858.63</v>
      </c>
      <c r="L1107" s="46">
        <v>4340879.82</v>
      </c>
      <c r="M1107" s="46"/>
      <c r="N1107" s="46"/>
    </row>
    <row r="1108" spans="5:14" x14ac:dyDescent="0.2">
      <c r="E1108" s="46">
        <v>65131</v>
      </c>
      <c r="F1108" s="46">
        <v>308282.42</v>
      </c>
      <c r="G1108" s="46">
        <v>656582.91</v>
      </c>
      <c r="H1108" s="46">
        <v>919473.61</v>
      </c>
      <c r="I1108" s="46">
        <v>2199788.9300000002</v>
      </c>
      <c r="J1108" s="46">
        <v>2367230.7000000002</v>
      </c>
      <c r="K1108" s="46">
        <v>4661773.6100000003</v>
      </c>
      <c r="L1108" s="46">
        <v>10814428.449999999</v>
      </c>
      <c r="M1108" s="46"/>
      <c r="N1108" s="46"/>
    </row>
    <row r="1109" spans="5:14" x14ac:dyDescent="0.2">
      <c r="E1109" s="46">
        <v>59898.25</v>
      </c>
      <c r="F1109" s="46">
        <v>144486.56</v>
      </c>
      <c r="G1109" s="46">
        <v>330665.12</v>
      </c>
      <c r="H1109" s="46">
        <v>881213.14</v>
      </c>
      <c r="I1109" s="46">
        <v>2662915.11</v>
      </c>
      <c r="J1109" s="46">
        <v>8231144.5999999996</v>
      </c>
      <c r="K1109" s="46">
        <v>19760015.280000001</v>
      </c>
      <c r="L1109" s="46">
        <v>61223064.170000002</v>
      </c>
      <c r="M1109" s="46"/>
      <c r="N1109" s="46"/>
    </row>
    <row r="1110" spans="5:14" x14ac:dyDescent="0.2">
      <c r="E1110" s="46">
        <v>62420.82</v>
      </c>
      <c r="F1110" s="46">
        <v>140849.46</v>
      </c>
      <c r="G1110" s="46">
        <v>680826.42</v>
      </c>
      <c r="H1110" s="46">
        <v>1149757.9099999999</v>
      </c>
      <c r="I1110" s="46">
        <v>2133532.77</v>
      </c>
      <c r="J1110" s="46">
        <v>4266270.3499999996</v>
      </c>
      <c r="K1110" s="46">
        <v>14734959.73</v>
      </c>
      <c r="L1110" s="46">
        <v>17814560.629999999</v>
      </c>
      <c r="M1110" s="46"/>
      <c r="N1110" s="46"/>
    </row>
    <row r="1111" spans="5:14" x14ac:dyDescent="0.2">
      <c r="E1111" s="46">
        <v>43197.16</v>
      </c>
      <c r="F1111" s="46">
        <v>137396.17000000001</v>
      </c>
      <c r="G1111" s="46">
        <v>170843.13</v>
      </c>
      <c r="H1111" s="46">
        <v>1154136.95</v>
      </c>
      <c r="I1111" s="46">
        <v>2595092.36</v>
      </c>
      <c r="J1111" s="46">
        <v>3951492.29</v>
      </c>
      <c r="K1111" s="46">
        <v>4602961.26</v>
      </c>
      <c r="L1111" s="46">
        <v>12362857.140000001</v>
      </c>
      <c r="M1111" s="46"/>
      <c r="N1111" s="46"/>
    </row>
    <row r="1112" spans="5:14" x14ac:dyDescent="0.2">
      <c r="E1112" s="46">
        <v>53352.36</v>
      </c>
      <c r="F1112" s="46">
        <v>129047.93</v>
      </c>
      <c r="G1112" s="46">
        <v>344637.24</v>
      </c>
      <c r="H1112" s="46">
        <v>579446.1</v>
      </c>
      <c r="I1112" s="46">
        <v>1077298.79</v>
      </c>
      <c r="J1112" s="46">
        <v>1662023.67</v>
      </c>
      <c r="K1112" s="46">
        <v>2667915.29</v>
      </c>
      <c r="L1112" s="46">
        <v>6301591.5499999998</v>
      </c>
      <c r="M1112" s="46"/>
      <c r="N1112" s="46"/>
    </row>
    <row r="1113" spans="5:14" x14ac:dyDescent="0.2">
      <c r="E1113" s="46">
        <v>30153.8</v>
      </c>
      <c r="F1113" s="46">
        <v>151763.47</v>
      </c>
      <c r="G1113" s="46">
        <v>234608.77</v>
      </c>
      <c r="H1113" s="46">
        <v>384880.1</v>
      </c>
      <c r="I1113" s="46">
        <v>463772.71</v>
      </c>
      <c r="J1113" s="46">
        <v>623705.21</v>
      </c>
      <c r="K1113" s="46">
        <v>2246885.54</v>
      </c>
      <c r="L1113" s="46">
        <v>6587473.8499999996</v>
      </c>
      <c r="M1113" s="46"/>
      <c r="N1113" s="46"/>
    </row>
    <row r="1114" spans="5:14" x14ac:dyDescent="0.2">
      <c r="E1114" s="46">
        <v>33506.61</v>
      </c>
      <c r="F1114" s="46">
        <v>64153.91</v>
      </c>
      <c r="G1114" s="46">
        <v>170549.18</v>
      </c>
      <c r="H1114" s="46">
        <v>397079.18</v>
      </c>
      <c r="I1114" s="46">
        <v>596508.97</v>
      </c>
      <c r="J1114" s="46">
        <v>504680.45</v>
      </c>
      <c r="K1114" s="46">
        <v>1349431.81</v>
      </c>
      <c r="L1114" s="46">
        <v>2278824.6800000002</v>
      </c>
      <c r="M1114" s="46"/>
      <c r="N1114" s="46"/>
    </row>
    <row r="1115" spans="5:14" x14ac:dyDescent="0.2">
      <c r="E1115" s="46">
        <v>36407.78</v>
      </c>
      <c r="F1115" s="46">
        <v>107357.28</v>
      </c>
      <c r="G1115" s="46">
        <v>216584.54</v>
      </c>
      <c r="H1115" s="46">
        <v>1087081.5</v>
      </c>
      <c r="I1115" s="46">
        <v>1742169.24</v>
      </c>
      <c r="J1115" s="46">
        <v>2882935.84</v>
      </c>
      <c r="K1115" s="46">
        <v>3816228.01</v>
      </c>
      <c r="L1115" s="46">
        <v>9915820.1799999997</v>
      </c>
      <c r="M1115" s="46"/>
      <c r="N1115" s="46"/>
    </row>
    <row r="1116" spans="5:14" x14ac:dyDescent="0.2">
      <c r="E1116" s="46">
        <v>34631.19</v>
      </c>
      <c r="F1116" s="46">
        <v>99396.59</v>
      </c>
      <c r="G1116" s="46">
        <v>190093.4</v>
      </c>
      <c r="H1116" s="46">
        <v>299885.93</v>
      </c>
      <c r="I1116" s="46">
        <v>505910.04</v>
      </c>
      <c r="J1116" s="46">
        <v>1163752.7</v>
      </c>
      <c r="K1116" s="46">
        <v>962239.13</v>
      </c>
      <c r="L1116" s="46">
        <v>1221699.26</v>
      </c>
      <c r="M1116" s="46"/>
      <c r="N1116" s="46"/>
    </row>
    <row r="1117" spans="5:14" x14ac:dyDescent="0.2">
      <c r="E1117" s="46">
        <v>47070.7</v>
      </c>
      <c r="F1117" s="46">
        <v>168927.77</v>
      </c>
      <c r="G1117" s="46">
        <v>354341.82</v>
      </c>
      <c r="H1117" s="46">
        <v>819171.43</v>
      </c>
      <c r="I1117" s="46">
        <v>957993.18</v>
      </c>
      <c r="J1117" s="46">
        <v>2843100.65</v>
      </c>
      <c r="K1117" s="46">
        <v>4601342.6399999997</v>
      </c>
      <c r="L1117" s="46">
        <v>5864658.0199999996</v>
      </c>
      <c r="M1117" s="46"/>
      <c r="N1117" s="46"/>
    </row>
    <row r="1118" spans="5:14" x14ac:dyDescent="0.2">
      <c r="E1118" s="46">
        <v>82348.710000000006</v>
      </c>
      <c r="F1118" s="46">
        <v>243776.3</v>
      </c>
      <c r="G1118" s="46">
        <v>337956.03</v>
      </c>
      <c r="H1118" s="46">
        <v>299305.78000000003</v>
      </c>
      <c r="I1118" s="46">
        <v>358897.5</v>
      </c>
      <c r="J1118" s="46">
        <v>564589.48</v>
      </c>
      <c r="K1118" s="46">
        <v>826734.85</v>
      </c>
      <c r="L1118" s="46">
        <v>2033756.51</v>
      </c>
      <c r="M1118" s="46"/>
      <c r="N1118" s="46"/>
    </row>
    <row r="1119" spans="5:14" x14ac:dyDescent="0.2">
      <c r="E1119" s="46">
        <v>56861.59</v>
      </c>
      <c r="F1119" s="46">
        <v>177922.84</v>
      </c>
      <c r="G1119" s="46">
        <v>163592.82999999999</v>
      </c>
      <c r="H1119" s="46">
        <v>476420.96</v>
      </c>
      <c r="I1119" s="46">
        <v>1762021.68</v>
      </c>
      <c r="J1119" s="46">
        <v>1790666.59</v>
      </c>
      <c r="K1119" s="46">
        <v>6630586.6399999997</v>
      </c>
      <c r="L1119" s="46">
        <v>12597926.710000001</v>
      </c>
      <c r="M1119" s="46"/>
      <c r="N1119" s="46"/>
    </row>
    <row r="1120" spans="5:14" x14ac:dyDescent="0.2">
      <c r="E1120" s="46">
        <v>53468.46</v>
      </c>
      <c r="F1120" s="46">
        <v>117700.11</v>
      </c>
      <c r="G1120" s="46">
        <v>204715.61</v>
      </c>
      <c r="H1120" s="46">
        <v>294520.32000000001</v>
      </c>
      <c r="I1120" s="46">
        <v>317257.61</v>
      </c>
      <c r="J1120" s="46">
        <v>926078.87</v>
      </c>
      <c r="K1120" s="46">
        <v>602519.56999999995</v>
      </c>
      <c r="L1120" s="46">
        <v>1017779.14</v>
      </c>
      <c r="M1120" s="46"/>
      <c r="N1120" s="46"/>
    </row>
    <row r="1121" spans="5:14" x14ac:dyDescent="0.2">
      <c r="E1121" s="46">
        <v>36969.82</v>
      </c>
      <c r="F1121" s="46">
        <v>125776.64</v>
      </c>
      <c r="G1121" s="46">
        <v>219704.33</v>
      </c>
      <c r="H1121" s="46">
        <v>358287.82</v>
      </c>
      <c r="I1121" s="46">
        <v>310596.23</v>
      </c>
      <c r="J1121" s="46">
        <v>402925.31</v>
      </c>
      <c r="K1121" s="46">
        <v>649252.02</v>
      </c>
      <c r="L1121" s="46">
        <v>1018735.17</v>
      </c>
      <c r="M1121" s="46"/>
      <c r="N1121" s="46"/>
    </row>
    <row r="1122" spans="5:14" x14ac:dyDescent="0.2">
      <c r="E1122" s="46">
        <v>38115.97</v>
      </c>
      <c r="F1122" s="46">
        <v>139103.56</v>
      </c>
      <c r="G1122" s="46">
        <v>404709.25</v>
      </c>
      <c r="H1122" s="46">
        <v>744615.47</v>
      </c>
      <c r="I1122" s="46">
        <v>1297998.6299999999</v>
      </c>
      <c r="J1122" s="46">
        <v>2457062.12</v>
      </c>
      <c r="K1122" s="46">
        <v>2289146.06</v>
      </c>
      <c r="L1122" s="46">
        <v>3172524.49</v>
      </c>
      <c r="M1122" s="46"/>
      <c r="N1122" s="46"/>
    </row>
    <row r="1123" spans="5:14" x14ac:dyDescent="0.2">
      <c r="E1123" s="46">
        <v>52777.09</v>
      </c>
      <c r="F1123" s="46">
        <v>143287.31</v>
      </c>
      <c r="G1123" s="46">
        <v>230016.53</v>
      </c>
      <c r="H1123" s="46">
        <v>425026.02</v>
      </c>
      <c r="I1123" s="46">
        <v>787818.36</v>
      </c>
      <c r="J1123" s="46">
        <v>1617065.54</v>
      </c>
      <c r="K1123" s="46">
        <v>3244605.25</v>
      </c>
      <c r="L1123" s="46">
        <v>4043005.6</v>
      </c>
      <c r="M1123" s="46"/>
      <c r="N1123" s="46"/>
    </row>
    <row r="1124" spans="5:14" x14ac:dyDescent="0.2">
      <c r="E1124" s="46">
        <v>60420.32</v>
      </c>
      <c r="F1124" s="46">
        <v>125242.89</v>
      </c>
      <c r="G1124" s="46">
        <v>348943.96</v>
      </c>
      <c r="H1124" s="46">
        <v>508339.66</v>
      </c>
      <c r="I1124" s="46">
        <v>851676.28</v>
      </c>
      <c r="J1124" s="46">
        <v>806747.13</v>
      </c>
      <c r="K1124" s="46">
        <v>2222666.6800000002</v>
      </c>
      <c r="L1124" s="46">
        <v>1779796.66</v>
      </c>
      <c r="M1124" s="46"/>
      <c r="N1124" s="46"/>
    </row>
    <row r="1125" spans="5:14" x14ac:dyDescent="0.2">
      <c r="E1125" s="46">
        <v>56483.87</v>
      </c>
      <c r="F1125" s="46">
        <v>179676.73</v>
      </c>
      <c r="G1125" s="46">
        <v>472106.98</v>
      </c>
      <c r="H1125" s="46">
        <v>501575.75</v>
      </c>
      <c r="I1125" s="46">
        <v>557233.92000000004</v>
      </c>
      <c r="J1125" s="46">
        <v>1394032.25</v>
      </c>
      <c r="K1125" s="46">
        <v>1503733.1</v>
      </c>
      <c r="L1125" s="46">
        <v>2104725.15</v>
      </c>
      <c r="M1125" s="46"/>
      <c r="N1125" s="46"/>
    </row>
    <row r="1126" spans="5:14" x14ac:dyDescent="0.2">
      <c r="E1126" s="46">
        <v>59939.14</v>
      </c>
      <c r="F1126" s="46">
        <v>167768.81</v>
      </c>
      <c r="G1126" s="46">
        <v>384697.77</v>
      </c>
      <c r="H1126" s="46">
        <v>448524.42</v>
      </c>
      <c r="I1126" s="46">
        <v>1134823.56</v>
      </c>
      <c r="J1126" s="46">
        <v>1258276.6200000001</v>
      </c>
      <c r="K1126" s="46">
        <v>2383905.1</v>
      </c>
      <c r="L1126" s="46">
        <v>2922324.14</v>
      </c>
      <c r="M1126" s="46"/>
      <c r="N1126" s="46"/>
    </row>
    <row r="1127" spans="5:14" x14ac:dyDescent="0.2">
      <c r="E1127" s="46">
        <v>64549.78</v>
      </c>
      <c r="F1127" s="46">
        <v>130416.56</v>
      </c>
      <c r="G1127" s="46">
        <v>374243.02</v>
      </c>
      <c r="H1127" s="46">
        <v>496621.6</v>
      </c>
      <c r="I1127" s="46">
        <v>803663.98</v>
      </c>
      <c r="J1127" s="46">
        <v>1433352.69</v>
      </c>
      <c r="K1127" s="46">
        <v>1763583.19</v>
      </c>
      <c r="L1127" s="46">
        <v>2320948.42</v>
      </c>
      <c r="M1127" s="46"/>
      <c r="N1127" s="46"/>
    </row>
    <row r="1128" spans="5:14" x14ac:dyDescent="0.2">
      <c r="E1128" s="46">
        <v>44854.41</v>
      </c>
      <c r="F1128" s="46">
        <v>140249.9</v>
      </c>
      <c r="G1128" s="46">
        <v>430071.76</v>
      </c>
      <c r="H1128" s="46">
        <v>709649.13</v>
      </c>
      <c r="I1128" s="46">
        <v>535868.71</v>
      </c>
      <c r="J1128" s="46">
        <v>1676430.14</v>
      </c>
      <c r="K1128" s="46">
        <v>4294273.1399999997</v>
      </c>
      <c r="L1128" s="46">
        <v>6327858.9800000004</v>
      </c>
      <c r="M1128" s="46"/>
      <c r="N1128" s="46"/>
    </row>
    <row r="1129" spans="5:14" x14ac:dyDescent="0.2">
      <c r="E1129" s="46">
        <v>43078.28</v>
      </c>
      <c r="F1129" s="46">
        <v>141217.09</v>
      </c>
      <c r="G1129" s="46">
        <v>581585.65</v>
      </c>
      <c r="H1129" s="46">
        <v>1702480.83</v>
      </c>
      <c r="I1129" s="46">
        <v>1894951.4</v>
      </c>
      <c r="J1129" s="46">
        <v>2491384.87</v>
      </c>
      <c r="K1129" s="46">
        <v>7503399.7800000003</v>
      </c>
      <c r="L1129" s="46">
        <v>15765889.880000001</v>
      </c>
      <c r="M1129" s="46"/>
      <c r="N1129" s="46"/>
    </row>
    <row r="1130" spans="5:14" x14ac:dyDescent="0.2">
      <c r="E1130" s="46">
        <v>58134.11</v>
      </c>
      <c r="F1130" s="46">
        <v>97759.74</v>
      </c>
      <c r="G1130" s="46">
        <v>414011.68</v>
      </c>
      <c r="H1130" s="46">
        <v>324564.06</v>
      </c>
      <c r="I1130" s="46">
        <v>438969.58</v>
      </c>
      <c r="J1130" s="46">
        <v>369878.81</v>
      </c>
      <c r="K1130" s="46">
        <v>699613.82</v>
      </c>
      <c r="L1130" s="46">
        <v>1273330.49</v>
      </c>
      <c r="M1130" s="46"/>
      <c r="N1130" s="46"/>
    </row>
    <row r="1131" spans="5:14" x14ac:dyDescent="0.2">
      <c r="E1131" s="46">
        <v>78172.259999999995</v>
      </c>
      <c r="F1131" s="46">
        <v>63556.62</v>
      </c>
      <c r="G1131" s="46">
        <v>229809.94</v>
      </c>
      <c r="H1131" s="46">
        <v>381492.89</v>
      </c>
      <c r="I1131" s="46">
        <v>809453.89</v>
      </c>
      <c r="J1131" s="46">
        <v>970126.17</v>
      </c>
      <c r="K1131" s="46">
        <v>2974909.57</v>
      </c>
      <c r="L1131" s="46">
        <v>4573703</v>
      </c>
      <c r="M1131" s="46"/>
      <c r="N1131" s="46"/>
    </row>
    <row r="1132" spans="5:14" x14ac:dyDescent="0.2">
      <c r="E1132" s="46">
        <v>52835.47</v>
      </c>
      <c r="F1132" s="46">
        <v>211145.42</v>
      </c>
      <c r="G1132" s="46">
        <v>245500.4</v>
      </c>
      <c r="H1132" s="46">
        <v>555826.06000000006</v>
      </c>
      <c r="I1132" s="46">
        <v>956518.94</v>
      </c>
      <c r="J1132" s="46">
        <v>1357425.74</v>
      </c>
      <c r="K1132" s="46">
        <v>3306768.86</v>
      </c>
      <c r="L1132" s="46">
        <v>4002640.13</v>
      </c>
      <c r="M1132" s="46"/>
      <c r="N1132" s="46"/>
    </row>
    <row r="1133" spans="5:14" x14ac:dyDescent="0.2">
      <c r="E1133" s="46">
        <v>49015.76</v>
      </c>
      <c r="F1133" s="46">
        <v>160110.57999999999</v>
      </c>
      <c r="G1133" s="46">
        <v>243006.15</v>
      </c>
      <c r="H1133" s="46">
        <v>407948.79999999999</v>
      </c>
      <c r="I1133" s="46">
        <v>647512.93000000005</v>
      </c>
      <c r="J1133" s="46">
        <v>1956447.65</v>
      </c>
      <c r="K1133" s="46">
        <v>3571231.79</v>
      </c>
      <c r="L1133" s="46">
        <v>4541460.21</v>
      </c>
      <c r="M1133" s="46"/>
      <c r="N1133" s="46"/>
    </row>
    <row r="1134" spans="5:14" x14ac:dyDescent="0.2">
      <c r="E1134" s="46">
        <v>57239.58</v>
      </c>
      <c r="F1134" s="46">
        <v>95377.63</v>
      </c>
      <c r="G1134" s="46">
        <v>195079.11</v>
      </c>
      <c r="H1134" s="46">
        <v>306019.78000000003</v>
      </c>
      <c r="I1134" s="46">
        <v>578568.37</v>
      </c>
      <c r="J1134" s="46">
        <v>951532.73</v>
      </c>
      <c r="K1134" s="46">
        <v>1197884.93</v>
      </c>
      <c r="L1134" s="46">
        <v>2814971.15</v>
      </c>
      <c r="M1134" s="46"/>
      <c r="N1134" s="46"/>
    </row>
    <row r="1135" spans="5:14" x14ac:dyDescent="0.2">
      <c r="E1135" s="46">
        <v>72950.44</v>
      </c>
      <c r="F1135" s="46">
        <v>223741.01</v>
      </c>
      <c r="G1135" s="46">
        <v>966537.39</v>
      </c>
      <c r="H1135" s="46">
        <v>1309882.1399999999</v>
      </c>
      <c r="I1135" s="46">
        <v>1928503.61</v>
      </c>
      <c r="J1135" s="46">
        <v>1944865.52</v>
      </c>
      <c r="K1135" s="46">
        <v>3472034.65</v>
      </c>
      <c r="L1135" s="46">
        <v>2240183.73</v>
      </c>
      <c r="M1135" s="46"/>
      <c r="N1135" s="46"/>
    </row>
    <row r="1136" spans="5:14" x14ac:dyDescent="0.2">
      <c r="E1136" s="46">
        <v>44946.33</v>
      </c>
      <c r="F1136" s="46">
        <v>173682.51</v>
      </c>
      <c r="G1136" s="46">
        <v>308330.87</v>
      </c>
      <c r="H1136" s="46">
        <v>1005938.12</v>
      </c>
      <c r="I1136" s="46">
        <v>2117057.33</v>
      </c>
      <c r="J1136" s="46">
        <v>1580066.51</v>
      </c>
      <c r="K1136" s="46">
        <v>2209582.9900000002</v>
      </c>
      <c r="L1136" s="46">
        <v>3381672.99</v>
      </c>
      <c r="M1136" s="46"/>
      <c r="N1136" s="46"/>
    </row>
    <row r="1137" spans="5:14" x14ac:dyDescent="0.2">
      <c r="E1137" s="46">
        <v>45128.65</v>
      </c>
      <c r="F1137" s="46">
        <v>160964.88</v>
      </c>
      <c r="G1137" s="46">
        <v>327865.44</v>
      </c>
      <c r="H1137" s="46">
        <v>509426.19</v>
      </c>
      <c r="I1137" s="46">
        <v>832501.06</v>
      </c>
      <c r="J1137" s="46">
        <v>1983029.14</v>
      </c>
      <c r="K1137" s="46">
        <v>2415646.9700000002</v>
      </c>
      <c r="L1137" s="46">
        <v>5544159.2699999996</v>
      </c>
      <c r="M1137" s="46"/>
      <c r="N1137" s="46"/>
    </row>
    <row r="1138" spans="5:14" x14ac:dyDescent="0.2">
      <c r="E1138" s="46">
        <v>39511.1</v>
      </c>
      <c r="F1138" s="46">
        <v>126659.93</v>
      </c>
      <c r="G1138" s="46">
        <v>277096.37</v>
      </c>
      <c r="H1138" s="46">
        <v>603415.39</v>
      </c>
      <c r="I1138" s="46">
        <v>812856.74</v>
      </c>
      <c r="J1138" s="46">
        <v>1414105.91</v>
      </c>
      <c r="K1138" s="46">
        <v>2977969.53</v>
      </c>
      <c r="L1138" s="46">
        <v>7460501.0999999996</v>
      </c>
      <c r="M1138" s="46"/>
      <c r="N1138" s="46"/>
    </row>
    <row r="1139" spans="5:14" x14ac:dyDescent="0.2">
      <c r="E1139" s="46">
        <v>77392.539999999994</v>
      </c>
      <c r="F1139" s="46">
        <v>165453.18</v>
      </c>
      <c r="G1139" s="46">
        <v>312122.03000000003</v>
      </c>
      <c r="H1139" s="46">
        <v>1162011.48</v>
      </c>
      <c r="I1139" s="46">
        <v>1115674.3400000001</v>
      </c>
      <c r="J1139" s="46">
        <v>1456785.32</v>
      </c>
      <c r="K1139" s="46">
        <v>1478392.92</v>
      </c>
      <c r="L1139" s="46">
        <v>4307662.2</v>
      </c>
      <c r="M1139" s="46"/>
      <c r="N1139" s="46"/>
    </row>
    <row r="1140" spans="5:14" x14ac:dyDescent="0.2">
      <c r="E1140" s="46">
        <v>41674.339999999997</v>
      </c>
      <c r="F1140" s="46">
        <v>101679.49</v>
      </c>
      <c r="G1140" s="46">
        <v>373251.69</v>
      </c>
      <c r="H1140" s="46">
        <v>400925.66</v>
      </c>
      <c r="I1140" s="46">
        <v>794072.68</v>
      </c>
      <c r="J1140" s="46">
        <v>921393.83</v>
      </c>
      <c r="K1140" s="46">
        <v>1077204.79</v>
      </c>
      <c r="L1140" s="46">
        <v>1195038.53</v>
      </c>
      <c r="M1140" s="46"/>
      <c r="N1140" s="46"/>
    </row>
    <row r="1141" spans="5:14" x14ac:dyDescent="0.2">
      <c r="E1141" s="46">
        <v>63494.64</v>
      </c>
      <c r="F1141" s="46">
        <v>195196.05</v>
      </c>
      <c r="G1141" s="46">
        <v>261334.69</v>
      </c>
      <c r="H1141" s="46">
        <v>334022.43</v>
      </c>
      <c r="I1141" s="46">
        <v>741135.03</v>
      </c>
      <c r="J1141" s="46">
        <v>1753457.84</v>
      </c>
      <c r="K1141" s="46">
        <v>5692662.0300000003</v>
      </c>
      <c r="L1141" s="46">
        <v>8931005.3499999996</v>
      </c>
      <c r="M1141" s="46"/>
      <c r="N1141" s="46"/>
    </row>
    <row r="1142" spans="5:14" x14ac:dyDescent="0.2">
      <c r="E1142" s="46">
        <v>53187.83</v>
      </c>
      <c r="F1142" s="46">
        <v>159967.92000000001</v>
      </c>
      <c r="G1142" s="46">
        <v>300612.68</v>
      </c>
      <c r="H1142" s="46">
        <v>398879.21</v>
      </c>
      <c r="I1142" s="46">
        <v>465949.44</v>
      </c>
      <c r="J1142" s="46">
        <v>315642.83</v>
      </c>
      <c r="K1142" s="46">
        <v>892698.18</v>
      </c>
      <c r="L1142" s="46">
        <v>1544408.42</v>
      </c>
      <c r="M1142" s="46"/>
      <c r="N1142" s="46"/>
    </row>
    <row r="1143" spans="5:14" x14ac:dyDescent="0.2">
      <c r="E1143" s="46">
        <v>60048.46</v>
      </c>
      <c r="F1143" s="46">
        <v>153044.51</v>
      </c>
      <c r="G1143" s="46">
        <v>235256</v>
      </c>
      <c r="H1143" s="46">
        <v>135002.75</v>
      </c>
      <c r="I1143" s="46">
        <v>346481.4</v>
      </c>
      <c r="J1143" s="46">
        <v>800722.61</v>
      </c>
      <c r="K1143" s="46">
        <v>1632810.61</v>
      </c>
      <c r="L1143" s="46">
        <v>4841199.8899999997</v>
      </c>
      <c r="M1143" s="46"/>
      <c r="N1143" s="46"/>
    </row>
    <row r="1144" spans="5:14" x14ac:dyDescent="0.2">
      <c r="E1144" s="46">
        <v>30700.28</v>
      </c>
      <c r="F1144" s="46">
        <v>68183.539999999994</v>
      </c>
      <c r="G1144" s="46">
        <v>362908.7</v>
      </c>
      <c r="H1144" s="46">
        <v>1141964.29</v>
      </c>
      <c r="I1144" s="46">
        <v>4307653.3899999997</v>
      </c>
      <c r="J1144" s="46">
        <v>4642816.66</v>
      </c>
      <c r="K1144" s="46">
        <v>6826248.2000000002</v>
      </c>
      <c r="L1144" s="46">
        <v>28454042.68</v>
      </c>
      <c r="M1144" s="46"/>
      <c r="N1144" s="46"/>
    </row>
    <row r="1145" spans="5:14" x14ac:dyDescent="0.2">
      <c r="E1145" s="46">
        <v>41556.93</v>
      </c>
      <c r="F1145" s="46">
        <v>114128.05</v>
      </c>
      <c r="G1145" s="46">
        <v>300383.15000000002</v>
      </c>
      <c r="H1145" s="46">
        <v>592236.07999999996</v>
      </c>
      <c r="I1145" s="46">
        <v>549311.53</v>
      </c>
      <c r="J1145" s="46">
        <v>865159.8</v>
      </c>
      <c r="K1145" s="46">
        <v>1378598.26</v>
      </c>
      <c r="L1145" s="46">
        <v>3201696.13</v>
      </c>
      <c r="M1145" s="46"/>
      <c r="N1145" s="46"/>
    </row>
    <row r="1146" spans="5:14" x14ac:dyDescent="0.2">
      <c r="E1146" s="46">
        <v>30648.16</v>
      </c>
      <c r="F1146" s="46">
        <v>215075.77</v>
      </c>
      <c r="G1146" s="46">
        <v>364960.96</v>
      </c>
      <c r="H1146" s="46">
        <v>1331529.77</v>
      </c>
      <c r="I1146" s="46">
        <v>2312445.2000000002</v>
      </c>
      <c r="J1146" s="46">
        <v>2663393.7000000002</v>
      </c>
      <c r="K1146" s="46">
        <v>5765369.9699999997</v>
      </c>
      <c r="L1146" s="46">
        <v>14872274.26</v>
      </c>
      <c r="M1146" s="46"/>
      <c r="N1146" s="46"/>
    </row>
    <row r="1147" spans="5:14" x14ac:dyDescent="0.2">
      <c r="E1147" s="46">
        <v>77165.86</v>
      </c>
      <c r="F1147" s="46">
        <v>305247.7</v>
      </c>
      <c r="G1147" s="46">
        <v>338179.62</v>
      </c>
      <c r="H1147" s="46">
        <v>432162.04</v>
      </c>
      <c r="I1147" s="46">
        <v>706529.23</v>
      </c>
      <c r="J1147" s="46">
        <v>993324.64</v>
      </c>
      <c r="K1147" s="46">
        <v>3035738.47</v>
      </c>
      <c r="L1147" s="46">
        <v>3082139.89</v>
      </c>
      <c r="M1147" s="46"/>
      <c r="N1147" s="46"/>
    </row>
    <row r="1148" spans="5:14" x14ac:dyDescent="0.2">
      <c r="E1148" s="46">
        <v>72607.12</v>
      </c>
      <c r="F1148" s="46">
        <v>275734.71000000002</v>
      </c>
      <c r="G1148" s="46">
        <v>257225.19</v>
      </c>
      <c r="H1148" s="46">
        <v>457069.55</v>
      </c>
      <c r="I1148" s="46">
        <v>1154897.47</v>
      </c>
      <c r="J1148" s="46">
        <v>1723366.43</v>
      </c>
      <c r="K1148" s="46">
        <v>1269641.99</v>
      </c>
      <c r="L1148" s="46">
        <v>1388405.59</v>
      </c>
      <c r="M1148" s="46"/>
      <c r="N1148" s="46"/>
    </row>
    <row r="1149" spans="5:14" x14ac:dyDescent="0.2">
      <c r="E1149" s="46">
        <v>66847.490000000005</v>
      </c>
      <c r="F1149" s="46">
        <v>210968.9</v>
      </c>
      <c r="G1149" s="46">
        <v>306552.44</v>
      </c>
      <c r="H1149" s="46">
        <v>323816.38</v>
      </c>
      <c r="I1149" s="46">
        <v>1223636.95</v>
      </c>
      <c r="J1149" s="46">
        <v>1466464.21</v>
      </c>
      <c r="K1149" s="46">
        <v>3239273.13</v>
      </c>
      <c r="L1149" s="46">
        <v>5209955.6399999997</v>
      </c>
      <c r="M1149" s="46"/>
      <c r="N1149" s="46"/>
    </row>
    <row r="1150" spans="5:14" x14ac:dyDescent="0.2">
      <c r="E1150" s="46">
        <v>52948.33</v>
      </c>
      <c r="F1150" s="46">
        <v>88381.9</v>
      </c>
      <c r="G1150" s="46">
        <v>165432.39000000001</v>
      </c>
      <c r="H1150" s="46">
        <v>379628.42</v>
      </c>
      <c r="I1150" s="46">
        <v>360885.21</v>
      </c>
      <c r="J1150" s="46">
        <v>808581.73</v>
      </c>
      <c r="K1150" s="46">
        <v>1061614.23</v>
      </c>
      <c r="L1150" s="46">
        <v>2082844</v>
      </c>
      <c r="M1150" s="46"/>
      <c r="N1150" s="46"/>
    </row>
    <row r="1151" spans="5:14" x14ac:dyDescent="0.2">
      <c r="E1151" s="46">
        <v>70454.55</v>
      </c>
      <c r="F1151" s="46">
        <v>199694.93</v>
      </c>
      <c r="G1151" s="46">
        <v>320499.11</v>
      </c>
      <c r="H1151" s="46">
        <v>515905.31</v>
      </c>
      <c r="I1151" s="46">
        <v>1424004.87</v>
      </c>
      <c r="J1151" s="46">
        <v>3294688.53</v>
      </c>
      <c r="K1151" s="46">
        <v>6251391.5099999998</v>
      </c>
      <c r="L1151" s="46">
        <v>9282708.75</v>
      </c>
      <c r="M1151" s="46"/>
      <c r="N1151" s="46"/>
    </row>
    <row r="1152" spans="5:14" x14ac:dyDescent="0.2">
      <c r="E1152" s="46">
        <v>40636.870000000003</v>
      </c>
      <c r="F1152" s="46">
        <v>110023.18</v>
      </c>
      <c r="G1152" s="46">
        <v>148406.68</v>
      </c>
      <c r="H1152" s="46">
        <v>496341.84</v>
      </c>
      <c r="I1152" s="46">
        <v>1149029.32</v>
      </c>
      <c r="J1152" s="46">
        <v>2832469.88</v>
      </c>
      <c r="K1152" s="46">
        <v>2136734.4300000002</v>
      </c>
      <c r="L1152" s="46">
        <v>2798732.67</v>
      </c>
      <c r="M1152" s="46"/>
      <c r="N1152" s="46"/>
    </row>
    <row r="1153" spans="5:14" x14ac:dyDescent="0.2">
      <c r="E1153" s="46">
        <v>68139.679999999993</v>
      </c>
      <c r="F1153" s="46">
        <v>130387.65</v>
      </c>
      <c r="G1153" s="46">
        <v>251441.93</v>
      </c>
      <c r="H1153" s="46">
        <v>543380.01</v>
      </c>
      <c r="I1153" s="46">
        <v>591854.06999999995</v>
      </c>
      <c r="J1153" s="46">
        <v>594658.55000000005</v>
      </c>
      <c r="K1153" s="46">
        <v>369947.4</v>
      </c>
      <c r="L1153" s="46">
        <v>523667.56</v>
      </c>
      <c r="M1153" s="46"/>
      <c r="N1153" s="46"/>
    </row>
    <row r="1154" spans="5:14" x14ac:dyDescent="0.2">
      <c r="E1154" s="46">
        <v>77798.8</v>
      </c>
      <c r="F1154" s="46">
        <v>150260.07</v>
      </c>
      <c r="G1154" s="46">
        <v>463168.95</v>
      </c>
      <c r="H1154" s="46">
        <v>859154.44</v>
      </c>
      <c r="I1154" s="46">
        <v>1036677.12</v>
      </c>
      <c r="J1154" s="46">
        <v>2563913.0499999998</v>
      </c>
      <c r="K1154" s="46">
        <v>2609666.4</v>
      </c>
      <c r="L1154" s="46">
        <v>4197952.16</v>
      </c>
      <c r="M1154" s="46"/>
      <c r="N1154" s="46"/>
    </row>
    <row r="1155" spans="5:14" x14ac:dyDescent="0.2">
      <c r="E1155" s="46">
        <v>52261.29</v>
      </c>
      <c r="F1155" s="46">
        <v>185400.95999999999</v>
      </c>
      <c r="G1155" s="46">
        <v>264834</v>
      </c>
      <c r="H1155" s="46">
        <v>687565.49</v>
      </c>
      <c r="I1155" s="46">
        <v>828021.62</v>
      </c>
      <c r="J1155" s="46">
        <v>1705019.02</v>
      </c>
      <c r="K1155" s="46">
        <v>3593082.33</v>
      </c>
      <c r="L1155" s="46">
        <v>8480426.3200000003</v>
      </c>
      <c r="M1155" s="46"/>
      <c r="N1155" s="46"/>
    </row>
    <row r="1156" spans="5:14" x14ac:dyDescent="0.2">
      <c r="E1156" s="46">
        <v>34679.93</v>
      </c>
      <c r="F1156" s="46">
        <v>101133.3</v>
      </c>
      <c r="G1156" s="46">
        <v>185283.57</v>
      </c>
      <c r="H1156" s="46">
        <v>220164.03</v>
      </c>
      <c r="I1156" s="46">
        <v>475362.71</v>
      </c>
      <c r="J1156" s="46">
        <v>577125.75</v>
      </c>
      <c r="K1156" s="46">
        <v>992530.56</v>
      </c>
      <c r="L1156" s="46">
        <v>1755635.96</v>
      </c>
      <c r="M1156" s="46"/>
      <c r="N1156" s="46"/>
    </row>
    <row r="1157" spans="5:14" x14ac:dyDescent="0.2">
      <c r="E1157" s="46">
        <v>46947.56</v>
      </c>
      <c r="F1157" s="46">
        <v>138029.56</v>
      </c>
      <c r="G1157" s="46">
        <v>229745.58</v>
      </c>
      <c r="H1157" s="46">
        <v>365928.6</v>
      </c>
      <c r="I1157" s="46">
        <v>836333.04</v>
      </c>
      <c r="J1157" s="46">
        <v>925139.17</v>
      </c>
      <c r="K1157" s="46">
        <v>1865663.02</v>
      </c>
      <c r="L1157" s="46">
        <v>2429513.12</v>
      </c>
      <c r="M1157" s="46"/>
      <c r="N1157" s="46"/>
    </row>
    <row r="1158" spans="5:14" x14ac:dyDescent="0.2">
      <c r="E1158" s="46">
        <v>50381.75</v>
      </c>
      <c r="F1158" s="46">
        <v>265565.56</v>
      </c>
      <c r="G1158" s="46">
        <v>384573.4</v>
      </c>
      <c r="H1158" s="46">
        <v>907863.67</v>
      </c>
      <c r="I1158" s="46">
        <v>1658788.78</v>
      </c>
      <c r="J1158" s="46">
        <v>3538448.98</v>
      </c>
      <c r="K1158" s="46">
        <v>3277633.7</v>
      </c>
      <c r="L1158" s="46">
        <v>3474189.59</v>
      </c>
      <c r="M1158" s="46"/>
      <c r="N1158" s="46"/>
    </row>
    <row r="1159" spans="5:14" x14ac:dyDescent="0.2">
      <c r="E1159" s="46">
        <v>59549.06</v>
      </c>
      <c r="F1159" s="46">
        <v>167453.78</v>
      </c>
      <c r="G1159" s="46">
        <v>400521.35</v>
      </c>
      <c r="H1159" s="46">
        <v>373579.96</v>
      </c>
      <c r="I1159" s="46">
        <v>805387.88</v>
      </c>
      <c r="J1159" s="46">
        <v>1347551.01</v>
      </c>
      <c r="K1159" s="46">
        <v>1080994.8</v>
      </c>
      <c r="L1159" s="46">
        <v>1369893.52</v>
      </c>
      <c r="M1159" s="46"/>
      <c r="N1159" s="46"/>
    </row>
    <row r="1160" spans="5:14" x14ac:dyDescent="0.2">
      <c r="E1160" s="46">
        <v>96852.04</v>
      </c>
      <c r="F1160" s="46">
        <v>145895.43</v>
      </c>
      <c r="G1160" s="46">
        <v>263115.53000000003</v>
      </c>
      <c r="H1160" s="46">
        <v>610611.44999999995</v>
      </c>
      <c r="I1160" s="46">
        <v>963991.59</v>
      </c>
      <c r="J1160" s="46">
        <v>2038885.9</v>
      </c>
      <c r="K1160" s="46">
        <v>3489221.47</v>
      </c>
      <c r="L1160" s="46">
        <v>5013540.34</v>
      </c>
      <c r="M1160" s="46"/>
      <c r="N1160" s="46"/>
    </row>
    <row r="1161" spans="5:14" x14ac:dyDescent="0.2">
      <c r="E1161" s="46">
        <v>47686.54</v>
      </c>
      <c r="F1161" s="46">
        <v>197419.15</v>
      </c>
      <c r="G1161" s="46">
        <v>299821.76</v>
      </c>
      <c r="H1161" s="46">
        <v>1292713.05</v>
      </c>
      <c r="I1161" s="46">
        <v>1639880.14</v>
      </c>
      <c r="J1161" s="46">
        <v>3948325.17</v>
      </c>
      <c r="K1161" s="46">
        <v>9359937.4100000001</v>
      </c>
      <c r="L1161" s="46">
        <v>18352925.030000001</v>
      </c>
      <c r="M1161" s="46"/>
      <c r="N1161" s="46"/>
    </row>
    <row r="1162" spans="5:14" x14ac:dyDescent="0.2">
      <c r="E1162" s="46">
        <v>38331.82</v>
      </c>
      <c r="F1162" s="46">
        <v>96871.25</v>
      </c>
      <c r="G1162" s="46">
        <v>140381.51</v>
      </c>
      <c r="H1162" s="46">
        <v>317115.8</v>
      </c>
      <c r="I1162" s="46">
        <v>843197.84</v>
      </c>
      <c r="J1162" s="46">
        <v>476762.07</v>
      </c>
      <c r="K1162" s="46">
        <v>1649845.82</v>
      </c>
      <c r="L1162" s="46">
        <v>3205359.76</v>
      </c>
      <c r="M1162" s="46"/>
      <c r="N1162" s="46"/>
    </row>
    <row r="1163" spans="5:14" x14ac:dyDescent="0.2">
      <c r="E1163" s="46">
        <v>73036.13</v>
      </c>
      <c r="F1163" s="46">
        <v>186825.84</v>
      </c>
      <c r="G1163" s="46">
        <v>494803.04</v>
      </c>
      <c r="H1163" s="46">
        <v>745366.27</v>
      </c>
      <c r="I1163" s="46">
        <v>916760.32</v>
      </c>
      <c r="J1163" s="46">
        <v>1902001.32</v>
      </c>
      <c r="K1163" s="46">
        <v>3942456.63</v>
      </c>
      <c r="L1163" s="46">
        <v>8651912.4800000004</v>
      </c>
      <c r="M1163" s="46"/>
      <c r="N1163" s="46"/>
    </row>
    <row r="1164" spans="5:14" x14ac:dyDescent="0.2">
      <c r="E1164" s="46">
        <v>47468.33</v>
      </c>
      <c r="F1164" s="46">
        <v>146056.12</v>
      </c>
      <c r="G1164" s="46">
        <v>235188.93</v>
      </c>
      <c r="H1164" s="46">
        <v>859422.1</v>
      </c>
      <c r="I1164" s="46">
        <v>2235184.44</v>
      </c>
      <c r="J1164" s="46">
        <v>3429350.74</v>
      </c>
      <c r="K1164" s="46">
        <v>4987702.9400000004</v>
      </c>
      <c r="L1164" s="46">
        <v>3249923.18</v>
      </c>
      <c r="M1164" s="46"/>
      <c r="N1164" s="46"/>
    </row>
    <row r="1165" spans="5:14" x14ac:dyDescent="0.2">
      <c r="E1165" s="46">
        <v>66522.62</v>
      </c>
      <c r="F1165" s="46">
        <v>184037.69</v>
      </c>
      <c r="G1165" s="46">
        <v>272319.53999999998</v>
      </c>
      <c r="H1165" s="46">
        <v>422352.83</v>
      </c>
      <c r="I1165" s="46">
        <v>334147.3</v>
      </c>
      <c r="J1165" s="46">
        <v>1548753.37</v>
      </c>
      <c r="K1165" s="46">
        <v>1370611.27</v>
      </c>
      <c r="L1165" s="46">
        <v>2795872.43</v>
      </c>
      <c r="M1165" s="46"/>
      <c r="N1165" s="46"/>
    </row>
    <row r="1166" spans="5:14" x14ac:dyDescent="0.2">
      <c r="E1166" s="46">
        <v>56715.4</v>
      </c>
      <c r="F1166" s="46">
        <v>135926.56</v>
      </c>
      <c r="G1166" s="46">
        <v>259971.7</v>
      </c>
      <c r="H1166" s="46">
        <v>343337.51</v>
      </c>
      <c r="I1166" s="46">
        <v>841241.35</v>
      </c>
      <c r="J1166" s="46">
        <v>2055371.1</v>
      </c>
      <c r="K1166" s="46">
        <v>4082022.7</v>
      </c>
      <c r="L1166" s="46">
        <v>4253161.38</v>
      </c>
      <c r="M1166" s="46"/>
      <c r="N1166" s="46"/>
    </row>
    <row r="1167" spans="5:14" x14ac:dyDescent="0.2">
      <c r="E1167" s="46">
        <v>42643.08</v>
      </c>
      <c r="F1167" s="46">
        <v>199520.92</v>
      </c>
      <c r="G1167" s="46">
        <v>301782.65000000002</v>
      </c>
      <c r="H1167" s="46">
        <v>634815.41</v>
      </c>
      <c r="I1167" s="46">
        <v>785284.25</v>
      </c>
      <c r="J1167" s="46">
        <v>2427142.46</v>
      </c>
      <c r="K1167" s="46">
        <v>5391576.0700000003</v>
      </c>
      <c r="L1167" s="46">
        <v>10889631.07</v>
      </c>
      <c r="M1167" s="46"/>
      <c r="N1167" s="46"/>
    </row>
    <row r="1168" spans="5:14" x14ac:dyDescent="0.2">
      <c r="E1168" s="46">
        <v>46858.26</v>
      </c>
      <c r="F1168" s="46">
        <v>85546.44</v>
      </c>
      <c r="G1168" s="46">
        <v>134369.46</v>
      </c>
      <c r="H1168" s="46">
        <v>241387.16</v>
      </c>
      <c r="I1168" s="46">
        <v>313921.90000000002</v>
      </c>
      <c r="J1168" s="46">
        <v>623970.06999999995</v>
      </c>
      <c r="K1168" s="46">
        <v>1106744.5</v>
      </c>
      <c r="L1168" s="46">
        <v>643011.64</v>
      </c>
      <c r="M1168" s="46"/>
      <c r="N1168" s="46"/>
    </row>
    <row r="1169" spans="5:14" x14ac:dyDescent="0.2">
      <c r="E1169" s="46">
        <v>51010.44</v>
      </c>
      <c r="F1169" s="46">
        <v>205367.98</v>
      </c>
      <c r="G1169" s="46">
        <v>366025.24</v>
      </c>
      <c r="H1169" s="46">
        <v>981600.2</v>
      </c>
      <c r="I1169" s="46">
        <v>3362631.11</v>
      </c>
      <c r="J1169" s="46">
        <v>6158909.9199999999</v>
      </c>
      <c r="K1169" s="46">
        <v>4601585.72</v>
      </c>
      <c r="L1169" s="46">
        <v>20762265.91</v>
      </c>
      <c r="M1169" s="46"/>
      <c r="N1169" s="46"/>
    </row>
    <row r="1170" spans="5:14" x14ac:dyDescent="0.2">
      <c r="E1170" s="46">
        <v>38288.54</v>
      </c>
      <c r="F1170" s="46">
        <v>124920.62</v>
      </c>
      <c r="G1170" s="46">
        <v>430618.15</v>
      </c>
      <c r="H1170" s="46">
        <v>2193978.87</v>
      </c>
      <c r="I1170" s="46">
        <v>4355676.41</v>
      </c>
      <c r="J1170" s="46">
        <v>7452024.4699999997</v>
      </c>
      <c r="K1170" s="46">
        <v>9226048.5399999991</v>
      </c>
      <c r="L1170" s="46">
        <v>11874510.16</v>
      </c>
      <c r="M1170" s="46"/>
      <c r="N1170" s="46"/>
    </row>
    <row r="1171" spans="5:14" x14ac:dyDescent="0.2">
      <c r="E1171" s="46">
        <v>60958.92</v>
      </c>
      <c r="F1171" s="46">
        <v>321621.38</v>
      </c>
      <c r="G1171" s="46">
        <v>955055.49</v>
      </c>
      <c r="H1171" s="46">
        <v>2149592.86</v>
      </c>
      <c r="I1171" s="46">
        <v>2011062.78</v>
      </c>
      <c r="J1171" s="46">
        <v>2999534.43</v>
      </c>
      <c r="K1171" s="46">
        <v>5719661.1799999997</v>
      </c>
      <c r="L1171" s="46">
        <v>6081973.0800000001</v>
      </c>
      <c r="M1171" s="46"/>
      <c r="N1171" s="46"/>
    </row>
    <row r="1172" spans="5:14" x14ac:dyDescent="0.2">
      <c r="E1172" s="46">
        <v>63599.93</v>
      </c>
      <c r="F1172" s="46">
        <v>228891.14</v>
      </c>
      <c r="G1172" s="46">
        <v>496057.85</v>
      </c>
      <c r="H1172" s="46">
        <v>823827.61</v>
      </c>
      <c r="I1172" s="46">
        <v>672030.71</v>
      </c>
      <c r="J1172" s="46">
        <v>634802.5</v>
      </c>
      <c r="K1172" s="46">
        <v>690236.82</v>
      </c>
      <c r="L1172" s="46">
        <v>1261823.6000000001</v>
      </c>
      <c r="M1172" s="46"/>
      <c r="N1172" s="46"/>
    </row>
    <row r="1173" spans="5:14" x14ac:dyDescent="0.2">
      <c r="E1173" s="46">
        <v>56529.48</v>
      </c>
      <c r="F1173" s="46">
        <v>91357.08</v>
      </c>
      <c r="G1173" s="46">
        <v>224911.08</v>
      </c>
      <c r="H1173" s="46">
        <v>359461.54</v>
      </c>
      <c r="I1173" s="46">
        <v>1346924.7</v>
      </c>
      <c r="J1173" s="46">
        <v>1985197.88</v>
      </c>
      <c r="K1173" s="46">
        <v>2917215.57</v>
      </c>
      <c r="L1173" s="46">
        <v>2380834.83</v>
      </c>
      <c r="M1173" s="46"/>
      <c r="N1173" s="46"/>
    </row>
    <row r="1174" spans="5:14" x14ac:dyDescent="0.2">
      <c r="E1174" s="46">
        <v>103511.39</v>
      </c>
      <c r="F1174" s="46">
        <v>206448.47</v>
      </c>
      <c r="G1174" s="46">
        <v>229136.13</v>
      </c>
      <c r="H1174" s="46">
        <v>294117.03999999998</v>
      </c>
      <c r="I1174" s="46">
        <v>515257.38</v>
      </c>
      <c r="J1174" s="46">
        <v>1768589.95</v>
      </c>
      <c r="K1174" s="46">
        <v>2785984.44</v>
      </c>
      <c r="L1174" s="46">
        <v>4389891.1399999997</v>
      </c>
      <c r="M1174" s="46"/>
      <c r="N1174" s="46"/>
    </row>
    <row r="1175" spans="5:14" x14ac:dyDescent="0.2">
      <c r="E1175" s="46">
        <v>29129.360000000001</v>
      </c>
      <c r="F1175" s="46">
        <v>115970.48</v>
      </c>
      <c r="G1175" s="46">
        <v>451419.07</v>
      </c>
      <c r="H1175" s="46">
        <v>803216.37</v>
      </c>
      <c r="I1175" s="46">
        <v>1310014.8899999999</v>
      </c>
      <c r="J1175" s="46">
        <v>3620050.59</v>
      </c>
      <c r="K1175" s="46">
        <v>4268322.41</v>
      </c>
      <c r="L1175" s="46">
        <v>3848303.67</v>
      </c>
      <c r="M1175" s="46"/>
      <c r="N1175" s="46"/>
    </row>
    <row r="1176" spans="5:14" x14ac:dyDescent="0.2">
      <c r="E1176" s="46">
        <v>47293.09</v>
      </c>
      <c r="F1176" s="46">
        <v>124391.36</v>
      </c>
      <c r="G1176" s="46">
        <v>228613.2</v>
      </c>
      <c r="H1176" s="46">
        <v>333757.24</v>
      </c>
      <c r="I1176" s="46">
        <v>642868.25</v>
      </c>
      <c r="J1176" s="46">
        <v>1087129.43</v>
      </c>
      <c r="K1176" s="46">
        <v>2611481.13</v>
      </c>
      <c r="L1176" s="46">
        <v>4433046.4400000004</v>
      </c>
      <c r="M1176" s="46"/>
      <c r="N1176" s="46"/>
    </row>
    <row r="1177" spans="5:14" x14ac:dyDescent="0.2">
      <c r="E1177" s="46">
        <v>58871.13</v>
      </c>
      <c r="F1177" s="46">
        <v>133012.04999999999</v>
      </c>
      <c r="G1177" s="46">
        <v>304703.19</v>
      </c>
      <c r="H1177" s="46">
        <v>439859.37</v>
      </c>
      <c r="I1177" s="46">
        <v>1431776.94</v>
      </c>
      <c r="J1177" s="46">
        <v>1756396.3</v>
      </c>
      <c r="K1177" s="46">
        <v>1757616.21</v>
      </c>
      <c r="L1177" s="46">
        <v>3334117.88</v>
      </c>
      <c r="M1177" s="46"/>
      <c r="N1177" s="46"/>
    </row>
    <row r="1178" spans="5:14" x14ac:dyDescent="0.2">
      <c r="E1178" s="46">
        <v>45906.93</v>
      </c>
      <c r="F1178" s="46">
        <v>96068.21</v>
      </c>
      <c r="G1178" s="46">
        <v>253764.52</v>
      </c>
      <c r="H1178" s="46">
        <v>375906.19</v>
      </c>
      <c r="I1178" s="46">
        <v>497897.13</v>
      </c>
      <c r="J1178" s="46">
        <v>508221.39</v>
      </c>
      <c r="K1178" s="46">
        <v>823480.99</v>
      </c>
      <c r="L1178" s="46">
        <v>795874.79</v>
      </c>
      <c r="M1178" s="46"/>
      <c r="N1178" s="46"/>
    </row>
    <row r="1179" spans="5:14" x14ac:dyDescent="0.2">
      <c r="E1179" s="46">
        <v>49366.58</v>
      </c>
      <c r="F1179" s="46">
        <v>119355.53</v>
      </c>
      <c r="G1179" s="46">
        <v>253455.92</v>
      </c>
      <c r="H1179" s="46">
        <v>496658.61</v>
      </c>
      <c r="I1179" s="46">
        <v>989754.33</v>
      </c>
      <c r="J1179" s="46">
        <v>1099507.71</v>
      </c>
      <c r="K1179" s="46">
        <v>1276579.51</v>
      </c>
      <c r="L1179" s="46">
        <v>1531361.48</v>
      </c>
      <c r="M1179" s="46"/>
      <c r="N1179" s="46"/>
    </row>
    <row r="1180" spans="5:14" x14ac:dyDescent="0.2">
      <c r="E1180" s="46">
        <v>62808.959999999999</v>
      </c>
      <c r="F1180" s="46">
        <v>202130.63</v>
      </c>
      <c r="G1180" s="46">
        <v>391251.51</v>
      </c>
      <c r="H1180" s="46">
        <v>813648.45</v>
      </c>
      <c r="I1180" s="46">
        <v>1535717.19</v>
      </c>
      <c r="J1180" s="46">
        <v>2516316.2599999998</v>
      </c>
      <c r="K1180" s="46">
        <v>2877910.23</v>
      </c>
      <c r="L1180" s="46">
        <v>5545594.6399999997</v>
      </c>
      <c r="M1180" s="46"/>
      <c r="N1180" s="46"/>
    </row>
    <row r="1181" spans="5:14" x14ac:dyDescent="0.2">
      <c r="E1181" s="46">
        <v>74112.38</v>
      </c>
      <c r="F1181" s="46">
        <v>277110.2</v>
      </c>
      <c r="G1181" s="46">
        <v>755605.35</v>
      </c>
      <c r="H1181" s="46">
        <v>846080.2</v>
      </c>
      <c r="I1181" s="46">
        <v>1072615.71</v>
      </c>
      <c r="J1181" s="46">
        <v>1239511.72</v>
      </c>
      <c r="K1181" s="46">
        <v>1894976.5</v>
      </c>
      <c r="L1181" s="46">
        <v>1861717.15</v>
      </c>
      <c r="M1181" s="46"/>
      <c r="N1181" s="46"/>
    </row>
    <row r="1182" spans="5:14" x14ac:dyDescent="0.2">
      <c r="E1182" s="46">
        <v>59820.63</v>
      </c>
      <c r="F1182" s="46">
        <v>310400.46999999997</v>
      </c>
      <c r="G1182" s="46">
        <v>745705.15</v>
      </c>
      <c r="H1182" s="46">
        <v>519396.06</v>
      </c>
      <c r="I1182" s="46">
        <v>1077105.54</v>
      </c>
      <c r="J1182" s="46">
        <v>1390823.88</v>
      </c>
      <c r="K1182" s="46">
        <v>1644234.37</v>
      </c>
      <c r="L1182" s="46">
        <v>4071813.66</v>
      </c>
      <c r="M1182" s="46"/>
      <c r="N1182" s="46"/>
    </row>
    <row r="1183" spans="5:14" x14ac:dyDescent="0.2">
      <c r="E1183" s="46">
        <v>53582.17</v>
      </c>
      <c r="F1183" s="46">
        <v>57685.41</v>
      </c>
      <c r="G1183" s="46">
        <v>147563.6</v>
      </c>
      <c r="H1183" s="46">
        <v>459760.25</v>
      </c>
      <c r="I1183" s="46">
        <v>1620651.91</v>
      </c>
      <c r="J1183" s="46">
        <v>1585634.72</v>
      </c>
      <c r="K1183" s="46">
        <v>2269421.7200000002</v>
      </c>
      <c r="L1183" s="46">
        <v>3861589.97</v>
      </c>
      <c r="M1183" s="46"/>
      <c r="N1183" s="46"/>
    </row>
    <row r="1184" spans="5:14" x14ac:dyDescent="0.2">
      <c r="E1184" s="46">
        <v>50311.31</v>
      </c>
      <c r="F1184" s="46">
        <v>158960.28</v>
      </c>
      <c r="G1184" s="46">
        <v>491030.02</v>
      </c>
      <c r="H1184" s="46">
        <v>1472897.96</v>
      </c>
      <c r="I1184" s="46">
        <v>2578549.36</v>
      </c>
      <c r="J1184" s="46">
        <v>2267876.6800000002</v>
      </c>
      <c r="K1184" s="46">
        <v>3585341.61</v>
      </c>
      <c r="L1184" s="46">
        <v>8586470.4000000004</v>
      </c>
      <c r="M1184" s="46"/>
      <c r="N1184" s="46"/>
    </row>
    <row r="1185" spans="5:14" x14ac:dyDescent="0.2">
      <c r="E1185" s="46">
        <v>42847.31</v>
      </c>
      <c r="F1185" s="46">
        <v>78379.899999999994</v>
      </c>
      <c r="G1185" s="46">
        <v>179731.57</v>
      </c>
      <c r="H1185" s="46">
        <v>442991.35999999999</v>
      </c>
      <c r="I1185" s="46">
        <v>1322811.44</v>
      </c>
      <c r="J1185" s="46">
        <v>1724630.25</v>
      </c>
      <c r="K1185" s="46">
        <v>2475907.36</v>
      </c>
      <c r="L1185" s="46">
        <v>4153958.7</v>
      </c>
      <c r="M1185" s="46"/>
      <c r="N1185" s="46"/>
    </row>
    <row r="1186" spans="5:14" x14ac:dyDescent="0.2">
      <c r="E1186" s="46">
        <v>40861.589999999997</v>
      </c>
      <c r="F1186" s="46">
        <v>117986.79</v>
      </c>
      <c r="G1186" s="46">
        <v>120934.84</v>
      </c>
      <c r="H1186" s="46">
        <v>246876.46</v>
      </c>
      <c r="I1186" s="46">
        <v>578320.23</v>
      </c>
      <c r="J1186" s="46">
        <v>889528.85</v>
      </c>
      <c r="K1186" s="46">
        <v>1048492.6</v>
      </c>
      <c r="L1186" s="46">
        <v>2210872.6800000002</v>
      </c>
      <c r="M1186" s="46"/>
      <c r="N1186" s="46"/>
    </row>
    <row r="1187" spans="5:14" x14ac:dyDescent="0.2">
      <c r="E1187" s="46">
        <v>52753.73</v>
      </c>
      <c r="F1187" s="46">
        <v>213171.04</v>
      </c>
      <c r="G1187" s="46">
        <v>1202431.3700000001</v>
      </c>
      <c r="H1187" s="46">
        <v>1212948.93</v>
      </c>
      <c r="I1187" s="46">
        <v>1935679.43</v>
      </c>
      <c r="J1187" s="46">
        <v>5900494.0899999999</v>
      </c>
      <c r="K1187" s="46">
        <v>9743468.2300000004</v>
      </c>
      <c r="L1187" s="46">
        <v>9382003.0600000005</v>
      </c>
      <c r="M1187" s="46"/>
      <c r="N1187" s="46"/>
    </row>
    <row r="1188" spans="5:14" x14ac:dyDescent="0.2">
      <c r="E1188" s="46">
        <v>60813.89</v>
      </c>
      <c r="F1188" s="46">
        <v>191956.38</v>
      </c>
      <c r="G1188" s="46">
        <v>229441.17</v>
      </c>
      <c r="H1188" s="46">
        <v>432641.24</v>
      </c>
      <c r="I1188" s="46">
        <v>261064.48</v>
      </c>
      <c r="J1188" s="46">
        <v>344925.57</v>
      </c>
      <c r="K1188" s="46">
        <v>1079479.0900000001</v>
      </c>
      <c r="L1188" s="46">
        <v>1614068.29</v>
      </c>
      <c r="M1188" s="46"/>
      <c r="N1188" s="46"/>
    </row>
    <row r="1189" spans="5:14" x14ac:dyDescent="0.2">
      <c r="E1189" s="46">
        <v>68025.8</v>
      </c>
      <c r="F1189" s="46">
        <v>132002.07</v>
      </c>
      <c r="G1189" s="46">
        <v>166429.76999999999</v>
      </c>
      <c r="H1189" s="46">
        <v>763839.31</v>
      </c>
      <c r="I1189" s="46">
        <v>1097315.77</v>
      </c>
      <c r="J1189" s="46">
        <v>1574667.06</v>
      </c>
      <c r="K1189" s="46">
        <v>2051098.45</v>
      </c>
      <c r="L1189" s="46">
        <v>1902542.97</v>
      </c>
      <c r="M1189" s="46"/>
      <c r="N1189" s="46"/>
    </row>
    <row r="1190" spans="5:14" x14ac:dyDescent="0.2">
      <c r="E1190" s="46">
        <v>59281.120000000003</v>
      </c>
      <c r="F1190" s="46">
        <v>198888.22</v>
      </c>
      <c r="G1190" s="46">
        <v>323288.90000000002</v>
      </c>
      <c r="H1190" s="46">
        <v>463520.14</v>
      </c>
      <c r="I1190" s="46">
        <v>1385127.98</v>
      </c>
      <c r="J1190" s="46">
        <v>3207386.33</v>
      </c>
      <c r="K1190" s="46">
        <v>2800353.08</v>
      </c>
      <c r="L1190" s="46">
        <v>10145127.460000001</v>
      </c>
      <c r="M1190" s="46"/>
      <c r="N1190" s="46"/>
    </row>
    <row r="1191" spans="5:14" x14ac:dyDescent="0.2">
      <c r="E1191" s="46">
        <v>48066.53</v>
      </c>
      <c r="F1191" s="46">
        <v>165227.24</v>
      </c>
      <c r="G1191" s="46">
        <v>269568.99</v>
      </c>
      <c r="H1191" s="46">
        <v>362659.37</v>
      </c>
      <c r="I1191" s="46">
        <v>795682.23</v>
      </c>
      <c r="J1191" s="46">
        <v>3924043.3</v>
      </c>
      <c r="K1191" s="46">
        <v>5512578.2300000004</v>
      </c>
      <c r="L1191" s="46">
        <v>14176954.9</v>
      </c>
      <c r="M1191" s="46"/>
      <c r="N1191" s="46"/>
    </row>
    <row r="1192" spans="5:14" x14ac:dyDescent="0.2">
      <c r="E1192" s="46">
        <v>72100.149999999994</v>
      </c>
      <c r="F1192" s="46">
        <v>76350.34</v>
      </c>
      <c r="G1192" s="46">
        <v>180363.06</v>
      </c>
      <c r="H1192" s="46">
        <v>245141.45</v>
      </c>
      <c r="I1192" s="46">
        <v>622368.72</v>
      </c>
      <c r="J1192" s="46">
        <v>713056.45</v>
      </c>
      <c r="K1192" s="46">
        <v>949273.58</v>
      </c>
      <c r="L1192" s="46">
        <v>1420981.68</v>
      </c>
      <c r="M1192" s="46"/>
      <c r="N1192" s="46"/>
    </row>
    <row r="1193" spans="5:14" x14ac:dyDescent="0.2">
      <c r="E1193" s="46">
        <v>47931.08</v>
      </c>
      <c r="F1193" s="46">
        <v>136671.60999999999</v>
      </c>
      <c r="G1193" s="46">
        <v>393991.4</v>
      </c>
      <c r="H1193" s="46">
        <v>693152.92</v>
      </c>
      <c r="I1193" s="46">
        <v>1269083.77</v>
      </c>
      <c r="J1193" s="46">
        <v>2394074.5299999998</v>
      </c>
      <c r="K1193" s="46">
        <v>5945274.2599999998</v>
      </c>
      <c r="L1193" s="46">
        <v>7378731.1799999997</v>
      </c>
      <c r="M1193" s="46"/>
      <c r="N1193" s="46"/>
    </row>
    <row r="1194" spans="5:14" x14ac:dyDescent="0.2">
      <c r="E1194" s="46">
        <v>36548.54</v>
      </c>
      <c r="F1194" s="46">
        <v>125253.72</v>
      </c>
      <c r="G1194" s="46">
        <v>334268.07</v>
      </c>
      <c r="H1194" s="46">
        <v>375263.08</v>
      </c>
      <c r="I1194" s="46">
        <v>367992.13</v>
      </c>
      <c r="J1194" s="46">
        <v>431391.48</v>
      </c>
      <c r="K1194" s="46">
        <v>519474.42</v>
      </c>
      <c r="L1194" s="46">
        <v>458316.35</v>
      </c>
      <c r="M1194" s="46"/>
      <c r="N1194" s="46"/>
    </row>
    <row r="1195" spans="5:14" x14ac:dyDescent="0.2">
      <c r="E1195" s="46">
        <v>66727.759999999995</v>
      </c>
      <c r="F1195" s="46">
        <v>179652.73</v>
      </c>
      <c r="G1195" s="46">
        <v>369019.55</v>
      </c>
      <c r="H1195" s="46">
        <v>399148.17</v>
      </c>
      <c r="I1195" s="46">
        <v>1601565.11</v>
      </c>
      <c r="J1195" s="46">
        <v>2508352.2200000002</v>
      </c>
      <c r="K1195" s="46">
        <v>2389940.65</v>
      </c>
      <c r="L1195" s="46">
        <v>3530898.75</v>
      </c>
      <c r="M1195" s="46"/>
      <c r="N1195" s="46"/>
    </row>
    <row r="1196" spans="5:14" x14ac:dyDescent="0.2">
      <c r="E1196" s="46">
        <v>29204.3</v>
      </c>
      <c r="F1196" s="46">
        <v>145738.41</v>
      </c>
      <c r="G1196" s="46">
        <v>132824.06</v>
      </c>
      <c r="H1196" s="46">
        <v>222706.28</v>
      </c>
      <c r="I1196" s="46">
        <v>352047.75</v>
      </c>
      <c r="J1196" s="46">
        <v>491835.03</v>
      </c>
      <c r="K1196" s="46">
        <v>1095193.05</v>
      </c>
      <c r="L1196" s="46">
        <v>1732588.78</v>
      </c>
      <c r="M1196" s="46"/>
      <c r="N1196" s="46"/>
    </row>
    <row r="1197" spans="5:14" x14ac:dyDescent="0.2">
      <c r="E1197" s="46">
        <v>43642.86</v>
      </c>
      <c r="F1197" s="46">
        <v>187475.87</v>
      </c>
      <c r="G1197" s="46">
        <v>259244.33</v>
      </c>
      <c r="H1197" s="46">
        <v>417606.87</v>
      </c>
      <c r="I1197" s="46">
        <v>1129287.05</v>
      </c>
      <c r="J1197" s="46">
        <v>1755586.28</v>
      </c>
      <c r="K1197" s="46">
        <v>6242277.9699999997</v>
      </c>
      <c r="L1197" s="46">
        <v>8136565.9699999997</v>
      </c>
      <c r="M1197" s="46"/>
      <c r="N1197" s="46"/>
    </row>
    <row r="1198" spans="5:14" x14ac:dyDescent="0.2">
      <c r="E1198" s="46">
        <v>65741.66</v>
      </c>
      <c r="F1198" s="46">
        <v>237631.11</v>
      </c>
      <c r="G1198" s="46">
        <v>384057.93</v>
      </c>
      <c r="H1198" s="46">
        <v>1255831.31</v>
      </c>
      <c r="I1198" s="46">
        <v>1207947.51</v>
      </c>
      <c r="J1198" s="46">
        <v>2260577.0299999998</v>
      </c>
      <c r="K1198" s="46">
        <v>1110238.25</v>
      </c>
      <c r="L1198" s="46">
        <v>2281456.5099999998</v>
      </c>
      <c r="M1198" s="46"/>
      <c r="N1198" s="46"/>
    </row>
    <row r="1199" spans="5:14" x14ac:dyDescent="0.2">
      <c r="E1199" s="46">
        <v>36116.269999999997</v>
      </c>
      <c r="F1199" s="46">
        <v>131689.70000000001</v>
      </c>
      <c r="G1199" s="46">
        <v>219369.31</v>
      </c>
      <c r="H1199" s="46">
        <v>382498.17</v>
      </c>
      <c r="I1199" s="46">
        <v>686456.88</v>
      </c>
      <c r="J1199" s="46">
        <v>1703144.29</v>
      </c>
      <c r="K1199" s="46">
        <v>3057812.58</v>
      </c>
      <c r="L1199" s="46">
        <v>3416847.57</v>
      </c>
      <c r="M1199" s="46"/>
      <c r="N1199" s="46"/>
    </row>
    <row r="1200" spans="5:14" x14ac:dyDescent="0.2">
      <c r="E1200" s="46">
        <v>57519.95</v>
      </c>
      <c r="F1200" s="46">
        <v>141697.68</v>
      </c>
      <c r="G1200" s="46">
        <v>278856.19</v>
      </c>
      <c r="H1200" s="46">
        <v>287521.84999999998</v>
      </c>
      <c r="I1200" s="46">
        <v>565307.36</v>
      </c>
      <c r="J1200" s="46">
        <v>1661353.67</v>
      </c>
      <c r="K1200" s="46">
        <v>2568649.6800000002</v>
      </c>
      <c r="L1200" s="46">
        <v>2250258.0099999998</v>
      </c>
      <c r="M1200" s="46"/>
      <c r="N1200" s="46"/>
    </row>
    <row r="1201" spans="5:14" x14ac:dyDescent="0.2">
      <c r="E1201" s="46">
        <v>44637.22</v>
      </c>
      <c r="F1201" s="46">
        <v>200293.83</v>
      </c>
      <c r="G1201" s="46">
        <v>344997.36</v>
      </c>
      <c r="H1201" s="46">
        <v>439270.33</v>
      </c>
      <c r="I1201" s="46">
        <v>898717.88</v>
      </c>
      <c r="J1201" s="46">
        <v>1289981.43</v>
      </c>
      <c r="K1201" s="46">
        <v>1728267.56</v>
      </c>
      <c r="L1201" s="46">
        <v>3567201.66</v>
      </c>
      <c r="M1201" s="46"/>
      <c r="N1201" s="46"/>
    </row>
    <row r="1202" spans="5:14" x14ac:dyDescent="0.2">
      <c r="E1202" s="46">
        <v>94718.48</v>
      </c>
      <c r="F1202" s="46">
        <v>406956.58</v>
      </c>
      <c r="G1202" s="46">
        <v>752223.18</v>
      </c>
      <c r="H1202" s="46">
        <v>1776018.33</v>
      </c>
      <c r="I1202" s="46">
        <v>4444775.92</v>
      </c>
      <c r="J1202" s="46">
        <v>8986532.4100000001</v>
      </c>
      <c r="K1202" s="46">
        <v>45868636.259999998</v>
      </c>
      <c r="L1202" s="46">
        <v>74835626.25</v>
      </c>
      <c r="M1202" s="46"/>
      <c r="N1202" s="46"/>
    </row>
    <row r="1203" spans="5:14" x14ac:dyDescent="0.2">
      <c r="E1203" s="46">
        <v>53636.79</v>
      </c>
      <c r="F1203" s="46">
        <v>153145.35999999999</v>
      </c>
      <c r="G1203" s="46">
        <v>725405.87</v>
      </c>
      <c r="H1203" s="46">
        <v>1246949.29</v>
      </c>
      <c r="I1203" s="46">
        <v>1138691.94</v>
      </c>
      <c r="J1203" s="46">
        <v>1925843.01</v>
      </c>
      <c r="K1203" s="46">
        <v>5694421.21</v>
      </c>
      <c r="L1203" s="46">
        <v>8249902.0599999996</v>
      </c>
      <c r="M1203" s="46"/>
      <c r="N1203" s="46"/>
    </row>
    <row r="1204" spans="5:14" x14ac:dyDescent="0.2">
      <c r="E1204" s="46">
        <v>60851.25</v>
      </c>
      <c r="F1204" s="46">
        <v>146742.78</v>
      </c>
      <c r="G1204" s="46">
        <v>552733.19999999995</v>
      </c>
      <c r="H1204" s="46">
        <v>511470.25</v>
      </c>
      <c r="I1204" s="46">
        <v>633012.81999999995</v>
      </c>
      <c r="J1204" s="46">
        <v>958070.32</v>
      </c>
      <c r="K1204" s="46">
        <v>791285.6</v>
      </c>
      <c r="L1204" s="46">
        <v>739651.98</v>
      </c>
      <c r="M1204" s="46"/>
      <c r="N1204" s="46"/>
    </row>
    <row r="1205" spans="5:14" x14ac:dyDescent="0.2">
      <c r="E1205" s="46">
        <v>69181.440000000002</v>
      </c>
      <c r="F1205" s="46">
        <v>203356.29</v>
      </c>
      <c r="G1205" s="46">
        <v>233724.12</v>
      </c>
      <c r="H1205" s="46">
        <v>190527.89</v>
      </c>
      <c r="I1205" s="46">
        <v>336947.42</v>
      </c>
      <c r="J1205" s="46">
        <v>444261.87</v>
      </c>
      <c r="K1205" s="46">
        <v>582407.55000000005</v>
      </c>
      <c r="L1205" s="46">
        <v>659013.5</v>
      </c>
      <c r="M1205" s="46"/>
      <c r="N1205" s="46"/>
    </row>
    <row r="1206" spans="5:14" x14ac:dyDescent="0.2">
      <c r="E1206" s="46">
        <v>63282.05</v>
      </c>
      <c r="F1206" s="46">
        <v>138644.01</v>
      </c>
      <c r="G1206" s="46">
        <v>291125.94</v>
      </c>
      <c r="H1206" s="46">
        <v>1689167.74</v>
      </c>
      <c r="I1206" s="46">
        <v>2754492.44</v>
      </c>
      <c r="J1206" s="46">
        <v>3364468.22</v>
      </c>
      <c r="K1206" s="46">
        <v>4417879.2</v>
      </c>
      <c r="L1206" s="46">
        <v>8653923.0700000003</v>
      </c>
      <c r="M1206" s="46"/>
      <c r="N1206" s="46"/>
    </row>
    <row r="1207" spans="5:14" x14ac:dyDescent="0.2">
      <c r="E1207" s="46">
        <v>40335.29</v>
      </c>
      <c r="F1207" s="46">
        <v>84171.29</v>
      </c>
      <c r="G1207" s="46">
        <v>270816.81</v>
      </c>
      <c r="H1207" s="46">
        <v>354026.13</v>
      </c>
      <c r="I1207" s="46">
        <v>823095.59</v>
      </c>
      <c r="J1207" s="46">
        <v>2911854.29</v>
      </c>
      <c r="K1207" s="46">
        <v>3940725.44</v>
      </c>
      <c r="L1207" s="46">
        <v>12400296.560000001</v>
      </c>
      <c r="M1207" s="46"/>
      <c r="N1207" s="46"/>
    </row>
    <row r="1208" spans="5:14" x14ac:dyDescent="0.2">
      <c r="E1208" s="46">
        <v>49522.9</v>
      </c>
      <c r="F1208" s="46">
        <v>144658.45000000001</v>
      </c>
      <c r="G1208" s="46">
        <v>413902.96</v>
      </c>
      <c r="H1208" s="46">
        <v>1131621.17</v>
      </c>
      <c r="I1208" s="46">
        <v>3004546.32</v>
      </c>
      <c r="J1208" s="46">
        <v>2133833.6800000002</v>
      </c>
      <c r="K1208" s="46">
        <v>3046889.5</v>
      </c>
      <c r="L1208" s="46">
        <v>3159597.62</v>
      </c>
      <c r="M1208" s="46"/>
      <c r="N1208" s="46"/>
    </row>
    <row r="1209" spans="5:14" x14ac:dyDescent="0.2">
      <c r="E1209" s="46">
        <v>53407.17</v>
      </c>
      <c r="F1209" s="46">
        <v>100664.97</v>
      </c>
      <c r="G1209" s="46">
        <v>121359.6</v>
      </c>
      <c r="H1209" s="46">
        <v>215035.81</v>
      </c>
      <c r="I1209" s="46">
        <v>293487.78000000003</v>
      </c>
      <c r="J1209" s="46">
        <v>369664.1</v>
      </c>
      <c r="K1209" s="46">
        <v>420854.56</v>
      </c>
      <c r="L1209" s="46">
        <v>384049.85</v>
      </c>
      <c r="M1209" s="46"/>
      <c r="N1209" s="46"/>
    </row>
    <row r="1210" spans="5:14" x14ac:dyDescent="0.2">
      <c r="E1210" s="46">
        <v>61553.46</v>
      </c>
      <c r="F1210" s="46">
        <v>134580.41</v>
      </c>
      <c r="G1210" s="46">
        <v>328711.13</v>
      </c>
      <c r="H1210" s="46">
        <v>309995.92</v>
      </c>
      <c r="I1210" s="46">
        <v>398874.89</v>
      </c>
      <c r="J1210" s="46">
        <v>962093.33</v>
      </c>
      <c r="K1210" s="46">
        <v>2463009.92</v>
      </c>
      <c r="L1210" s="46">
        <v>3412794.21</v>
      </c>
      <c r="M1210" s="46"/>
      <c r="N1210" s="46"/>
    </row>
    <row r="1211" spans="5:14" x14ac:dyDescent="0.2">
      <c r="E1211" s="46">
        <v>48379.1</v>
      </c>
      <c r="F1211" s="46">
        <v>153711.54</v>
      </c>
      <c r="G1211" s="46">
        <v>242240.33</v>
      </c>
      <c r="H1211" s="46">
        <v>427055.33</v>
      </c>
      <c r="I1211" s="46">
        <v>1267408.98</v>
      </c>
      <c r="J1211" s="46">
        <v>3886779.41</v>
      </c>
      <c r="K1211" s="46">
        <v>4265435.87</v>
      </c>
      <c r="L1211" s="46">
        <v>8659192.1899999995</v>
      </c>
      <c r="M1211" s="46"/>
      <c r="N1211" s="46"/>
    </row>
    <row r="1212" spans="5:14" x14ac:dyDescent="0.2">
      <c r="E1212" s="46">
        <v>82571.240000000005</v>
      </c>
      <c r="F1212" s="46">
        <v>153805.84</v>
      </c>
      <c r="G1212" s="46">
        <v>305769.09000000003</v>
      </c>
      <c r="H1212" s="46">
        <v>622113.18000000005</v>
      </c>
      <c r="I1212" s="46">
        <v>1104006.01</v>
      </c>
      <c r="J1212" s="46">
        <v>3527050.77</v>
      </c>
      <c r="K1212" s="46">
        <v>11241158.300000001</v>
      </c>
      <c r="L1212" s="46">
        <v>11734419.76</v>
      </c>
      <c r="M1212" s="46"/>
      <c r="N1212" s="46"/>
    </row>
    <row r="1213" spans="5:14" x14ac:dyDescent="0.2">
      <c r="E1213" s="46">
        <v>83421.36</v>
      </c>
      <c r="F1213" s="46">
        <v>394051.89</v>
      </c>
      <c r="G1213" s="46">
        <v>728273.2</v>
      </c>
      <c r="H1213" s="46">
        <v>1241333.47</v>
      </c>
      <c r="I1213" s="46">
        <v>2343342.83</v>
      </c>
      <c r="J1213" s="46">
        <v>3728508.71</v>
      </c>
      <c r="K1213" s="46">
        <v>5199887.13</v>
      </c>
      <c r="L1213" s="46">
        <v>18647218.02</v>
      </c>
      <c r="M1213" s="46"/>
      <c r="N1213" s="46"/>
    </row>
    <row r="1214" spans="5:14" x14ac:dyDescent="0.2">
      <c r="E1214" s="46">
        <v>46438.400000000001</v>
      </c>
      <c r="F1214" s="46">
        <v>144139.48000000001</v>
      </c>
      <c r="G1214" s="46">
        <v>219250.6</v>
      </c>
      <c r="H1214" s="46">
        <v>417802.26</v>
      </c>
      <c r="I1214" s="46">
        <v>655105.55000000005</v>
      </c>
      <c r="J1214" s="46">
        <v>1175610.6000000001</v>
      </c>
      <c r="K1214" s="46">
        <v>1637627.54</v>
      </c>
      <c r="L1214" s="46">
        <v>4757778.1900000004</v>
      </c>
      <c r="M1214" s="46"/>
      <c r="N1214" s="46"/>
    </row>
    <row r="1215" spans="5:14" x14ac:dyDescent="0.2">
      <c r="E1215" s="46">
        <v>62662.76</v>
      </c>
      <c r="F1215" s="46">
        <v>77677.22</v>
      </c>
      <c r="G1215" s="46">
        <v>235627.44</v>
      </c>
      <c r="H1215" s="46">
        <v>634235.30000000005</v>
      </c>
      <c r="I1215" s="46">
        <v>1789924.75</v>
      </c>
      <c r="J1215" s="46">
        <v>2171361.4300000002</v>
      </c>
      <c r="K1215" s="46">
        <v>2055857.65</v>
      </c>
      <c r="L1215" s="46">
        <v>6939365.8700000001</v>
      </c>
      <c r="M1215" s="46"/>
      <c r="N1215" s="46"/>
    </row>
    <row r="1216" spans="5:14" x14ac:dyDescent="0.2">
      <c r="E1216" s="46">
        <v>70949.56</v>
      </c>
      <c r="F1216" s="46">
        <v>144839.19</v>
      </c>
      <c r="G1216" s="46">
        <v>180121.66</v>
      </c>
      <c r="H1216" s="46">
        <v>290954.86</v>
      </c>
      <c r="I1216" s="46">
        <v>417322.64</v>
      </c>
      <c r="J1216" s="46">
        <v>1076611.56</v>
      </c>
      <c r="K1216" s="46">
        <v>1578945.3</v>
      </c>
      <c r="L1216" s="46">
        <v>2225387.96</v>
      </c>
      <c r="M1216" s="46"/>
      <c r="N1216" s="46"/>
    </row>
    <row r="1217" spans="5:14" x14ac:dyDescent="0.2">
      <c r="E1217" s="46">
        <v>79849.52</v>
      </c>
      <c r="F1217" s="46">
        <v>221037.67</v>
      </c>
      <c r="G1217" s="46">
        <v>331290.67</v>
      </c>
      <c r="H1217" s="46">
        <v>667130.55000000005</v>
      </c>
      <c r="I1217" s="46">
        <v>429626.48</v>
      </c>
      <c r="J1217" s="46">
        <v>908535.78</v>
      </c>
      <c r="K1217" s="46">
        <v>1455953.84</v>
      </c>
      <c r="L1217" s="46">
        <v>1969295.3600000001</v>
      </c>
      <c r="M1217" s="46"/>
      <c r="N1217" s="46"/>
    </row>
    <row r="1218" spans="5:14" x14ac:dyDescent="0.2">
      <c r="E1218" s="46">
        <v>52989.71</v>
      </c>
      <c r="F1218" s="46">
        <v>170855.52</v>
      </c>
      <c r="G1218" s="46">
        <v>878481.02</v>
      </c>
      <c r="H1218" s="46">
        <v>1940016.06</v>
      </c>
      <c r="I1218" s="46">
        <v>2277435.1800000002</v>
      </c>
      <c r="J1218" s="46">
        <v>2388382.2400000002</v>
      </c>
      <c r="K1218" s="46">
        <v>5978238.8499999996</v>
      </c>
      <c r="L1218" s="46">
        <v>16509379.66</v>
      </c>
      <c r="M1218" s="46"/>
      <c r="N1218" s="46"/>
    </row>
    <row r="1219" spans="5:14" x14ac:dyDescent="0.2">
      <c r="E1219" s="46">
        <v>67165.820000000007</v>
      </c>
      <c r="F1219" s="46">
        <v>126123.98</v>
      </c>
      <c r="G1219" s="46">
        <v>480716.04</v>
      </c>
      <c r="H1219" s="46">
        <v>490772.04</v>
      </c>
      <c r="I1219" s="46">
        <v>1323573.05</v>
      </c>
      <c r="J1219" s="46">
        <v>3490725.65</v>
      </c>
      <c r="K1219" s="46">
        <v>2300829.56</v>
      </c>
      <c r="L1219" s="46">
        <v>1935463.81</v>
      </c>
      <c r="M1219" s="46"/>
      <c r="N1219" s="46"/>
    </row>
    <row r="1220" spans="5:14" x14ac:dyDescent="0.2">
      <c r="E1220" s="46">
        <v>90223.67</v>
      </c>
      <c r="F1220" s="46">
        <v>138924.84</v>
      </c>
      <c r="G1220" s="46">
        <v>187595.02</v>
      </c>
      <c r="H1220" s="46">
        <v>315171.18</v>
      </c>
      <c r="I1220" s="46">
        <v>548005.5</v>
      </c>
      <c r="J1220" s="46">
        <v>1455942.81</v>
      </c>
      <c r="K1220" s="46">
        <v>3933593.65</v>
      </c>
      <c r="L1220" s="46">
        <v>4080964.18</v>
      </c>
      <c r="M1220" s="46"/>
      <c r="N1220" s="46"/>
    </row>
    <row r="1221" spans="5:14" x14ac:dyDescent="0.2">
      <c r="E1221" s="46">
        <v>37086.160000000003</v>
      </c>
      <c r="F1221" s="46">
        <v>189240.98</v>
      </c>
      <c r="G1221" s="46">
        <v>378051.42</v>
      </c>
      <c r="H1221" s="46">
        <v>1022354.88</v>
      </c>
      <c r="I1221" s="46">
        <v>769682.26</v>
      </c>
      <c r="J1221" s="46">
        <v>1217651.3500000001</v>
      </c>
      <c r="K1221" s="46">
        <v>2825241.32</v>
      </c>
      <c r="L1221" s="46">
        <v>3466326.65</v>
      </c>
      <c r="M1221" s="46"/>
      <c r="N1221" s="46"/>
    </row>
    <row r="1222" spans="5:14" x14ac:dyDescent="0.2">
      <c r="E1222" s="46">
        <v>40062.230000000003</v>
      </c>
      <c r="F1222" s="46">
        <v>95715.81</v>
      </c>
      <c r="G1222" s="46">
        <v>153911.14000000001</v>
      </c>
      <c r="H1222" s="46">
        <v>185209.73</v>
      </c>
      <c r="I1222" s="46">
        <v>593454.51</v>
      </c>
      <c r="J1222" s="46">
        <v>755055.45</v>
      </c>
      <c r="K1222" s="46">
        <v>1143341.0900000001</v>
      </c>
      <c r="L1222" s="46">
        <v>1901443.54</v>
      </c>
      <c r="M1222" s="46"/>
      <c r="N1222" s="46"/>
    </row>
    <row r="1223" spans="5:14" x14ac:dyDescent="0.2">
      <c r="E1223" s="46">
        <v>51870.04</v>
      </c>
      <c r="F1223" s="46">
        <v>154148.79999999999</v>
      </c>
      <c r="G1223" s="46">
        <v>361435.89</v>
      </c>
      <c r="H1223" s="46">
        <v>687507.24</v>
      </c>
      <c r="I1223" s="46">
        <v>983103.97</v>
      </c>
      <c r="J1223" s="46">
        <v>974295.72</v>
      </c>
      <c r="K1223" s="46">
        <v>1117481.77</v>
      </c>
      <c r="L1223" s="46">
        <v>1112035.08</v>
      </c>
      <c r="M1223" s="46"/>
      <c r="N1223" s="46"/>
    </row>
    <row r="1224" spans="5:14" x14ac:dyDescent="0.2">
      <c r="E1224" s="46">
        <v>66418.28</v>
      </c>
      <c r="F1224" s="46">
        <v>160062.20000000001</v>
      </c>
      <c r="G1224" s="46">
        <v>489427.25</v>
      </c>
      <c r="H1224" s="46">
        <v>742826.51</v>
      </c>
      <c r="I1224" s="46">
        <v>2009090.3</v>
      </c>
      <c r="J1224" s="46">
        <v>3369695.82</v>
      </c>
      <c r="K1224" s="46">
        <v>4373727.62</v>
      </c>
      <c r="L1224" s="46">
        <v>2921277.7</v>
      </c>
      <c r="M1224" s="46"/>
      <c r="N1224" s="46"/>
    </row>
    <row r="1225" spans="5:14" x14ac:dyDescent="0.2">
      <c r="E1225" s="46">
        <v>54433.52</v>
      </c>
      <c r="F1225" s="46">
        <v>239418.49</v>
      </c>
      <c r="G1225" s="46">
        <v>319681.34999999998</v>
      </c>
      <c r="H1225" s="46">
        <v>931877.08</v>
      </c>
      <c r="I1225" s="46">
        <v>3006987.43</v>
      </c>
      <c r="J1225" s="46">
        <v>3043092.76</v>
      </c>
      <c r="K1225" s="46">
        <v>11104456.359999999</v>
      </c>
      <c r="L1225" s="46">
        <v>19096970.079999998</v>
      </c>
      <c r="M1225" s="46"/>
      <c r="N1225" s="46"/>
    </row>
    <row r="1226" spans="5:14" x14ac:dyDescent="0.2">
      <c r="E1226" s="46">
        <v>52561.29</v>
      </c>
      <c r="F1226" s="46">
        <v>118338.39</v>
      </c>
      <c r="G1226" s="46">
        <v>173205.52</v>
      </c>
      <c r="H1226" s="46">
        <v>420672.81</v>
      </c>
      <c r="I1226" s="46">
        <v>1027419.19</v>
      </c>
      <c r="J1226" s="46">
        <v>2869730.9</v>
      </c>
      <c r="K1226" s="46">
        <v>4174647.57</v>
      </c>
      <c r="L1226" s="46">
        <v>7110729.5300000003</v>
      </c>
      <c r="M1226" s="46"/>
      <c r="N1226" s="46"/>
    </row>
    <row r="1227" spans="5:14" x14ac:dyDescent="0.2">
      <c r="E1227" s="46">
        <v>66789.14</v>
      </c>
      <c r="F1227" s="46">
        <v>158206.41</v>
      </c>
      <c r="G1227" s="46">
        <v>317786.19</v>
      </c>
      <c r="H1227" s="46">
        <v>628184.92000000004</v>
      </c>
      <c r="I1227" s="46">
        <v>1028495.91</v>
      </c>
      <c r="J1227" s="46">
        <v>1585427.6</v>
      </c>
      <c r="K1227" s="46">
        <v>3823974.65</v>
      </c>
      <c r="L1227" s="46">
        <v>6085250.4299999997</v>
      </c>
      <c r="M1227" s="46"/>
      <c r="N1227" s="46"/>
    </row>
    <row r="1228" spans="5:14" x14ac:dyDescent="0.2">
      <c r="E1228" s="46">
        <v>57043.4</v>
      </c>
      <c r="F1228" s="46">
        <v>158804.76999999999</v>
      </c>
      <c r="G1228" s="46">
        <v>466826.83</v>
      </c>
      <c r="H1228" s="46">
        <v>1172398.33</v>
      </c>
      <c r="I1228" s="46">
        <v>1547225.93</v>
      </c>
      <c r="J1228" s="46">
        <v>1506177.6</v>
      </c>
      <c r="K1228" s="46">
        <v>2446645.83</v>
      </c>
      <c r="L1228" s="46">
        <v>2513198.13</v>
      </c>
      <c r="M1228" s="46"/>
      <c r="N1228" s="46"/>
    </row>
    <row r="1229" spans="5:14" x14ac:dyDescent="0.2">
      <c r="E1229" s="46">
        <v>65701.759999999995</v>
      </c>
      <c r="F1229" s="46">
        <v>124701.61</v>
      </c>
      <c r="G1229" s="46">
        <v>153335.35999999999</v>
      </c>
      <c r="H1229" s="46">
        <v>255886.16</v>
      </c>
      <c r="I1229" s="46">
        <v>513388.33</v>
      </c>
      <c r="J1229" s="46">
        <v>366429.14</v>
      </c>
      <c r="K1229" s="46">
        <v>708493.61</v>
      </c>
      <c r="L1229" s="46">
        <v>3934907.65</v>
      </c>
      <c r="M1229" s="46"/>
      <c r="N1229" s="46"/>
    </row>
    <row r="1230" spans="5:14" x14ac:dyDescent="0.2">
      <c r="E1230" s="46">
        <v>67534.8</v>
      </c>
      <c r="F1230" s="46">
        <v>100200.06</v>
      </c>
      <c r="G1230" s="46">
        <v>161951.34</v>
      </c>
      <c r="H1230" s="46">
        <v>223220.59</v>
      </c>
      <c r="I1230" s="46">
        <v>224322.11</v>
      </c>
      <c r="J1230" s="46">
        <v>543063.37</v>
      </c>
      <c r="K1230" s="46">
        <v>1412758.74</v>
      </c>
      <c r="L1230" s="46">
        <v>1268846.98</v>
      </c>
      <c r="M1230" s="46"/>
      <c r="N1230" s="46"/>
    </row>
    <row r="1231" spans="5:14" x14ac:dyDescent="0.2">
      <c r="E1231" s="46">
        <v>69095.37</v>
      </c>
      <c r="F1231" s="46">
        <v>218466.7</v>
      </c>
      <c r="G1231" s="46">
        <v>430295.68</v>
      </c>
      <c r="H1231" s="46">
        <v>1575906.18</v>
      </c>
      <c r="I1231" s="46">
        <v>2957557.98</v>
      </c>
      <c r="J1231" s="46">
        <v>3410817.7</v>
      </c>
      <c r="K1231" s="46">
        <v>2005026.36</v>
      </c>
      <c r="L1231" s="46">
        <v>5737505.3799999999</v>
      </c>
      <c r="M1231" s="46"/>
      <c r="N1231" s="46"/>
    </row>
    <row r="1232" spans="5:14" x14ac:dyDescent="0.2">
      <c r="E1232" s="46">
        <v>40154.589999999997</v>
      </c>
      <c r="F1232" s="46">
        <v>173730.74</v>
      </c>
      <c r="G1232" s="46">
        <v>629515.9</v>
      </c>
      <c r="H1232" s="46">
        <v>727884.68</v>
      </c>
      <c r="I1232" s="46">
        <v>1141126.53</v>
      </c>
      <c r="J1232" s="46">
        <v>934679.04000000004</v>
      </c>
      <c r="K1232" s="46">
        <v>2375137.34</v>
      </c>
      <c r="L1232" s="46">
        <v>3085312.16</v>
      </c>
      <c r="M1232" s="46"/>
      <c r="N1232" s="46"/>
    </row>
    <row r="1233" spans="5:14" x14ac:dyDescent="0.2">
      <c r="E1233" s="46">
        <v>72995.289999999994</v>
      </c>
      <c r="F1233" s="46">
        <v>154892.12</v>
      </c>
      <c r="G1233" s="46">
        <v>239881.54</v>
      </c>
      <c r="H1233" s="46">
        <v>531659.73</v>
      </c>
      <c r="I1233" s="46">
        <v>1501120.79</v>
      </c>
      <c r="J1233" s="46">
        <v>1273305.01</v>
      </c>
      <c r="K1233" s="46">
        <v>2456586.91</v>
      </c>
      <c r="L1233" s="46">
        <v>5324679.26</v>
      </c>
      <c r="M1233" s="46"/>
      <c r="N1233" s="46"/>
    </row>
    <row r="1234" spans="5:14" x14ac:dyDescent="0.2">
      <c r="E1234" s="46">
        <v>62982.04</v>
      </c>
      <c r="F1234" s="46">
        <v>136156.21</v>
      </c>
      <c r="G1234" s="46">
        <v>220376.67</v>
      </c>
      <c r="H1234" s="46">
        <v>548988.78</v>
      </c>
      <c r="I1234" s="46">
        <v>924651.27</v>
      </c>
      <c r="J1234" s="46">
        <v>1703161.47</v>
      </c>
      <c r="K1234" s="46">
        <v>2015959.34</v>
      </c>
      <c r="L1234" s="46">
        <v>5222724.22</v>
      </c>
      <c r="M1234" s="46"/>
      <c r="N1234" s="46"/>
    </row>
    <row r="1235" spans="5:14" x14ac:dyDescent="0.2">
      <c r="E1235" s="46">
        <v>57682.63</v>
      </c>
      <c r="F1235" s="46">
        <v>214098.84</v>
      </c>
      <c r="G1235" s="46">
        <v>307354.84000000003</v>
      </c>
      <c r="H1235" s="46">
        <v>519993.81</v>
      </c>
      <c r="I1235" s="46">
        <v>527535.81999999995</v>
      </c>
      <c r="J1235" s="46">
        <v>1670694.37</v>
      </c>
      <c r="K1235" s="46">
        <v>1457153.03</v>
      </c>
      <c r="L1235" s="46">
        <v>1567026.5</v>
      </c>
      <c r="M1235" s="46"/>
      <c r="N1235" s="46"/>
    </row>
    <row r="1236" spans="5:14" x14ac:dyDescent="0.2">
      <c r="E1236" s="46">
        <v>40261.519999999997</v>
      </c>
      <c r="F1236" s="46">
        <v>140116.21</v>
      </c>
      <c r="G1236" s="46">
        <v>447611.77</v>
      </c>
      <c r="H1236" s="46">
        <v>576438.57999999996</v>
      </c>
      <c r="I1236" s="46">
        <v>2711145.14</v>
      </c>
      <c r="J1236" s="46">
        <v>6270677.3099999996</v>
      </c>
      <c r="K1236" s="46">
        <v>9642337.8499999996</v>
      </c>
      <c r="L1236" s="46">
        <v>22120564.440000001</v>
      </c>
      <c r="M1236" s="46"/>
      <c r="N1236" s="46"/>
    </row>
    <row r="1237" spans="5:14" x14ac:dyDescent="0.2">
      <c r="E1237" s="46">
        <v>67358.12</v>
      </c>
      <c r="F1237" s="46">
        <v>97164.42</v>
      </c>
      <c r="G1237" s="46">
        <v>275429.27</v>
      </c>
      <c r="H1237" s="46">
        <v>628016.21</v>
      </c>
      <c r="I1237" s="46">
        <v>1563290.96</v>
      </c>
      <c r="J1237" s="46">
        <v>1366030.67</v>
      </c>
      <c r="K1237" s="46">
        <v>2896836.64</v>
      </c>
      <c r="L1237" s="46">
        <v>1803859.54</v>
      </c>
      <c r="M1237" s="46"/>
      <c r="N1237" s="46"/>
    </row>
    <row r="1238" spans="5:14" x14ac:dyDescent="0.2">
      <c r="E1238" s="46">
        <v>53157.85</v>
      </c>
      <c r="F1238" s="46">
        <v>108663.71</v>
      </c>
      <c r="G1238" s="46">
        <v>152375.75</v>
      </c>
      <c r="H1238" s="46">
        <v>376555.49</v>
      </c>
      <c r="I1238" s="46">
        <v>771145.05</v>
      </c>
      <c r="J1238" s="46">
        <v>1925606.23</v>
      </c>
      <c r="K1238" s="46">
        <v>1441453.81</v>
      </c>
      <c r="L1238" s="46">
        <v>1456260.1</v>
      </c>
      <c r="M1238" s="46"/>
      <c r="N1238" s="46"/>
    </row>
    <row r="1239" spans="5:14" x14ac:dyDescent="0.2">
      <c r="E1239" s="46">
        <v>39646.53</v>
      </c>
      <c r="F1239" s="46">
        <v>153793.93</v>
      </c>
      <c r="G1239" s="46">
        <v>289772.79999999999</v>
      </c>
      <c r="H1239" s="46">
        <v>369890.29</v>
      </c>
      <c r="I1239" s="46">
        <v>230483.26</v>
      </c>
      <c r="J1239" s="46">
        <v>619893.05000000005</v>
      </c>
      <c r="K1239" s="46">
        <v>240117.79</v>
      </c>
      <c r="L1239" s="46">
        <v>357284.55</v>
      </c>
      <c r="M1239" s="46"/>
      <c r="N1239" s="46"/>
    </row>
    <row r="1240" spans="5:14" x14ac:dyDescent="0.2">
      <c r="E1240" s="46">
        <v>50222.46</v>
      </c>
      <c r="F1240" s="46">
        <v>111508.99</v>
      </c>
      <c r="G1240" s="46">
        <v>310134.98</v>
      </c>
      <c r="H1240" s="46">
        <v>339134.69</v>
      </c>
      <c r="I1240" s="46">
        <v>409886.82</v>
      </c>
      <c r="J1240" s="46">
        <v>1057693.02</v>
      </c>
      <c r="K1240" s="46">
        <v>1753672.22</v>
      </c>
      <c r="L1240" s="46">
        <v>2679154.5299999998</v>
      </c>
      <c r="M1240" s="46"/>
      <c r="N1240" s="46"/>
    </row>
    <row r="1241" spans="5:14" x14ac:dyDescent="0.2">
      <c r="E1241" s="46">
        <v>67151.67</v>
      </c>
      <c r="F1241" s="46">
        <v>219401.63</v>
      </c>
      <c r="G1241" s="46">
        <v>295743.13</v>
      </c>
      <c r="H1241" s="46">
        <v>814717.21</v>
      </c>
      <c r="I1241" s="46">
        <v>1431477.82</v>
      </c>
      <c r="J1241" s="46">
        <v>1594498.07</v>
      </c>
      <c r="K1241" s="46">
        <v>4283009.6399999997</v>
      </c>
      <c r="L1241" s="46">
        <v>8839662.5500000007</v>
      </c>
      <c r="M1241" s="46"/>
      <c r="N1241" s="46"/>
    </row>
    <row r="1242" spans="5:14" x14ac:dyDescent="0.2">
      <c r="E1242" s="46">
        <v>47919.88</v>
      </c>
      <c r="F1242" s="46">
        <v>113298.12</v>
      </c>
      <c r="G1242" s="46">
        <v>214050.8</v>
      </c>
      <c r="H1242" s="46">
        <v>417067.43</v>
      </c>
      <c r="I1242" s="46">
        <v>602819.96</v>
      </c>
      <c r="J1242" s="46">
        <v>1826451.93</v>
      </c>
      <c r="K1242" s="46">
        <v>3043983.91</v>
      </c>
      <c r="L1242" s="46">
        <v>7411183.5800000001</v>
      </c>
      <c r="M1242" s="46"/>
      <c r="N1242" s="46"/>
    </row>
    <row r="1243" spans="5:14" x14ac:dyDescent="0.2">
      <c r="E1243" s="46">
        <v>88649.19</v>
      </c>
      <c r="F1243" s="46">
        <v>349995.48</v>
      </c>
      <c r="G1243" s="46">
        <v>294618.96999999997</v>
      </c>
      <c r="H1243" s="46">
        <v>339948.9</v>
      </c>
      <c r="I1243" s="46">
        <v>547381.85</v>
      </c>
      <c r="J1243" s="46">
        <v>1147280.58</v>
      </c>
      <c r="K1243" s="46">
        <v>2355043.1</v>
      </c>
      <c r="L1243" s="46">
        <v>9350789.6500000004</v>
      </c>
      <c r="M1243" s="46"/>
      <c r="N1243" s="46"/>
    </row>
    <row r="1244" spans="5:14" x14ac:dyDescent="0.2">
      <c r="E1244" s="46">
        <v>57543.46</v>
      </c>
      <c r="F1244" s="46">
        <v>165913.48000000001</v>
      </c>
      <c r="G1244" s="46">
        <v>211274.6</v>
      </c>
      <c r="H1244" s="46">
        <v>481475.99</v>
      </c>
      <c r="I1244" s="46">
        <v>2338111.63</v>
      </c>
      <c r="J1244" s="46">
        <v>2828792.19</v>
      </c>
      <c r="K1244" s="46">
        <v>3561798.45</v>
      </c>
      <c r="L1244" s="46">
        <v>9855643.8000000007</v>
      </c>
      <c r="M1244" s="46"/>
      <c r="N1244" s="46"/>
    </row>
    <row r="1245" spans="5:14" x14ac:dyDescent="0.2">
      <c r="E1245" s="46">
        <v>52686.79</v>
      </c>
      <c r="F1245" s="46">
        <v>143073.60000000001</v>
      </c>
      <c r="G1245" s="46">
        <v>407115.51</v>
      </c>
      <c r="H1245" s="46">
        <v>672396.77</v>
      </c>
      <c r="I1245" s="46">
        <v>980798.64</v>
      </c>
      <c r="J1245" s="46">
        <v>1690497.02</v>
      </c>
      <c r="K1245" s="46">
        <v>1635906.54</v>
      </c>
      <c r="L1245" s="46">
        <v>4367562.79</v>
      </c>
      <c r="M1245" s="46"/>
      <c r="N1245" s="46"/>
    </row>
    <row r="1246" spans="5:14" x14ac:dyDescent="0.2">
      <c r="E1246" s="46">
        <v>57865.05</v>
      </c>
      <c r="F1246" s="46">
        <v>169172.66</v>
      </c>
      <c r="G1246" s="46">
        <v>341685.79</v>
      </c>
      <c r="H1246" s="46">
        <v>600756.81999999995</v>
      </c>
      <c r="I1246" s="46">
        <v>976859.68</v>
      </c>
      <c r="J1246" s="46">
        <v>2850539.55</v>
      </c>
      <c r="K1246" s="46">
        <v>5461831.1900000004</v>
      </c>
      <c r="L1246" s="46">
        <v>3215641.87</v>
      </c>
      <c r="M1246" s="46"/>
      <c r="N1246" s="46"/>
    </row>
    <row r="1247" spans="5:14" x14ac:dyDescent="0.2">
      <c r="E1247" s="46">
        <v>58620.99</v>
      </c>
      <c r="F1247" s="46">
        <v>115875.29</v>
      </c>
      <c r="G1247" s="46">
        <v>281285.21000000002</v>
      </c>
      <c r="H1247" s="46">
        <v>261600.47</v>
      </c>
      <c r="I1247" s="46">
        <v>339827.59</v>
      </c>
      <c r="J1247" s="46">
        <v>872953.51</v>
      </c>
      <c r="K1247" s="46">
        <v>1346567.16</v>
      </c>
      <c r="L1247" s="46">
        <v>2546503.9900000002</v>
      </c>
      <c r="M1247" s="46"/>
      <c r="N1247" s="46"/>
    </row>
    <row r="1248" spans="5:14" x14ac:dyDescent="0.2">
      <c r="E1248" s="46">
        <v>67633.45</v>
      </c>
      <c r="F1248" s="46">
        <v>256500.29</v>
      </c>
      <c r="G1248" s="46">
        <v>673955.52</v>
      </c>
      <c r="H1248" s="46">
        <v>1048946.18</v>
      </c>
      <c r="I1248" s="46">
        <v>1949888.45</v>
      </c>
      <c r="J1248" s="46">
        <v>3082595.09</v>
      </c>
      <c r="K1248" s="46">
        <v>2376641.38</v>
      </c>
      <c r="L1248" s="46">
        <v>5191903.76</v>
      </c>
      <c r="M1248" s="46"/>
      <c r="N1248" s="46"/>
    </row>
    <row r="1249" spans="5:14" x14ac:dyDescent="0.2">
      <c r="E1249" s="46">
        <v>49929.27</v>
      </c>
      <c r="F1249" s="46">
        <v>116834.02</v>
      </c>
      <c r="G1249" s="46">
        <v>275020.05</v>
      </c>
      <c r="H1249" s="46">
        <v>366477.03</v>
      </c>
      <c r="I1249" s="46">
        <v>715700.4</v>
      </c>
      <c r="J1249" s="46">
        <v>1056531.33</v>
      </c>
      <c r="K1249" s="46">
        <v>1611333.99</v>
      </c>
      <c r="L1249" s="46">
        <v>2378655.8199999998</v>
      </c>
      <c r="M1249" s="46"/>
      <c r="N1249" s="46"/>
    </row>
    <row r="1250" spans="5:14" x14ac:dyDescent="0.2">
      <c r="E1250" s="46">
        <v>44635.21</v>
      </c>
      <c r="F1250" s="46">
        <v>86048.57</v>
      </c>
      <c r="G1250" s="46">
        <v>384183.92</v>
      </c>
      <c r="H1250" s="46">
        <v>345941.7</v>
      </c>
      <c r="I1250" s="46">
        <v>342951.27</v>
      </c>
      <c r="J1250" s="46">
        <v>871841.71</v>
      </c>
      <c r="K1250" s="46">
        <v>1855361.79</v>
      </c>
      <c r="L1250" s="46">
        <v>2155795.77</v>
      </c>
      <c r="M1250" s="46"/>
      <c r="N1250" s="46"/>
    </row>
    <row r="1251" spans="5:14" x14ac:dyDescent="0.2">
      <c r="E1251" s="46">
        <v>56386.61</v>
      </c>
      <c r="F1251" s="46">
        <v>59715.82</v>
      </c>
      <c r="G1251" s="46">
        <v>218284.9</v>
      </c>
      <c r="H1251" s="46">
        <v>442876.81</v>
      </c>
      <c r="I1251" s="46">
        <v>1854078.76</v>
      </c>
      <c r="J1251" s="46">
        <v>3450693.25</v>
      </c>
      <c r="K1251" s="46">
        <v>3756682.16</v>
      </c>
      <c r="L1251" s="46">
        <v>5620683.4299999997</v>
      </c>
      <c r="M1251" s="46"/>
      <c r="N1251" s="46"/>
    </row>
    <row r="1252" spans="5:14" x14ac:dyDescent="0.2">
      <c r="E1252" s="46">
        <v>49800.88</v>
      </c>
      <c r="F1252" s="46">
        <v>282471.98</v>
      </c>
      <c r="G1252" s="46">
        <v>445478.9</v>
      </c>
      <c r="H1252" s="46">
        <v>696637.77</v>
      </c>
      <c r="I1252" s="46">
        <v>1275406.58</v>
      </c>
      <c r="J1252" s="46">
        <v>3201075.43</v>
      </c>
      <c r="K1252" s="46">
        <v>7568724.7599999998</v>
      </c>
      <c r="L1252" s="46">
        <v>17445842.460000001</v>
      </c>
      <c r="M1252" s="46"/>
      <c r="N1252" s="46"/>
    </row>
    <row r="1253" spans="5:14" x14ac:dyDescent="0.2">
      <c r="E1253" s="46">
        <v>46493.58</v>
      </c>
      <c r="F1253" s="46">
        <v>190506.65</v>
      </c>
      <c r="G1253" s="46">
        <v>794955.12</v>
      </c>
      <c r="H1253" s="46">
        <v>780814.36</v>
      </c>
      <c r="I1253" s="46">
        <v>760931.92</v>
      </c>
      <c r="J1253" s="46">
        <v>471673.28</v>
      </c>
      <c r="K1253" s="46">
        <v>521934.81</v>
      </c>
      <c r="L1253" s="46">
        <v>1064809.6399999999</v>
      </c>
      <c r="M1253" s="46"/>
      <c r="N1253" s="46"/>
    </row>
    <row r="1254" spans="5:14" x14ac:dyDescent="0.2">
      <c r="E1254" s="46">
        <v>66325.02</v>
      </c>
      <c r="F1254" s="46">
        <v>114998.72</v>
      </c>
      <c r="G1254" s="46">
        <v>267545.87</v>
      </c>
      <c r="H1254" s="46">
        <v>275199.21999999997</v>
      </c>
      <c r="I1254" s="46">
        <v>287952.18</v>
      </c>
      <c r="J1254" s="46">
        <v>599160.52</v>
      </c>
      <c r="K1254" s="46">
        <v>1255737.69</v>
      </c>
      <c r="L1254" s="46">
        <v>2670811.2799999998</v>
      </c>
      <c r="M1254" s="46"/>
      <c r="N1254" s="46"/>
    </row>
    <row r="1255" spans="5:14" x14ac:dyDescent="0.2">
      <c r="E1255" s="46">
        <v>43156.9</v>
      </c>
      <c r="F1255" s="46">
        <v>64726.34</v>
      </c>
      <c r="G1255" s="46">
        <v>133908.9</v>
      </c>
      <c r="H1255" s="46">
        <v>559131.27</v>
      </c>
      <c r="I1255" s="46">
        <v>1644238.35</v>
      </c>
      <c r="J1255" s="46">
        <v>2974302.08</v>
      </c>
      <c r="K1255" s="46">
        <v>7502213.5300000003</v>
      </c>
      <c r="L1255" s="46">
        <v>15820610.34</v>
      </c>
      <c r="M1255" s="46"/>
      <c r="N1255" s="46"/>
    </row>
    <row r="1256" spans="5:14" x14ac:dyDescent="0.2">
      <c r="E1256" s="46">
        <v>36550.42</v>
      </c>
      <c r="F1256" s="46">
        <v>174078.57</v>
      </c>
      <c r="G1256" s="46">
        <v>389252.66</v>
      </c>
      <c r="H1256" s="46">
        <v>719717</v>
      </c>
      <c r="I1256" s="46">
        <v>3353147.67</v>
      </c>
      <c r="J1256" s="46">
        <v>3250360.01</v>
      </c>
      <c r="K1256" s="46">
        <v>8513762.5399999991</v>
      </c>
      <c r="L1256" s="46">
        <v>22093166.059999999</v>
      </c>
      <c r="M1256" s="46"/>
      <c r="N1256" s="46"/>
    </row>
    <row r="1257" spans="5:14" x14ac:dyDescent="0.2">
      <c r="E1257" s="46">
        <v>58795.49</v>
      </c>
      <c r="F1257" s="46">
        <v>102435.54</v>
      </c>
      <c r="G1257" s="46">
        <v>164081.97</v>
      </c>
      <c r="H1257" s="46">
        <v>282360.89</v>
      </c>
      <c r="I1257" s="46">
        <v>1132757.3400000001</v>
      </c>
      <c r="J1257" s="46">
        <v>3531573.51</v>
      </c>
      <c r="K1257" s="46">
        <v>6139527.54</v>
      </c>
      <c r="L1257" s="46">
        <v>6218307.9100000001</v>
      </c>
      <c r="M1257" s="46"/>
      <c r="N1257" s="46"/>
    </row>
    <row r="1258" spans="5:14" x14ac:dyDescent="0.2">
      <c r="E1258" s="46">
        <v>48631.82</v>
      </c>
      <c r="F1258" s="46">
        <v>139875.54</v>
      </c>
      <c r="G1258" s="46">
        <v>215270.12</v>
      </c>
      <c r="H1258" s="46">
        <v>184246.26</v>
      </c>
      <c r="I1258" s="46">
        <v>275749.67</v>
      </c>
      <c r="J1258" s="46">
        <v>282260.99</v>
      </c>
      <c r="K1258" s="46">
        <v>1444909.16</v>
      </c>
      <c r="L1258" s="46">
        <v>1936024.35</v>
      </c>
      <c r="M1258" s="46"/>
      <c r="N1258" s="46"/>
    </row>
    <row r="1259" spans="5:14" x14ac:dyDescent="0.2">
      <c r="E1259" s="46">
        <v>67255.3</v>
      </c>
      <c r="F1259" s="46">
        <v>112499.74</v>
      </c>
      <c r="G1259" s="46">
        <v>309134.56</v>
      </c>
      <c r="H1259" s="46">
        <v>671588.84</v>
      </c>
      <c r="I1259" s="46">
        <v>799699.49</v>
      </c>
      <c r="J1259" s="46">
        <v>2093839.55</v>
      </c>
      <c r="K1259" s="46">
        <v>7046781.3499999996</v>
      </c>
      <c r="L1259" s="46">
        <v>5399302.8899999997</v>
      </c>
      <c r="M1259" s="46"/>
      <c r="N1259" s="46"/>
    </row>
    <row r="1260" spans="5:14" x14ac:dyDescent="0.2">
      <c r="E1260" s="46">
        <v>36610.959999999999</v>
      </c>
      <c r="F1260" s="46">
        <v>114867.68</v>
      </c>
      <c r="G1260" s="46">
        <v>150001.14000000001</v>
      </c>
      <c r="H1260" s="46">
        <v>302796.71000000002</v>
      </c>
      <c r="I1260" s="46">
        <v>842382.93</v>
      </c>
      <c r="J1260" s="46">
        <v>1605884.72</v>
      </c>
      <c r="K1260" s="46">
        <v>2499883.5</v>
      </c>
      <c r="L1260" s="46">
        <v>4321147.97</v>
      </c>
      <c r="M1260" s="46"/>
      <c r="N1260" s="46"/>
    </row>
    <row r="1261" spans="5:14" x14ac:dyDescent="0.2">
      <c r="E1261" s="46">
        <v>46105.58</v>
      </c>
      <c r="F1261" s="46">
        <v>126478.39</v>
      </c>
      <c r="G1261" s="46">
        <v>296720.03999999998</v>
      </c>
      <c r="H1261" s="46">
        <v>747623.48</v>
      </c>
      <c r="I1261" s="46">
        <v>1217434.6299999999</v>
      </c>
      <c r="J1261" s="46">
        <v>1380324.89</v>
      </c>
      <c r="K1261" s="46">
        <v>2803710.03</v>
      </c>
      <c r="L1261" s="46">
        <v>4816714.96</v>
      </c>
      <c r="M1261" s="46"/>
      <c r="N1261" s="46"/>
    </row>
    <row r="1262" spans="5:14" x14ac:dyDescent="0.2">
      <c r="E1262" s="46">
        <v>35418.9</v>
      </c>
      <c r="F1262" s="46">
        <v>91173.15</v>
      </c>
      <c r="G1262" s="46">
        <v>117980.69</v>
      </c>
      <c r="H1262" s="46">
        <v>130723.47</v>
      </c>
      <c r="I1262" s="46">
        <v>298267.34000000003</v>
      </c>
      <c r="J1262" s="46">
        <v>609476.91</v>
      </c>
      <c r="K1262" s="46">
        <v>1524423.93</v>
      </c>
      <c r="L1262" s="46">
        <v>3483425.19</v>
      </c>
      <c r="M1262" s="46"/>
      <c r="N1262" s="46"/>
    </row>
    <row r="1263" spans="5:14" x14ac:dyDescent="0.2">
      <c r="E1263" s="46">
        <v>45277.23</v>
      </c>
      <c r="F1263" s="46">
        <v>70911.37</v>
      </c>
      <c r="G1263" s="46">
        <v>130729.61</v>
      </c>
      <c r="H1263" s="46">
        <v>403786.33</v>
      </c>
      <c r="I1263" s="46">
        <v>589971.03</v>
      </c>
      <c r="J1263" s="46">
        <v>909165.85</v>
      </c>
      <c r="K1263" s="46">
        <v>1940318.11</v>
      </c>
      <c r="L1263" s="46">
        <v>2147165.54</v>
      </c>
      <c r="M1263" s="46"/>
      <c r="N1263" s="46"/>
    </row>
    <row r="1264" spans="5:14" x14ac:dyDescent="0.2">
      <c r="E1264" s="46">
        <v>54065.02</v>
      </c>
      <c r="F1264" s="46">
        <v>191719.51</v>
      </c>
      <c r="G1264" s="46">
        <v>145367.35</v>
      </c>
      <c r="H1264" s="46">
        <v>296070.32</v>
      </c>
      <c r="I1264" s="46">
        <v>520084.16</v>
      </c>
      <c r="J1264" s="46">
        <v>1961983.36</v>
      </c>
      <c r="K1264" s="46">
        <v>2161316.6</v>
      </c>
      <c r="L1264" s="46">
        <v>2697935.11</v>
      </c>
      <c r="M1264" s="46"/>
      <c r="N1264" s="46"/>
    </row>
    <row r="1265" spans="5:14" x14ac:dyDescent="0.2">
      <c r="E1265" s="46">
        <v>42894.75</v>
      </c>
      <c r="F1265" s="46">
        <v>121883.84</v>
      </c>
      <c r="G1265" s="46">
        <v>280227.25</v>
      </c>
      <c r="H1265" s="46">
        <v>561262.27</v>
      </c>
      <c r="I1265" s="46">
        <v>808868.64</v>
      </c>
      <c r="J1265" s="46">
        <v>1774965.6</v>
      </c>
      <c r="K1265" s="46">
        <v>5209474.33</v>
      </c>
      <c r="L1265" s="46">
        <v>5519342.8600000003</v>
      </c>
      <c r="M1265" s="46"/>
      <c r="N1265" s="46"/>
    </row>
    <row r="1266" spans="5:14" x14ac:dyDescent="0.2">
      <c r="E1266" s="46">
        <v>48651.55</v>
      </c>
      <c r="F1266" s="46">
        <v>235425.99</v>
      </c>
      <c r="G1266" s="46">
        <v>439106.1</v>
      </c>
      <c r="H1266" s="46">
        <v>861772.14</v>
      </c>
      <c r="I1266" s="46">
        <v>1391276.71</v>
      </c>
      <c r="J1266" s="46">
        <v>926120.39</v>
      </c>
      <c r="K1266" s="46">
        <v>2576325.31</v>
      </c>
      <c r="L1266" s="46">
        <v>3012392.37</v>
      </c>
      <c r="M1266" s="46"/>
      <c r="N1266" s="46"/>
    </row>
    <row r="1267" spans="5:14" x14ac:dyDescent="0.2">
      <c r="E1267" s="46">
        <v>77871.91</v>
      </c>
      <c r="F1267" s="46">
        <v>220912.4</v>
      </c>
      <c r="G1267" s="46">
        <v>342496.3</v>
      </c>
      <c r="H1267" s="46">
        <v>502026.2</v>
      </c>
      <c r="I1267" s="46">
        <v>548201.14</v>
      </c>
      <c r="J1267" s="46">
        <v>1760631.06</v>
      </c>
      <c r="K1267" s="46">
        <v>2319221.86</v>
      </c>
      <c r="L1267" s="46">
        <v>2826625.12</v>
      </c>
      <c r="M1267" s="46"/>
      <c r="N1267" s="46"/>
    </row>
    <row r="1268" spans="5:14" x14ac:dyDescent="0.2">
      <c r="E1268" s="46">
        <v>47979.040000000001</v>
      </c>
      <c r="F1268" s="46">
        <v>107927.61</v>
      </c>
      <c r="G1268" s="46">
        <v>278504.19</v>
      </c>
      <c r="H1268" s="46">
        <v>649953.1</v>
      </c>
      <c r="I1268" s="46">
        <v>1153782.82</v>
      </c>
      <c r="J1268" s="46">
        <v>1965876.83</v>
      </c>
      <c r="K1268" s="46">
        <v>1933299.33</v>
      </c>
      <c r="L1268" s="46">
        <v>3669729.12</v>
      </c>
      <c r="M1268" s="46"/>
      <c r="N1268" s="46"/>
    </row>
    <row r="1269" spans="5:14" x14ac:dyDescent="0.2">
      <c r="E1269" s="46">
        <v>38263.360000000001</v>
      </c>
      <c r="F1269" s="46">
        <v>75023.98</v>
      </c>
      <c r="G1269" s="46">
        <v>147497.06</v>
      </c>
      <c r="H1269" s="46">
        <v>261236.32</v>
      </c>
      <c r="I1269" s="46">
        <v>550507.92000000004</v>
      </c>
      <c r="J1269" s="46">
        <v>595494.75</v>
      </c>
      <c r="K1269" s="46">
        <v>1807106.57</v>
      </c>
      <c r="L1269" s="46">
        <v>2424701.5</v>
      </c>
      <c r="M1269" s="46"/>
      <c r="N1269" s="46"/>
    </row>
    <row r="1270" spans="5:14" x14ac:dyDescent="0.2">
      <c r="E1270" s="46">
        <v>78405.789999999994</v>
      </c>
      <c r="F1270" s="46">
        <v>125032.58</v>
      </c>
      <c r="G1270" s="46">
        <v>141279.07999999999</v>
      </c>
      <c r="H1270" s="46">
        <v>447757.13</v>
      </c>
      <c r="I1270" s="46">
        <v>531033.01</v>
      </c>
      <c r="J1270" s="46">
        <v>894477.5</v>
      </c>
      <c r="K1270" s="46">
        <v>2713850.32</v>
      </c>
      <c r="L1270" s="46">
        <v>4707296.1100000003</v>
      </c>
      <c r="M1270" s="46"/>
      <c r="N1270" s="46"/>
    </row>
    <row r="1271" spans="5:14" x14ac:dyDescent="0.2">
      <c r="E1271" s="46">
        <v>44990.47</v>
      </c>
      <c r="F1271" s="46">
        <v>82829.64</v>
      </c>
      <c r="G1271" s="46">
        <v>249179.32</v>
      </c>
      <c r="H1271" s="46">
        <v>399792.11</v>
      </c>
      <c r="I1271" s="46">
        <v>850300.3</v>
      </c>
      <c r="J1271" s="46">
        <v>1437554.78</v>
      </c>
      <c r="K1271" s="46">
        <v>2470720.79</v>
      </c>
      <c r="L1271" s="46">
        <v>7923704.5599999996</v>
      </c>
      <c r="M1271" s="46"/>
      <c r="N1271" s="46"/>
    </row>
    <row r="1272" spans="5:14" x14ac:dyDescent="0.2">
      <c r="E1272" s="46">
        <v>67103.33</v>
      </c>
      <c r="F1272" s="46">
        <v>179070.28</v>
      </c>
      <c r="G1272" s="46">
        <v>335163.11</v>
      </c>
      <c r="H1272" s="46">
        <v>332593.58</v>
      </c>
      <c r="I1272" s="46">
        <v>292255.37</v>
      </c>
      <c r="J1272" s="46">
        <v>515877.32</v>
      </c>
      <c r="K1272" s="46">
        <v>552079.28</v>
      </c>
      <c r="L1272" s="46">
        <v>1234857.6399999999</v>
      </c>
      <c r="M1272" s="46"/>
      <c r="N1272" s="46"/>
    </row>
    <row r="1273" spans="5:14" x14ac:dyDescent="0.2">
      <c r="E1273" s="46">
        <v>68609.84</v>
      </c>
      <c r="F1273" s="46">
        <v>282738.62</v>
      </c>
      <c r="G1273" s="46">
        <v>216945.63</v>
      </c>
      <c r="H1273" s="46">
        <v>460892.19</v>
      </c>
      <c r="I1273" s="46">
        <v>989737.24</v>
      </c>
      <c r="J1273" s="46">
        <v>1924530.17</v>
      </c>
      <c r="K1273" s="46">
        <v>2647658.8199999998</v>
      </c>
      <c r="L1273" s="46">
        <v>5536840.3899999997</v>
      </c>
      <c r="M1273" s="46"/>
      <c r="N1273" s="46"/>
    </row>
    <row r="1274" spans="5:14" x14ac:dyDescent="0.2">
      <c r="E1274" s="46">
        <v>43364.14</v>
      </c>
      <c r="F1274" s="46">
        <v>75006.61</v>
      </c>
      <c r="G1274" s="46">
        <v>195314.1</v>
      </c>
      <c r="H1274" s="46">
        <v>376435.89</v>
      </c>
      <c r="I1274" s="46">
        <v>707080.44</v>
      </c>
      <c r="J1274" s="46">
        <v>2182489.65</v>
      </c>
      <c r="K1274" s="46">
        <v>5383807.3300000001</v>
      </c>
      <c r="L1274" s="46">
        <v>7812517.7400000002</v>
      </c>
      <c r="M1274" s="46"/>
      <c r="N1274" s="46"/>
    </row>
    <row r="1275" spans="5:14" x14ac:dyDescent="0.2">
      <c r="E1275" s="46">
        <v>41205.46</v>
      </c>
      <c r="F1275" s="46">
        <v>149246.15</v>
      </c>
      <c r="G1275" s="46">
        <v>226011.58</v>
      </c>
      <c r="H1275" s="46">
        <v>445816.8</v>
      </c>
      <c r="I1275" s="46">
        <v>580108.35</v>
      </c>
      <c r="J1275" s="46">
        <v>988712.43</v>
      </c>
      <c r="K1275" s="46">
        <v>2548186.94</v>
      </c>
      <c r="L1275" s="46">
        <v>5131560.5999999996</v>
      </c>
      <c r="M1275" s="46"/>
      <c r="N1275" s="46"/>
    </row>
    <row r="1276" spans="5:14" x14ac:dyDescent="0.2">
      <c r="E1276" s="46">
        <v>83544.97</v>
      </c>
      <c r="F1276" s="46">
        <v>212847.77</v>
      </c>
      <c r="G1276" s="46">
        <v>708587.55</v>
      </c>
      <c r="H1276" s="46">
        <v>3205504.6</v>
      </c>
      <c r="I1276" s="46">
        <v>4412789.92</v>
      </c>
      <c r="J1276" s="46">
        <v>10153469.439999999</v>
      </c>
      <c r="K1276" s="46">
        <v>19437254.649999999</v>
      </c>
      <c r="L1276" s="46">
        <v>52111054.240000002</v>
      </c>
      <c r="M1276" s="46"/>
      <c r="N1276" s="46"/>
    </row>
    <row r="1277" spans="5:14" x14ac:dyDescent="0.2">
      <c r="E1277" s="46">
        <v>44365.5</v>
      </c>
      <c r="F1277" s="46">
        <v>111481.58</v>
      </c>
      <c r="G1277" s="46">
        <v>197575.72</v>
      </c>
      <c r="H1277" s="46">
        <v>195930.37</v>
      </c>
      <c r="I1277" s="46">
        <v>373820.34</v>
      </c>
      <c r="J1277" s="46">
        <v>1039214.52</v>
      </c>
      <c r="K1277" s="46">
        <v>621050.75</v>
      </c>
      <c r="L1277" s="46">
        <v>1653012.59</v>
      </c>
      <c r="M1277" s="46"/>
      <c r="N1277" s="46"/>
    </row>
    <row r="1278" spans="5:14" x14ac:dyDescent="0.2">
      <c r="E1278" s="46">
        <v>52986.28</v>
      </c>
      <c r="F1278" s="46">
        <v>132548.07999999999</v>
      </c>
      <c r="G1278" s="46">
        <v>124520.29</v>
      </c>
      <c r="H1278" s="46">
        <v>179535.29</v>
      </c>
      <c r="I1278" s="46">
        <v>361785.17</v>
      </c>
      <c r="J1278" s="46">
        <v>401952.94</v>
      </c>
      <c r="K1278" s="46">
        <v>1414525.28</v>
      </c>
      <c r="L1278" s="46">
        <v>1829325.91</v>
      </c>
      <c r="M1278" s="46"/>
      <c r="N1278" s="46"/>
    </row>
    <row r="1279" spans="5:14" x14ac:dyDescent="0.2">
      <c r="E1279" s="46">
        <v>82106.490000000005</v>
      </c>
      <c r="F1279" s="46">
        <v>337976.19</v>
      </c>
      <c r="G1279" s="46">
        <v>558164.97</v>
      </c>
      <c r="H1279" s="46">
        <v>522312.1</v>
      </c>
      <c r="I1279" s="46">
        <v>428722.17</v>
      </c>
      <c r="J1279" s="46">
        <v>736477.86</v>
      </c>
      <c r="K1279" s="46">
        <v>1329850.56</v>
      </c>
      <c r="L1279" s="46">
        <v>2139123.54</v>
      </c>
      <c r="M1279" s="46"/>
      <c r="N1279" s="46"/>
    </row>
    <row r="1280" spans="5:14" x14ac:dyDescent="0.2">
      <c r="E1280" s="46">
        <v>59087.37</v>
      </c>
      <c r="F1280" s="46">
        <v>188929.89</v>
      </c>
      <c r="G1280" s="46">
        <v>735638.94</v>
      </c>
      <c r="H1280" s="46">
        <v>1924363.85</v>
      </c>
      <c r="I1280" s="46">
        <v>3447661.97</v>
      </c>
      <c r="J1280" s="46">
        <v>8717497.1999999993</v>
      </c>
      <c r="K1280" s="46">
        <v>19689591.879999999</v>
      </c>
      <c r="L1280" s="46">
        <v>64729721.18</v>
      </c>
      <c r="M1280" s="46"/>
      <c r="N1280" s="46"/>
    </row>
    <row r="1281" spans="5:14" x14ac:dyDescent="0.2">
      <c r="E1281" s="46">
        <v>54537.440000000002</v>
      </c>
      <c r="F1281" s="46">
        <v>128297.09</v>
      </c>
      <c r="G1281" s="46">
        <v>314803.46999999997</v>
      </c>
      <c r="H1281" s="46">
        <v>533276.4</v>
      </c>
      <c r="I1281" s="46">
        <v>1825152.88</v>
      </c>
      <c r="J1281" s="46">
        <v>2053491.8</v>
      </c>
      <c r="K1281" s="46">
        <v>3716472.47</v>
      </c>
      <c r="L1281" s="46">
        <v>5916998</v>
      </c>
      <c r="M1281" s="46"/>
      <c r="N1281" s="46"/>
    </row>
    <row r="1282" spans="5:14" x14ac:dyDescent="0.2">
      <c r="E1282" s="46">
        <v>43136.05</v>
      </c>
      <c r="F1282" s="46">
        <v>125786.82</v>
      </c>
      <c r="G1282" s="46">
        <v>334820.87</v>
      </c>
      <c r="H1282" s="46">
        <v>365653.24</v>
      </c>
      <c r="I1282" s="46">
        <v>371737.88</v>
      </c>
      <c r="J1282" s="46">
        <v>457173.82</v>
      </c>
      <c r="K1282" s="46">
        <v>1133259.57</v>
      </c>
      <c r="L1282" s="46">
        <v>1915097.14</v>
      </c>
      <c r="M1282" s="46"/>
      <c r="N1282" s="46"/>
    </row>
    <row r="1283" spans="5:14" x14ac:dyDescent="0.2">
      <c r="E1283" s="46">
        <v>50270.19</v>
      </c>
      <c r="F1283" s="46">
        <v>197219.97</v>
      </c>
      <c r="G1283" s="46">
        <v>294821.32</v>
      </c>
      <c r="H1283" s="46">
        <v>1068895.47</v>
      </c>
      <c r="I1283" s="46">
        <v>1206953.67</v>
      </c>
      <c r="J1283" s="46">
        <v>1448418.82</v>
      </c>
      <c r="K1283" s="46">
        <v>3002403.15</v>
      </c>
      <c r="L1283" s="46">
        <v>5353855.1500000004</v>
      </c>
      <c r="M1283" s="46"/>
      <c r="N1283" s="46"/>
    </row>
    <row r="1284" spans="5:14" x14ac:dyDescent="0.2">
      <c r="E1284" s="46">
        <v>57956.33</v>
      </c>
      <c r="F1284" s="46">
        <v>143243.48000000001</v>
      </c>
      <c r="G1284" s="46">
        <v>241181.15</v>
      </c>
      <c r="H1284" s="46">
        <v>349907.03</v>
      </c>
      <c r="I1284" s="46">
        <v>285435.51</v>
      </c>
      <c r="J1284" s="46">
        <v>349611.27</v>
      </c>
      <c r="K1284" s="46">
        <v>621254.02</v>
      </c>
      <c r="L1284" s="46">
        <v>1490977.15</v>
      </c>
      <c r="M1284" s="46"/>
      <c r="N1284" s="46"/>
    </row>
    <row r="1285" spans="5:14" x14ac:dyDescent="0.2">
      <c r="E1285" s="46">
        <v>37688.57</v>
      </c>
      <c r="F1285" s="46">
        <v>122736.24</v>
      </c>
      <c r="G1285" s="46">
        <v>366799.83</v>
      </c>
      <c r="H1285" s="46">
        <v>573163.91</v>
      </c>
      <c r="I1285" s="46">
        <v>832837.98</v>
      </c>
      <c r="J1285" s="46">
        <v>1211712.99</v>
      </c>
      <c r="K1285" s="46">
        <v>1278566.8600000001</v>
      </c>
      <c r="L1285" s="46">
        <v>1961790.47</v>
      </c>
      <c r="M1285" s="46"/>
      <c r="N1285" s="46"/>
    </row>
    <row r="1286" spans="5:14" x14ac:dyDescent="0.2">
      <c r="E1286" s="46">
        <v>53769.53</v>
      </c>
      <c r="F1286" s="46">
        <v>300387.59999999998</v>
      </c>
      <c r="G1286" s="46">
        <v>424081.46</v>
      </c>
      <c r="H1286" s="46">
        <v>565935.96</v>
      </c>
      <c r="I1286" s="46">
        <v>1556134.1</v>
      </c>
      <c r="J1286" s="46">
        <v>4373657.7</v>
      </c>
      <c r="K1286" s="46">
        <v>4097169.04</v>
      </c>
      <c r="L1286" s="46">
        <v>3310219.61</v>
      </c>
      <c r="M1286" s="46"/>
      <c r="N1286" s="46"/>
    </row>
    <row r="1287" spans="5:14" x14ac:dyDescent="0.2">
      <c r="E1287" s="46">
        <v>35952.449999999997</v>
      </c>
      <c r="F1287" s="46">
        <v>169604.48000000001</v>
      </c>
      <c r="G1287" s="46">
        <v>358577.26</v>
      </c>
      <c r="H1287" s="46">
        <v>689524.47</v>
      </c>
      <c r="I1287" s="46">
        <v>4662299.1900000004</v>
      </c>
      <c r="J1287" s="46">
        <v>6475892.4299999997</v>
      </c>
      <c r="K1287" s="46">
        <v>11043996.74</v>
      </c>
      <c r="L1287" s="46">
        <v>18846314.949999999</v>
      </c>
      <c r="M1287" s="46"/>
      <c r="N1287" s="46"/>
    </row>
    <row r="1288" spans="5:14" x14ac:dyDescent="0.2">
      <c r="E1288" s="46">
        <v>50367.199999999997</v>
      </c>
      <c r="F1288" s="46">
        <v>102713.64</v>
      </c>
      <c r="G1288" s="46">
        <v>285757.90999999997</v>
      </c>
      <c r="H1288" s="46">
        <v>431591.4</v>
      </c>
      <c r="I1288" s="46">
        <v>938253.77</v>
      </c>
      <c r="J1288" s="46">
        <v>4925085.58</v>
      </c>
      <c r="K1288" s="46">
        <v>7164448.7199999997</v>
      </c>
      <c r="L1288" s="46">
        <v>3888441.84</v>
      </c>
      <c r="M1288" s="46"/>
      <c r="N1288" s="46"/>
    </row>
    <row r="1289" spans="5:14" x14ac:dyDescent="0.2">
      <c r="E1289" s="46">
        <v>60170.58</v>
      </c>
      <c r="F1289" s="46">
        <v>195259.31</v>
      </c>
      <c r="G1289" s="46">
        <v>346595</v>
      </c>
      <c r="H1289" s="46">
        <v>960602.72</v>
      </c>
      <c r="I1289" s="46">
        <v>2319497.1800000002</v>
      </c>
      <c r="J1289" s="46">
        <v>3139211.07</v>
      </c>
      <c r="K1289" s="46">
        <v>5019488.4000000004</v>
      </c>
      <c r="L1289" s="46">
        <v>8942870.2200000007</v>
      </c>
      <c r="M1289" s="46"/>
      <c r="N1289" s="46"/>
    </row>
    <row r="1290" spans="5:14" x14ac:dyDescent="0.2">
      <c r="E1290" s="46">
        <v>45420.08</v>
      </c>
      <c r="F1290" s="46">
        <v>140967.5</v>
      </c>
      <c r="G1290" s="46">
        <v>398754.93</v>
      </c>
      <c r="H1290" s="46">
        <v>590338.04</v>
      </c>
      <c r="I1290" s="46">
        <v>458016.94</v>
      </c>
      <c r="J1290" s="46">
        <v>905122.95</v>
      </c>
      <c r="K1290" s="46">
        <v>834123.66</v>
      </c>
      <c r="L1290" s="46">
        <v>3354727.66</v>
      </c>
      <c r="M1290" s="46"/>
      <c r="N1290" s="46"/>
    </row>
    <row r="1291" spans="5:14" x14ac:dyDescent="0.2">
      <c r="E1291" s="46">
        <v>46929.05</v>
      </c>
      <c r="F1291" s="46">
        <v>117176.86</v>
      </c>
      <c r="G1291" s="46">
        <v>162953.99</v>
      </c>
      <c r="H1291" s="46">
        <v>179589.97</v>
      </c>
      <c r="I1291" s="46">
        <v>199799.88</v>
      </c>
      <c r="J1291" s="46">
        <v>538974.35</v>
      </c>
      <c r="K1291" s="46">
        <v>1142476.21</v>
      </c>
      <c r="L1291" s="46">
        <v>2071037.07</v>
      </c>
      <c r="M1291" s="46"/>
      <c r="N1291" s="46"/>
    </row>
    <row r="1292" spans="5:14" x14ac:dyDescent="0.2">
      <c r="E1292" s="46">
        <v>44589.08</v>
      </c>
      <c r="F1292" s="46">
        <v>129355.29</v>
      </c>
      <c r="G1292" s="46">
        <v>602809.41</v>
      </c>
      <c r="H1292" s="46">
        <v>1198131.57</v>
      </c>
      <c r="I1292" s="46">
        <v>3124800.47</v>
      </c>
      <c r="J1292" s="46">
        <v>4973770.7699999996</v>
      </c>
      <c r="K1292" s="46">
        <v>6853420.0999999996</v>
      </c>
      <c r="L1292" s="46">
        <v>6801259.4400000004</v>
      </c>
      <c r="M1292" s="46"/>
      <c r="N1292" s="46"/>
    </row>
    <row r="1293" spans="5:14" x14ac:dyDescent="0.2">
      <c r="E1293" s="46">
        <v>48659.22</v>
      </c>
      <c r="F1293" s="46">
        <v>84278.39</v>
      </c>
      <c r="G1293" s="46">
        <v>229460.18</v>
      </c>
      <c r="H1293" s="46">
        <v>447531.96</v>
      </c>
      <c r="I1293" s="46">
        <v>307821.83</v>
      </c>
      <c r="J1293" s="46">
        <v>479609.64</v>
      </c>
      <c r="K1293" s="46">
        <v>758319.98</v>
      </c>
      <c r="L1293" s="46">
        <v>1022640.39</v>
      </c>
      <c r="M1293" s="46"/>
      <c r="N1293" s="46"/>
    </row>
    <row r="1294" spans="5:14" x14ac:dyDescent="0.2">
      <c r="E1294" s="46">
        <v>58352.2</v>
      </c>
      <c r="F1294" s="46">
        <v>189574.68</v>
      </c>
      <c r="G1294" s="46">
        <v>1032393.2</v>
      </c>
      <c r="H1294" s="46">
        <v>2881258.17</v>
      </c>
      <c r="I1294" s="46">
        <v>7325252.1900000004</v>
      </c>
      <c r="J1294" s="46">
        <v>8023520.6399999997</v>
      </c>
      <c r="K1294" s="46">
        <v>6972258.0499999998</v>
      </c>
      <c r="L1294" s="46">
        <v>11547352.25</v>
      </c>
      <c r="M1294" s="46"/>
      <c r="N1294" s="46"/>
    </row>
    <row r="1295" spans="5:14" x14ac:dyDescent="0.2">
      <c r="E1295" s="46">
        <v>88572.84</v>
      </c>
      <c r="F1295" s="46">
        <v>136429.35999999999</v>
      </c>
      <c r="G1295" s="46">
        <v>236231.96</v>
      </c>
      <c r="H1295" s="46">
        <v>274733.86</v>
      </c>
      <c r="I1295" s="46">
        <v>224606.97</v>
      </c>
      <c r="J1295" s="46">
        <v>266460.19</v>
      </c>
      <c r="K1295" s="46">
        <v>438023.41</v>
      </c>
      <c r="L1295" s="46">
        <v>773031.19</v>
      </c>
      <c r="M1295" s="46"/>
      <c r="N1295" s="46"/>
    </row>
    <row r="1296" spans="5:14" x14ac:dyDescent="0.2">
      <c r="E1296" s="46">
        <v>23153.09</v>
      </c>
      <c r="F1296" s="46">
        <v>98564.42</v>
      </c>
      <c r="G1296" s="46">
        <v>300239.09000000003</v>
      </c>
      <c r="H1296" s="46">
        <v>495149.89</v>
      </c>
      <c r="I1296" s="46">
        <v>1936738.34</v>
      </c>
      <c r="J1296" s="46">
        <v>2456483.11</v>
      </c>
      <c r="K1296" s="46">
        <v>2988640.06</v>
      </c>
      <c r="L1296" s="46">
        <v>7368476.1600000001</v>
      </c>
      <c r="M1296" s="46"/>
      <c r="N1296" s="46"/>
    </row>
    <row r="1297" spans="5:14" x14ac:dyDescent="0.2">
      <c r="E1297" s="46">
        <v>72122.05</v>
      </c>
      <c r="F1297" s="46">
        <v>133996.99</v>
      </c>
      <c r="G1297" s="46">
        <v>337381.36</v>
      </c>
      <c r="H1297" s="46">
        <v>341102.7</v>
      </c>
      <c r="I1297" s="46">
        <v>548071.68000000005</v>
      </c>
      <c r="J1297" s="46">
        <v>807416.74</v>
      </c>
      <c r="K1297" s="46">
        <v>1056327.78</v>
      </c>
      <c r="L1297" s="46">
        <v>3675377.82</v>
      </c>
      <c r="M1297" s="46"/>
      <c r="N1297" s="46"/>
    </row>
    <row r="1298" spans="5:14" x14ac:dyDescent="0.2">
      <c r="E1298" s="46">
        <v>54638.92</v>
      </c>
      <c r="F1298" s="46">
        <v>123058.37</v>
      </c>
      <c r="G1298" s="46">
        <v>337193.61</v>
      </c>
      <c r="H1298" s="46">
        <v>482202.42</v>
      </c>
      <c r="I1298" s="46">
        <v>880815.34</v>
      </c>
      <c r="J1298" s="46">
        <v>1573604.98</v>
      </c>
      <c r="K1298" s="46">
        <v>4673826.7</v>
      </c>
      <c r="L1298" s="46">
        <v>8120117.4299999997</v>
      </c>
      <c r="M1298" s="46"/>
      <c r="N1298" s="46"/>
    </row>
    <row r="1299" spans="5:14" x14ac:dyDescent="0.2">
      <c r="E1299" s="46">
        <v>55458.33</v>
      </c>
      <c r="F1299" s="46">
        <v>94472.52</v>
      </c>
      <c r="G1299" s="46">
        <v>397574.45</v>
      </c>
      <c r="H1299" s="46">
        <v>598431.23</v>
      </c>
      <c r="I1299" s="46">
        <v>1206807.68</v>
      </c>
      <c r="J1299" s="46">
        <v>2805224.13</v>
      </c>
      <c r="K1299" s="46">
        <v>6261891.5199999996</v>
      </c>
      <c r="L1299" s="46">
        <v>8949834.4399999995</v>
      </c>
      <c r="M1299" s="46"/>
      <c r="N1299" s="46"/>
    </row>
    <row r="1300" spans="5:14" x14ac:dyDescent="0.2">
      <c r="E1300" s="46">
        <v>79604.38</v>
      </c>
      <c r="F1300" s="46">
        <v>173470.09</v>
      </c>
      <c r="G1300" s="46">
        <v>411041.94</v>
      </c>
      <c r="H1300" s="46">
        <v>1103672.8500000001</v>
      </c>
      <c r="I1300" s="46">
        <v>2501044.4300000002</v>
      </c>
      <c r="J1300" s="46">
        <v>4341480.66</v>
      </c>
      <c r="K1300" s="46">
        <v>4375799.29</v>
      </c>
      <c r="L1300" s="46">
        <v>14578993.68</v>
      </c>
      <c r="M1300" s="46"/>
      <c r="N1300" s="46"/>
    </row>
    <row r="1301" spans="5:14" x14ac:dyDescent="0.2">
      <c r="E1301" s="46">
        <v>59067.71</v>
      </c>
      <c r="F1301" s="46">
        <v>160178.72</v>
      </c>
      <c r="G1301" s="46">
        <v>213979.69</v>
      </c>
      <c r="H1301" s="46">
        <v>636058.24</v>
      </c>
      <c r="I1301" s="46">
        <v>745547.35</v>
      </c>
      <c r="J1301" s="46">
        <v>2090191.76</v>
      </c>
      <c r="K1301" s="46">
        <v>2196475.17</v>
      </c>
      <c r="L1301" s="46">
        <v>2922697.78</v>
      </c>
      <c r="M1301" s="46"/>
      <c r="N1301" s="46"/>
    </row>
    <row r="1302" spans="5:14" x14ac:dyDescent="0.2">
      <c r="E1302" s="46">
        <v>65121.62</v>
      </c>
      <c r="F1302" s="46">
        <v>183190.2</v>
      </c>
      <c r="G1302" s="46">
        <v>585018.31000000006</v>
      </c>
      <c r="H1302" s="46">
        <v>931888.79</v>
      </c>
      <c r="I1302" s="46">
        <v>1014077.3</v>
      </c>
      <c r="J1302" s="46">
        <v>2104412.11</v>
      </c>
      <c r="K1302" s="46">
        <v>2798917.38</v>
      </c>
      <c r="L1302" s="46">
        <v>5635130.1699999999</v>
      </c>
      <c r="M1302" s="46"/>
      <c r="N1302" s="46"/>
    </row>
    <row r="1303" spans="5:14" x14ac:dyDescent="0.2">
      <c r="E1303" s="46">
        <v>71953.88</v>
      </c>
      <c r="F1303" s="46">
        <v>214887.61</v>
      </c>
      <c r="G1303" s="46">
        <v>774610.63</v>
      </c>
      <c r="H1303" s="46">
        <v>2092148.96</v>
      </c>
      <c r="I1303" s="46">
        <v>2778335.44</v>
      </c>
      <c r="J1303" s="46">
        <v>4067101.32</v>
      </c>
      <c r="K1303" s="46">
        <v>3773018.33</v>
      </c>
      <c r="L1303" s="46">
        <v>4693587.0199999996</v>
      </c>
      <c r="M1303" s="46"/>
      <c r="N1303" s="46"/>
    </row>
    <row r="1304" spans="5:14" x14ac:dyDescent="0.2">
      <c r="E1304" s="46">
        <v>44046.38</v>
      </c>
      <c r="F1304" s="46">
        <v>164504.32999999999</v>
      </c>
      <c r="G1304" s="46">
        <v>149212.84</v>
      </c>
      <c r="H1304" s="46">
        <v>285528.71999999997</v>
      </c>
      <c r="I1304" s="46">
        <v>500451.85</v>
      </c>
      <c r="J1304" s="46">
        <v>1066846.07</v>
      </c>
      <c r="K1304" s="46">
        <v>1419275.64</v>
      </c>
      <c r="L1304" s="46">
        <v>2572730.4</v>
      </c>
      <c r="M1304" s="46"/>
      <c r="N1304" s="46"/>
    </row>
    <row r="1305" spans="5:14" x14ac:dyDescent="0.2">
      <c r="E1305" s="46">
        <v>33199.25</v>
      </c>
      <c r="F1305" s="46">
        <v>76962.42</v>
      </c>
      <c r="G1305" s="46">
        <v>229992.99</v>
      </c>
      <c r="H1305" s="46">
        <v>697515.72</v>
      </c>
      <c r="I1305" s="46">
        <v>836830.65</v>
      </c>
      <c r="J1305" s="46">
        <v>1350536.43</v>
      </c>
      <c r="K1305" s="46">
        <v>2591161.16</v>
      </c>
      <c r="L1305" s="46">
        <v>3447988.07</v>
      </c>
      <c r="M1305" s="46"/>
      <c r="N1305" s="46"/>
    </row>
    <row r="1306" spans="5:14" x14ac:dyDescent="0.2">
      <c r="E1306" s="46">
        <v>111872.11</v>
      </c>
      <c r="F1306" s="46">
        <v>182223.12</v>
      </c>
      <c r="G1306" s="46">
        <v>238492.27</v>
      </c>
      <c r="H1306" s="46">
        <v>522743.88</v>
      </c>
      <c r="I1306" s="46">
        <v>910938.26</v>
      </c>
      <c r="J1306" s="46">
        <v>1166256.8600000001</v>
      </c>
      <c r="K1306" s="46">
        <v>1324930.25</v>
      </c>
      <c r="L1306" s="46">
        <v>1180694.49</v>
      </c>
      <c r="M1306" s="46"/>
      <c r="N1306" s="46"/>
    </row>
    <row r="1307" spans="5:14" x14ac:dyDescent="0.2">
      <c r="E1307" s="46">
        <v>51330.87</v>
      </c>
      <c r="F1307" s="46">
        <v>102541.8</v>
      </c>
      <c r="G1307" s="46">
        <v>194008.23</v>
      </c>
      <c r="H1307" s="46">
        <v>230010.71</v>
      </c>
      <c r="I1307" s="46">
        <v>625384.95999999996</v>
      </c>
      <c r="J1307" s="46">
        <v>875805.3</v>
      </c>
      <c r="K1307" s="46">
        <v>2014148.89</v>
      </c>
      <c r="L1307" s="46">
        <v>2278135.2400000002</v>
      </c>
      <c r="M1307" s="46"/>
      <c r="N1307" s="46"/>
    </row>
    <row r="1308" spans="5:14" x14ac:dyDescent="0.2">
      <c r="E1308" s="46">
        <v>69414.78</v>
      </c>
      <c r="F1308" s="46">
        <v>117841.01</v>
      </c>
      <c r="G1308" s="46">
        <v>174941.04</v>
      </c>
      <c r="H1308" s="46">
        <v>269765.52</v>
      </c>
      <c r="I1308" s="46">
        <v>275016.71999999997</v>
      </c>
      <c r="J1308" s="46">
        <v>713078.93</v>
      </c>
      <c r="K1308" s="46">
        <v>817860.06</v>
      </c>
      <c r="L1308" s="46">
        <v>920243.01</v>
      </c>
      <c r="M1308" s="46"/>
      <c r="N1308" s="46"/>
    </row>
    <row r="1309" spans="5:14" x14ac:dyDescent="0.2">
      <c r="E1309" s="46">
        <v>109672.02</v>
      </c>
      <c r="F1309" s="46">
        <v>200043.3</v>
      </c>
      <c r="G1309" s="46">
        <v>200144.56</v>
      </c>
      <c r="H1309" s="46">
        <v>175225.06</v>
      </c>
      <c r="I1309" s="46">
        <v>208046.86</v>
      </c>
      <c r="J1309" s="46">
        <v>315929.90000000002</v>
      </c>
      <c r="K1309" s="46">
        <v>485683.94</v>
      </c>
      <c r="L1309" s="46">
        <v>376950.21</v>
      </c>
      <c r="M1309" s="46"/>
      <c r="N1309" s="46"/>
    </row>
    <row r="1310" spans="5:14" x14ac:dyDescent="0.2">
      <c r="E1310" s="46">
        <v>69429.649999999994</v>
      </c>
      <c r="F1310" s="46">
        <v>196642.68</v>
      </c>
      <c r="G1310" s="46">
        <v>353029.28</v>
      </c>
      <c r="H1310" s="46">
        <v>348199.56</v>
      </c>
      <c r="I1310" s="46">
        <v>855238.89</v>
      </c>
      <c r="J1310" s="46">
        <v>855429.43</v>
      </c>
      <c r="K1310" s="46">
        <v>1271471.75</v>
      </c>
      <c r="L1310" s="46">
        <v>2134805.5099999998</v>
      </c>
      <c r="M1310" s="46"/>
      <c r="N1310" s="46"/>
    </row>
    <row r="1311" spans="5:14" x14ac:dyDescent="0.2">
      <c r="E1311" s="46">
        <v>90328.69</v>
      </c>
      <c r="F1311" s="46">
        <v>132589.82</v>
      </c>
      <c r="G1311" s="46">
        <v>224477.48</v>
      </c>
      <c r="H1311" s="46">
        <v>415428.6</v>
      </c>
      <c r="I1311" s="46">
        <v>697119.27</v>
      </c>
      <c r="J1311" s="46">
        <v>846324.59</v>
      </c>
      <c r="K1311" s="46">
        <v>1755003.37</v>
      </c>
      <c r="L1311" s="46">
        <v>1929864.16</v>
      </c>
      <c r="M1311" s="46"/>
      <c r="N1311" s="46"/>
    </row>
    <row r="1312" spans="5:14" x14ac:dyDescent="0.2">
      <c r="E1312" s="46">
        <v>100088.29</v>
      </c>
      <c r="F1312" s="46">
        <v>234339.48</v>
      </c>
      <c r="G1312" s="46">
        <v>438214.85</v>
      </c>
      <c r="H1312" s="46">
        <v>730105.4</v>
      </c>
      <c r="I1312" s="46">
        <v>1058966.31</v>
      </c>
      <c r="J1312" s="46">
        <v>702312.73</v>
      </c>
      <c r="K1312" s="46">
        <v>587402.68999999994</v>
      </c>
      <c r="L1312" s="46">
        <v>912523.1</v>
      </c>
      <c r="M1312" s="46"/>
      <c r="N1312" s="46"/>
    </row>
    <row r="1313" spans="5:14" x14ac:dyDescent="0.2">
      <c r="E1313" s="46">
        <v>53082.83</v>
      </c>
      <c r="F1313" s="46">
        <v>175141.1</v>
      </c>
      <c r="G1313" s="46">
        <v>446165.08</v>
      </c>
      <c r="H1313" s="46">
        <v>1468859.86</v>
      </c>
      <c r="I1313" s="46">
        <v>1236139.06</v>
      </c>
      <c r="J1313" s="46">
        <v>2075080.8</v>
      </c>
      <c r="K1313" s="46">
        <v>2397132.85</v>
      </c>
      <c r="L1313" s="46">
        <v>2785810.43</v>
      </c>
      <c r="M1313" s="46"/>
      <c r="N1313" s="46"/>
    </row>
    <row r="1314" spans="5:14" x14ac:dyDescent="0.2">
      <c r="E1314" s="46">
        <v>39821.01</v>
      </c>
      <c r="F1314" s="46">
        <v>196653.1</v>
      </c>
      <c r="G1314" s="46">
        <v>628053.68000000005</v>
      </c>
      <c r="H1314" s="46">
        <v>1118669.8</v>
      </c>
      <c r="I1314" s="46">
        <v>2628660.7599999998</v>
      </c>
      <c r="J1314" s="46">
        <v>4472735.38</v>
      </c>
      <c r="K1314" s="46">
        <v>5027848.5199999996</v>
      </c>
      <c r="L1314" s="46">
        <v>7292116.1900000004</v>
      </c>
      <c r="M1314" s="46"/>
      <c r="N1314" s="46"/>
    </row>
    <row r="1315" spans="5:14" x14ac:dyDescent="0.2">
      <c r="E1315" s="46">
        <v>109801</v>
      </c>
      <c r="F1315" s="46">
        <v>138055.71</v>
      </c>
      <c r="G1315" s="46">
        <v>433915.92</v>
      </c>
      <c r="H1315" s="46">
        <v>478152.4</v>
      </c>
      <c r="I1315" s="46">
        <v>747087.17</v>
      </c>
      <c r="J1315" s="46">
        <v>882738.41</v>
      </c>
      <c r="K1315" s="46">
        <v>884862.54</v>
      </c>
      <c r="L1315" s="46">
        <v>2188751.06</v>
      </c>
      <c r="M1315" s="46"/>
      <c r="N1315" s="46"/>
    </row>
    <row r="1316" spans="5:14" x14ac:dyDescent="0.2">
      <c r="E1316" s="46">
        <v>47765.14</v>
      </c>
      <c r="F1316" s="46">
        <v>130059.12</v>
      </c>
      <c r="G1316" s="46">
        <v>304059.8</v>
      </c>
      <c r="H1316" s="46">
        <v>350221.77</v>
      </c>
      <c r="I1316" s="46">
        <v>248188.77</v>
      </c>
      <c r="J1316" s="46">
        <v>501028.84</v>
      </c>
      <c r="K1316" s="46">
        <v>806297.22</v>
      </c>
      <c r="L1316" s="46">
        <v>1065190.9099999999</v>
      </c>
      <c r="M1316" s="46"/>
      <c r="N1316" s="46"/>
    </row>
    <row r="1317" spans="5:14" x14ac:dyDescent="0.2">
      <c r="E1317" s="46">
        <v>56830.37</v>
      </c>
      <c r="F1317" s="46">
        <v>183093.14</v>
      </c>
      <c r="G1317" s="46">
        <v>495353.06</v>
      </c>
      <c r="H1317" s="46">
        <v>2375964.65</v>
      </c>
      <c r="I1317" s="46">
        <v>7315448.8899999997</v>
      </c>
      <c r="J1317" s="46">
        <v>20238925.350000001</v>
      </c>
      <c r="K1317" s="46">
        <v>19275056.489999998</v>
      </c>
      <c r="L1317" s="46">
        <v>22374421.149999999</v>
      </c>
      <c r="M1317" s="46"/>
      <c r="N1317" s="46"/>
    </row>
    <row r="1318" spans="5:14" x14ac:dyDescent="0.2">
      <c r="E1318" s="46">
        <v>40525.15</v>
      </c>
      <c r="F1318" s="46">
        <v>117093.74</v>
      </c>
      <c r="G1318" s="46">
        <v>202810.67</v>
      </c>
      <c r="H1318" s="46">
        <v>560026.73</v>
      </c>
      <c r="I1318" s="46">
        <v>1113019.98</v>
      </c>
      <c r="J1318" s="46">
        <v>1244415.3899999999</v>
      </c>
      <c r="K1318" s="46">
        <v>1291346.81</v>
      </c>
      <c r="L1318" s="46">
        <v>2021137.99</v>
      </c>
      <c r="M1318" s="46"/>
      <c r="N1318" s="46"/>
    </row>
    <row r="1319" spans="5:14" x14ac:dyDescent="0.2">
      <c r="E1319" s="46">
        <v>77448.25</v>
      </c>
      <c r="F1319" s="46">
        <v>187074.38</v>
      </c>
      <c r="G1319" s="46">
        <v>358708.14</v>
      </c>
      <c r="H1319" s="46">
        <v>625353.30000000005</v>
      </c>
      <c r="I1319" s="46">
        <v>642167.30000000005</v>
      </c>
      <c r="J1319" s="46">
        <v>1237807.1000000001</v>
      </c>
      <c r="K1319" s="46">
        <v>1517173.94</v>
      </c>
      <c r="L1319" s="46">
        <v>3051117.23</v>
      </c>
      <c r="M1319" s="46"/>
      <c r="N1319" s="46"/>
    </row>
    <row r="1320" spans="5:14" x14ac:dyDescent="0.2">
      <c r="E1320" s="46">
        <v>75563.23</v>
      </c>
      <c r="F1320" s="46">
        <v>93155.31</v>
      </c>
      <c r="G1320" s="46">
        <v>208091.06</v>
      </c>
      <c r="H1320" s="46">
        <v>406128.06</v>
      </c>
      <c r="I1320" s="46">
        <v>783700.89</v>
      </c>
      <c r="J1320" s="46">
        <v>609844.15</v>
      </c>
      <c r="K1320" s="46">
        <v>529122.02</v>
      </c>
      <c r="L1320" s="46">
        <v>449813.13</v>
      </c>
      <c r="M1320" s="46"/>
      <c r="N1320" s="46"/>
    </row>
    <row r="1321" spans="5:14" x14ac:dyDescent="0.2">
      <c r="E1321" s="46">
        <v>55145.94</v>
      </c>
      <c r="F1321" s="46">
        <v>228754.12</v>
      </c>
      <c r="G1321" s="46">
        <v>884578.18</v>
      </c>
      <c r="H1321" s="46">
        <v>2427311.4300000002</v>
      </c>
      <c r="I1321" s="46">
        <v>3245614.65</v>
      </c>
      <c r="J1321" s="46">
        <v>8299330.6600000001</v>
      </c>
      <c r="K1321" s="46">
        <v>10656843.16</v>
      </c>
      <c r="L1321" s="46">
        <v>12428434.140000001</v>
      </c>
      <c r="M1321" s="46"/>
      <c r="N1321" s="46"/>
    </row>
    <row r="1322" spans="5:14" x14ac:dyDescent="0.2">
      <c r="E1322" s="46">
        <v>53728.67</v>
      </c>
      <c r="F1322" s="46">
        <v>213749.94</v>
      </c>
      <c r="G1322" s="46">
        <v>419967.16</v>
      </c>
      <c r="H1322" s="46">
        <v>597621.06000000006</v>
      </c>
      <c r="I1322" s="46">
        <v>487442.09</v>
      </c>
      <c r="J1322" s="46">
        <v>858669.09</v>
      </c>
      <c r="K1322" s="46">
        <v>946880.13</v>
      </c>
      <c r="L1322" s="46">
        <v>1399119.3</v>
      </c>
      <c r="M1322" s="46"/>
      <c r="N1322" s="46"/>
    </row>
    <row r="1323" spans="5:14" x14ac:dyDescent="0.2">
      <c r="E1323" s="46">
        <v>65669.919999999998</v>
      </c>
      <c r="F1323" s="46">
        <v>397990.59</v>
      </c>
      <c r="G1323" s="46">
        <v>401935.9</v>
      </c>
      <c r="H1323" s="46">
        <v>553358.81999999995</v>
      </c>
      <c r="I1323" s="46">
        <v>820744.47</v>
      </c>
      <c r="J1323" s="46">
        <v>1622242.32</v>
      </c>
      <c r="K1323" s="46">
        <v>2969191.47</v>
      </c>
      <c r="L1323" s="46">
        <v>2694210.51</v>
      </c>
      <c r="M1323" s="46"/>
      <c r="N1323" s="46"/>
    </row>
    <row r="1324" spans="5:14" x14ac:dyDescent="0.2">
      <c r="E1324" s="46">
        <v>62104.05</v>
      </c>
      <c r="F1324" s="46">
        <v>172855.4</v>
      </c>
      <c r="G1324" s="46">
        <v>301784.09000000003</v>
      </c>
      <c r="H1324" s="46">
        <v>356596.57</v>
      </c>
      <c r="I1324" s="46">
        <v>654166.02</v>
      </c>
      <c r="J1324" s="46">
        <v>1181974.6200000001</v>
      </c>
      <c r="K1324" s="46">
        <v>1948472.21</v>
      </c>
      <c r="L1324" s="46">
        <v>4704011.28</v>
      </c>
      <c r="M1324" s="46"/>
      <c r="N1324" s="46"/>
    </row>
    <row r="1325" spans="5:14" x14ac:dyDescent="0.2">
      <c r="E1325" s="46">
        <v>34942.74</v>
      </c>
      <c r="F1325" s="46">
        <v>152827.85999999999</v>
      </c>
      <c r="G1325" s="46">
        <v>239520.87</v>
      </c>
      <c r="H1325" s="46">
        <v>367294</v>
      </c>
      <c r="I1325" s="46">
        <v>597858.36</v>
      </c>
      <c r="J1325" s="46">
        <v>498709.22</v>
      </c>
      <c r="K1325" s="46">
        <v>522788.73</v>
      </c>
      <c r="L1325" s="46">
        <v>596439.81999999995</v>
      </c>
      <c r="M1325" s="46"/>
      <c r="N1325" s="46"/>
    </row>
    <row r="1326" spans="5:14" x14ac:dyDescent="0.2">
      <c r="E1326" s="46">
        <v>53896.61</v>
      </c>
      <c r="F1326" s="46">
        <v>181584.16</v>
      </c>
      <c r="G1326" s="46">
        <v>886392.17</v>
      </c>
      <c r="H1326" s="46">
        <v>1515287.1</v>
      </c>
      <c r="I1326" s="46">
        <v>1501364.09</v>
      </c>
      <c r="J1326" s="46">
        <v>1337691.4099999999</v>
      </c>
      <c r="K1326" s="46">
        <v>4470134.12</v>
      </c>
      <c r="L1326" s="46">
        <v>18027295.77</v>
      </c>
      <c r="M1326" s="46"/>
      <c r="N1326" s="46"/>
    </row>
    <row r="1327" spans="5:14" x14ac:dyDescent="0.2">
      <c r="E1327" s="46">
        <v>41050.67</v>
      </c>
      <c r="F1327" s="46">
        <v>100768.1</v>
      </c>
      <c r="G1327" s="46">
        <v>431295.92</v>
      </c>
      <c r="H1327" s="46">
        <v>398080.52</v>
      </c>
      <c r="I1327" s="46">
        <v>537743.59</v>
      </c>
      <c r="J1327" s="46">
        <v>2607493.21</v>
      </c>
      <c r="K1327" s="46">
        <v>2867589.52</v>
      </c>
      <c r="L1327" s="46">
        <v>5074726.75</v>
      </c>
      <c r="M1327" s="46"/>
      <c r="N1327" s="46"/>
    </row>
    <row r="1328" spans="5:14" x14ac:dyDescent="0.2">
      <c r="E1328" s="46">
        <v>70322.97</v>
      </c>
      <c r="F1328" s="46">
        <v>162347.96</v>
      </c>
      <c r="G1328" s="46">
        <v>219326</v>
      </c>
      <c r="H1328" s="46">
        <v>537639.54</v>
      </c>
      <c r="I1328" s="46">
        <v>834132.85</v>
      </c>
      <c r="J1328" s="46">
        <v>868663.5</v>
      </c>
      <c r="K1328" s="46">
        <v>2562129.63</v>
      </c>
      <c r="L1328" s="46">
        <v>3039284.04</v>
      </c>
      <c r="M1328" s="46"/>
      <c r="N1328" s="46"/>
    </row>
    <row r="1329" spans="5:14" x14ac:dyDescent="0.2">
      <c r="E1329" s="46">
        <v>88059.57</v>
      </c>
      <c r="F1329" s="46">
        <v>308724.62</v>
      </c>
      <c r="G1329" s="46">
        <v>403483.03</v>
      </c>
      <c r="H1329" s="46">
        <v>621200.28</v>
      </c>
      <c r="I1329" s="46">
        <v>1281121.28</v>
      </c>
      <c r="J1329" s="46">
        <v>2268283.87</v>
      </c>
      <c r="K1329" s="46">
        <v>2159880.5099999998</v>
      </c>
      <c r="L1329" s="46">
        <v>4911033.12</v>
      </c>
      <c r="M1329" s="46"/>
      <c r="N1329" s="46"/>
    </row>
    <row r="1330" spans="5:14" x14ac:dyDescent="0.2">
      <c r="E1330" s="46">
        <v>43103.91</v>
      </c>
      <c r="F1330" s="46">
        <v>135672.76</v>
      </c>
      <c r="G1330" s="46">
        <v>204694.75</v>
      </c>
      <c r="H1330" s="46">
        <v>547785.68999999994</v>
      </c>
      <c r="I1330" s="46">
        <v>2015098.91</v>
      </c>
      <c r="J1330" s="46">
        <v>4627035.26</v>
      </c>
      <c r="K1330" s="46">
        <v>12235367.960000001</v>
      </c>
      <c r="L1330" s="46">
        <v>14781949.289999999</v>
      </c>
      <c r="M1330" s="46"/>
      <c r="N1330" s="46"/>
    </row>
    <row r="1331" spans="5:14" x14ac:dyDescent="0.2">
      <c r="E1331" s="46">
        <v>35208.660000000003</v>
      </c>
      <c r="F1331" s="46">
        <v>125451.07</v>
      </c>
      <c r="G1331" s="46">
        <v>592241.6</v>
      </c>
      <c r="H1331" s="46">
        <v>856859</v>
      </c>
      <c r="I1331" s="46">
        <v>1425513.1</v>
      </c>
      <c r="J1331" s="46">
        <v>2753801.43</v>
      </c>
      <c r="K1331" s="46">
        <v>5250245.04</v>
      </c>
      <c r="L1331" s="46">
        <v>11345247.5</v>
      </c>
      <c r="M1331" s="46"/>
      <c r="N1331" s="46"/>
    </row>
    <row r="1332" spans="5:14" x14ac:dyDescent="0.2">
      <c r="E1332" s="46">
        <v>55471.02</v>
      </c>
      <c r="F1332" s="46">
        <v>132045.26999999999</v>
      </c>
      <c r="G1332" s="46">
        <v>278125.98</v>
      </c>
      <c r="H1332" s="46">
        <v>485993.86</v>
      </c>
      <c r="I1332" s="46">
        <v>654890.36</v>
      </c>
      <c r="J1332" s="46">
        <v>1367801.71</v>
      </c>
      <c r="K1332" s="46">
        <v>2538387.12</v>
      </c>
      <c r="L1332" s="46">
        <v>3020128.37</v>
      </c>
      <c r="M1332" s="46"/>
      <c r="N1332" s="46"/>
    </row>
    <row r="1333" spans="5:14" x14ac:dyDescent="0.2">
      <c r="E1333" s="46">
        <v>37226.410000000003</v>
      </c>
      <c r="F1333" s="46">
        <v>105000.64</v>
      </c>
      <c r="G1333" s="46">
        <v>231716.45</v>
      </c>
      <c r="H1333" s="46">
        <v>239715.46</v>
      </c>
      <c r="I1333" s="46">
        <v>458782.52</v>
      </c>
      <c r="J1333" s="46">
        <v>517483.82</v>
      </c>
      <c r="K1333" s="46">
        <v>639724.74</v>
      </c>
      <c r="L1333" s="46">
        <v>358956.56</v>
      </c>
      <c r="M1333" s="46"/>
      <c r="N1333" s="46"/>
    </row>
    <row r="1334" spans="5:14" x14ac:dyDescent="0.2">
      <c r="E1334" s="46">
        <v>55328.68</v>
      </c>
      <c r="F1334" s="46">
        <v>153508.47</v>
      </c>
      <c r="G1334" s="46">
        <v>152632.14000000001</v>
      </c>
      <c r="H1334" s="46">
        <v>211993.43</v>
      </c>
      <c r="I1334" s="46">
        <v>331098.03999999998</v>
      </c>
      <c r="J1334" s="46">
        <v>400265.57</v>
      </c>
      <c r="K1334" s="46">
        <v>654436.68000000005</v>
      </c>
      <c r="L1334" s="46">
        <v>1127375.6200000001</v>
      </c>
      <c r="M1334" s="46"/>
      <c r="N1334" s="46"/>
    </row>
    <row r="1335" spans="5:14" x14ac:dyDescent="0.2">
      <c r="E1335" s="46">
        <v>49559.77</v>
      </c>
      <c r="F1335" s="46">
        <v>134505.26999999999</v>
      </c>
      <c r="G1335" s="46">
        <v>268886.59999999998</v>
      </c>
      <c r="H1335" s="46">
        <v>521051.72</v>
      </c>
      <c r="I1335" s="46">
        <v>906040.33</v>
      </c>
      <c r="J1335" s="46">
        <v>1339246.33</v>
      </c>
      <c r="K1335" s="46">
        <v>623859.06000000006</v>
      </c>
      <c r="L1335" s="46">
        <v>600189.01</v>
      </c>
      <c r="M1335" s="46"/>
      <c r="N1335" s="46"/>
    </row>
    <row r="1336" spans="5:14" x14ac:dyDescent="0.2">
      <c r="E1336" s="46">
        <v>33366.19</v>
      </c>
      <c r="F1336" s="46">
        <v>95344.56</v>
      </c>
      <c r="G1336" s="46">
        <v>270093.2</v>
      </c>
      <c r="H1336" s="46">
        <v>543722.04</v>
      </c>
      <c r="I1336" s="46">
        <v>601379.27</v>
      </c>
      <c r="J1336" s="46">
        <v>729187.7</v>
      </c>
      <c r="K1336" s="46">
        <v>959272.09</v>
      </c>
      <c r="L1336" s="46">
        <v>1367787.41</v>
      </c>
      <c r="M1336" s="46"/>
      <c r="N1336" s="46"/>
    </row>
    <row r="1337" spans="5:14" x14ac:dyDescent="0.2">
      <c r="E1337" s="46">
        <v>37830.550000000003</v>
      </c>
      <c r="F1337" s="46">
        <v>105160.26</v>
      </c>
      <c r="G1337" s="46">
        <v>376308.23</v>
      </c>
      <c r="H1337" s="46">
        <v>284599.07</v>
      </c>
      <c r="I1337" s="46">
        <v>510374.33</v>
      </c>
      <c r="J1337" s="46">
        <v>656714.91</v>
      </c>
      <c r="K1337" s="46">
        <v>561883.9</v>
      </c>
      <c r="L1337" s="46">
        <v>813062.92</v>
      </c>
      <c r="M1337" s="46"/>
      <c r="N1337" s="46"/>
    </row>
    <row r="1338" spans="5:14" x14ac:dyDescent="0.2">
      <c r="E1338" s="46">
        <v>55948.01</v>
      </c>
      <c r="F1338" s="46">
        <v>134922.64000000001</v>
      </c>
      <c r="G1338" s="46">
        <v>365662.81</v>
      </c>
      <c r="H1338" s="46">
        <v>987601.56</v>
      </c>
      <c r="I1338" s="46">
        <v>1845823.45</v>
      </c>
      <c r="J1338" s="46">
        <v>4037488</v>
      </c>
      <c r="K1338" s="46">
        <v>7322995.0599999996</v>
      </c>
      <c r="L1338" s="46">
        <v>10741924.960000001</v>
      </c>
      <c r="M1338" s="46"/>
      <c r="N1338" s="46"/>
    </row>
    <row r="1339" spans="5:14" x14ac:dyDescent="0.2">
      <c r="E1339" s="46">
        <v>50250.28</v>
      </c>
      <c r="F1339" s="46">
        <v>94265.83</v>
      </c>
      <c r="G1339" s="46">
        <v>279774.28000000003</v>
      </c>
      <c r="H1339" s="46">
        <v>569803.79</v>
      </c>
      <c r="I1339" s="46">
        <v>1218211.67</v>
      </c>
      <c r="J1339" s="46">
        <v>1145641.8400000001</v>
      </c>
      <c r="K1339" s="46">
        <v>2078926.81</v>
      </c>
      <c r="L1339" s="46">
        <v>3875128.61</v>
      </c>
      <c r="M1339" s="46"/>
      <c r="N1339" s="46"/>
    </row>
    <row r="1340" spans="5:14" x14ac:dyDescent="0.2">
      <c r="E1340" s="46">
        <v>69696.429999999993</v>
      </c>
      <c r="F1340" s="46">
        <v>118946.61</v>
      </c>
      <c r="G1340" s="46">
        <v>212757.69</v>
      </c>
      <c r="H1340" s="46">
        <v>543864.42000000004</v>
      </c>
      <c r="I1340" s="46">
        <v>313365.73</v>
      </c>
      <c r="J1340" s="46">
        <v>1061036.43</v>
      </c>
      <c r="K1340" s="46">
        <v>2021662.4</v>
      </c>
      <c r="L1340" s="46">
        <v>4634304.8600000003</v>
      </c>
      <c r="M1340" s="46"/>
      <c r="N1340" s="46"/>
    </row>
    <row r="1341" spans="5:14" x14ac:dyDescent="0.2">
      <c r="E1341" s="46">
        <v>68105.119999999995</v>
      </c>
      <c r="F1341" s="46">
        <v>95315.98</v>
      </c>
      <c r="G1341" s="46">
        <v>232422.3</v>
      </c>
      <c r="H1341" s="46">
        <v>671619.55</v>
      </c>
      <c r="I1341" s="46">
        <v>507111.89</v>
      </c>
      <c r="J1341" s="46">
        <v>1795783.44</v>
      </c>
      <c r="K1341" s="46">
        <v>2644705.3199999998</v>
      </c>
      <c r="L1341" s="46">
        <v>6292536.3200000003</v>
      </c>
      <c r="M1341" s="46"/>
      <c r="N1341" s="46"/>
    </row>
    <row r="1342" spans="5:14" x14ac:dyDescent="0.2">
      <c r="E1342" s="46">
        <v>79112.960000000006</v>
      </c>
      <c r="F1342" s="46">
        <v>153066.78</v>
      </c>
      <c r="G1342" s="46">
        <v>171556.71</v>
      </c>
      <c r="H1342" s="46">
        <v>392171.76</v>
      </c>
      <c r="I1342" s="46">
        <v>580073.02</v>
      </c>
      <c r="J1342" s="46">
        <v>890528.9</v>
      </c>
      <c r="K1342" s="46">
        <v>873312.18</v>
      </c>
      <c r="L1342" s="46">
        <v>1560615.23</v>
      </c>
      <c r="M1342" s="46"/>
      <c r="N1342" s="46"/>
    </row>
    <row r="1343" spans="5:14" x14ac:dyDescent="0.2">
      <c r="E1343" s="46">
        <v>41972.15</v>
      </c>
      <c r="F1343" s="46">
        <v>77365.33</v>
      </c>
      <c r="G1343" s="46">
        <v>102304</v>
      </c>
      <c r="H1343" s="46">
        <v>323308.96999999997</v>
      </c>
      <c r="I1343" s="46">
        <v>365675.5</v>
      </c>
      <c r="J1343" s="46">
        <v>639657.9</v>
      </c>
      <c r="K1343" s="46">
        <v>999099.18</v>
      </c>
      <c r="L1343" s="46">
        <v>1733910.42</v>
      </c>
      <c r="M1343" s="46"/>
      <c r="N1343" s="46"/>
    </row>
    <row r="1344" spans="5:14" x14ac:dyDescent="0.2">
      <c r="E1344" s="46">
        <v>61261.65</v>
      </c>
      <c r="F1344" s="46">
        <v>214496.1</v>
      </c>
      <c r="G1344" s="46">
        <v>519583.92</v>
      </c>
      <c r="H1344" s="46">
        <v>1487682.84</v>
      </c>
      <c r="I1344" s="46">
        <v>1480911.13</v>
      </c>
      <c r="J1344" s="46">
        <v>2348875.9</v>
      </c>
      <c r="K1344" s="46">
        <v>2197621.35</v>
      </c>
      <c r="L1344" s="46">
        <v>3769722.91</v>
      </c>
      <c r="M1344" s="46"/>
      <c r="N1344" s="46"/>
    </row>
    <row r="1345" spans="5:14" x14ac:dyDescent="0.2">
      <c r="E1345" s="46">
        <v>57002.720000000001</v>
      </c>
      <c r="F1345" s="46">
        <v>138514.94</v>
      </c>
      <c r="G1345" s="46">
        <v>103954.33</v>
      </c>
      <c r="H1345" s="46">
        <v>83657.69</v>
      </c>
      <c r="I1345" s="46">
        <v>126841.78</v>
      </c>
      <c r="J1345" s="46">
        <v>255391.49</v>
      </c>
      <c r="K1345" s="46">
        <v>386241.06</v>
      </c>
      <c r="L1345" s="46">
        <v>986905.11</v>
      </c>
      <c r="M1345" s="46"/>
      <c r="N1345" s="46"/>
    </row>
    <row r="1346" spans="5:14" x14ac:dyDescent="0.2">
      <c r="E1346" s="46">
        <v>60589.88</v>
      </c>
      <c r="F1346" s="46">
        <v>153290.54999999999</v>
      </c>
      <c r="G1346" s="46">
        <v>318089.77</v>
      </c>
      <c r="H1346" s="46">
        <v>565574.31999999995</v>
      </c>
      <c r="I1346" s="46">
        <v>956945.48</v>
      </c>
      <c r="J1346" s="46">
        <v>4529845.8499999996</v>
      </c>
      <c r="K1346" s="46">
        <v>8211930.7000000002</v>
      </c>
      <c r="L1346" s="46">
        <v>11175706.1</v>
      </c>
      <c r="M1346" s="46"/>
      <c r="N1346" s="46"/>
    </row>
    <row r="1347" spans="5:14" x14ac:dyDescent="0.2">
      <c r="E1347" s="46">
        <v>41296.080000000002</v>
      </c>
      <c r="F1347" s="46">
        <v>151333.4</v>
      </c>
      <c r="G1347" s="46">
        <v>348552.71</v>
      </c>
      <c r="H1347" s="46">
        <v>436548.48</v>
      </c>
      <c r="I1347" s="46">
        <v>778477.17</v>
      </c>
      <c r="J1347" s="46">
        <v>1473416.94</v>
      </c>
      <c r="K1347" s="46">
        <v>1466591.06</v>
      </c>
      <c r="L1347" s="46">
        <v>1623735.12</v>
      </c>
      <c r="M1347" s="46"/>
      <c r="N1347" s="46"/>
    </row>
    <row r="1348" spans="5:14" x14ac:dyDescent="0.2">
      <c r="E1348" s="46">
        <v>55257.58</v>
      </c>
      <c r="F1348" s="46">
        <v>241559.07</v>
      </c>
      <c r="G1348" s="46">
        <v>435821.16</v>
      </c>
      <c r="H1348" s="46">
        <v>1331720.99</v>
      </c>
      <c r="I1348" s="46">
        <v>1730183.78</v>
      </c>
      <c r="J1348" s="46">
        <v>3536413.44</v>
      </c>
      <c r="K1348" s="46">
        <v>3566879.51</v>
      </c>
      <c r="L1348" s="46">
        <v>3635262.94</v>
      </c>
      <c r="M1348" s="46"/>
      <c r="N1348" s="46"/>
    </row>
    <row r="1349" spans="5:14" x14ac:dyDescent="0.2">
      <c r="E1349" s="46">
        <v>45232.71</v>
      </c>
      <c r="F1349" s="46">
        <v>122929.93</v>
      </c>
      <c r="G1349" s="46">
        <v>171621.01</v>
      </c>
      <c r="H1349" s="46">
        <v>333155.34000000003</v>
      </c>
      <c r="I1349" s="46">
        <v>506021.26</v>
      </c>
      <c r="J1349" s="46">
        <v>616194.61</v>
      </c>
      <c r="K1349" s="46">
        <v>1233485.8500000001</v>
      </c>
      <c r="L1349" s="46">
        <v>3418589.97</v>
      </c>
      <c r="M1349" s="46"/>
      <c r="N1349" s="46"/>
    </row>
    <row r="1350" spans="5:14" x14ac:dyDescent="0.2">
      <c r="E1350" s="46">
        <v>62747.99</v>
      </c>
      <c r="F1350" s="46">
        <v>260197.34</v>
      </c>
      <c r="G1350" s="46">
        <v>859513.6</v>
      </c>
      <c r="H1350" s="46">
        <v>1081909.69</v>
      </c>
      <c r="I1350" s="46">
        <v>787830.61</v>
      </c>
      <c r="J1350" s="46">
        <v>3390831.74</v>
      </c>
      <c r="K1350" s="46">
        <v>4242040.46</v>
      </c>
      <c r="L1350" s="46">
        <v>9274508.9199999999</v>
      </c>
      <c r="M1350" s="46"/>
      <c r="N1350" s="46"/>
    </row>
    <row r="1351" spans="5:14" x14ac:dyDescent="0.2">
      <c r="E1351" s="46">
        <v>58155.24</v>
      </c>
      <c r="F1351" s="46">
        <v>170775.43</v>
      </c>
      <c r="G1351" s="46">
        <v>634064.26</v>
      </c>
      <c r="H1351" s="46">
        <v>803433.34</v>
      </c>
      <c r="I1351" s="46">
        <v>1842176.17</v>
      </c>
      <c r="J1351" s="46">
        <v>3546159.93</v>
      </c>
      <c r="K1351" s="46">
        <v>2969821.65</v>
      </c>
      <c r="L1351" s="46">
        <v>3029371.86</v>
      </c>
      <c r="M1351" s="46"/>
      <c r="N1351" s="46"/>
    </row>
    <row r="1352" spans="5:14" x14ac:dyDescent="0.2">
      <c r="E1352" s="46">
        <v>39917.22</v>
      </c>
      <c r="F1352" s="46">
        <v>154787.62</v>
      </c>
      <c r="G1352" s="46">
        <v>359528.31</v>
      </c>
      <c r="H1352" s="46">
        <v>936183.1</v>
      </c>
      <c r="I1352" s="46">
        <v>1841871.68</v>
      </c>
      <c r="J1352" s="46">
        <v>1835829.38</v>
      </c>
      <c r="K1352" s="46">
        <v>1211240.3899999999</v>
      </c>
      <c r="L1352" s="46">
        <v>1207176.27</v>
      </c>
      <c r="M1352" s="46"/>
      <c r="N1352" s="46"/>
    </row>
    <row r="1353" spans="5:14" x14ac:dyDescent="0.2">
      <c r="E1353" s="46">
        <v>50153.39</v>
      </c>
      <c r="F1353" s="46">
        <v>95747.28</v>
      </c>
      <c r="G1353" s="46">
        <v>127197.92</v>
      </c>
      <c r="H1353" s="46">
        <v>193284</v>
      </c>
      <c r="I1353" s="46">
        <v>346780.81</v>
      </c>
      <c r="J1353" s="46">
        <v>661164.05000000005</v>
      </c>
      <c r="K1353" s="46">
        <v>882725.87</v>
      </c>
      <c r="L1353" s="46">
        <v>596015.53</v>
      </c>
      <c r="M1353" s="46"/>
      <c r="N1353" s="46"/>
    </row>
    <row r="1354" spans="5:14" x14ac:dyDescent="0.2">
      <c r="E1354" s="46">
        <v>69096.570000000007</v>
      </c>
      <c r="F1354" s="46">
        <v>168563.87</v>
      </c>
      <c r="G1354" s="46">
        <v>190214.71</v>
      </c>
      <c r="H1354" s="46">
        <v>233600.81</v>
      </c>
      <c r="I1354" s="46">
        <v>388819.15</v>
      </c>
      <c r="J1354" s="46">
        <v>499019.6</v>
      </c>
      <c r="K1354" s="46">
        <v>1074245.8600000001</v>
      </c>
      <c r="L1354" s="46">
        <v>1672624.5</v>
      </c>
      <c r="M1354" s="46"/>
      <c r="N1354" s="46"/>
    </row>
    <row r="1355" spans="5:14" x14ac:dyDescent="0.2">
      <c r="E1355" s="46">
        <v>77449.2</v>
      </c>
      <c r="F1355" s="46">
        <v>152630.74</v>
      </c>
      <c r="G1355" s="46">
        <v>536316.24</v>
      </c>
      <c r="H1355" s="46">
        <v>768834.42</v>
      </c>
      <c r="I1355" s="46">
        <v>1853999.85</v>
      </c>
      <c r="J1355" s="46">
        <v>1703212.53</v>
      </c>
      <c r="K1355" s="46">
        <v>2846631.34</v>
      </c>
      <c r="L1355" s="46">
        <v>5479672.3099999996</v>
      </c>
      <c r="M1355" s="46"/>
      <c r="N1355" s="46"/>
    </row>
    <row r="1356" spans="5:14" x14ac:dyDescent="0.2">
      <c r="E1356" s="46">
        <v>60876.27</v>
      </c>
      <c r="F1356" s="46">
        <v>157148.32</v>
      </c>
      <c r="G1356" s="46">
        <v>589815.51</v>
      </c>
      <c r="H1356" s="46">
        <v>602380.98</v>
      </c>
      <c r="I1356" s="46">
        <v>661323.99</v>
      </c>
      <c r="J1356" s="46">
        <v>595074.42000000004</v>
      </c>
      <c r="K1356" s="46">
        <v>647346.26</v>
      </c>
      <c r="L1356" s="46">
        <v>1391112.81</v>
      </c>
      <c r="M1356" s="46"/>
      <c r="N1356" s="46"/>
    </row>
    <row r="1357" spans="5:14" x14ac:dyDescent="0.2">
      <c r="E1357" s="46">
        <v>51614.17</v>
      </c>
      <c r="F1357" s="46">
        <v>73697.240000000005</v>
      </c>
      <c r="G1357" s="46">
        <v>101734.46</v>
      </c>
      <c r="H1357" s="46">
        <v>146013.62</v>
      </c>
      <c r="I1357" s="46">
        <v>308302.12</v>
      </c>
      <c r="J1357" s="46">
        <v>729856.63</v>
      </c>
      <c r="K1357" s="46">
        <v>1745195.96</v>
      </c>
      <c r="L1357" s="46">
        <v>1990610.49</v>
      </c>
      <c r="M1357" s="46"/>
      <c r="N1357" s="46"/>
    </row>
    <row r="1358" spans="5:14" x14ac:dyDescent="0.2">
      <c r="E1358" s="46">
        <v>42861.35</v>
      </c>
      <c r="F1358" s="46">
        <v>111280.13</v>
      </c>
      <c r="G1358" s="46">
        <v>211037.92</v>
      </c>
      <c r="H1358" s="46">
        <v>588497.24</v>
      </c>
      <c r="I1358" s="46">
        <v>830262.83</v>
      </c>
      <c r="J1358" s="46">
        <v>688127.32</v>
      </c>
      <c r="K1358" s="46">
        <v>1263799.05</v>
      </c>
      <c r="L1358" s="46">
        <v>2429684.0699999998</v>
      </c>
      <c r="M1358" s="46"/>
      <c r="N1358" s="46"/>
    </row>
    <row r="1359" spans="5:14" x14ac:dyDescent="0.2">
      <c r="E1359" s="46">
        <v>33659.129999999997</v>
      </c>
      <c r="F1359" s="46">
        <v>109538.4</v>
      </c>
      <c r="G1359" s="46">
        <v>137547.22</v>
      </c>
      <c r="H1359" s="46">
        <v>550271.31999999995</v>
      </c>
      <c r="I1359" s="46">
        <v>578348.56000000006</v>
      </c>
      <c r="J1359" s="46">
        <v>1380367.04</v>
      </c>
      <c r="K1359" s="46">
        <v>2385480.87</v>
      </c>
      <c r="L1359" s="46">
        <v>3431069.53</v>
      </c>
      <c r="M1359" s="46"/>
      <c r="N1359" s="46"/>
    </row>
    <row r="1360" spans="5:14" x14ac:dyDescent="0.2">
      <c r="E1360" s="46">
        <v>45369.21</v>
      </c>
      <c r="F1360" s="46">
        <v>189559.14</v>
      </c>
      <c r="G1360" s="46">
        <v>274818.45</v>
      </c>
      <c r="H1360" s="46">
        <v>549895.25</v>
      </c>
      <c r="I1360" s="46">
        <v>739746.32</v>
      </c>
      <c r="J1360" s="46">
        <v>1769779.71</v>
      </c>
      <c r="K1360" s="46">
        <v>2358889.41</v>
      </c>
      <c r="L1360" s="46">
        <v>3362692.34</v>
      </c>
      <c r="M1360" s="46"/>
      <c r="N1360" s="46"/>
    </row>
    <row r="1361" spans="5:14" x14ac:dyDescent="0.2">
      <c r="E1361" s="46">
        <v>45033.5</v>
      </c>
      <c r="F1361" s="46">
        <v>104329.76</v>
      </c>
      <c r="G1361" s="46">
        <v>378449.87</v>
      </c>
      <c r="H1361" s="46">
        <v>569735.22</v>
      </c>
      <c r="I1361" s="46">
        <v>793889.48</v>
      </c>
      <c r="J1361" s="46">
        <v>1062263.8</v>
      </c>
      <c r="K1361" s="46">
        <v>1676887.89</v>
      </c>
      <c r="L1361" s="46">
        <v>4117135.24</v>
      </c>
      <c r="M1361" s="46"/>
      <c r="N1361" s="46"/>
    </row>
    <row r="1362" spans="5:14" x14ac:dyDescent="0.2">
      <c r="E1362" s="46">
        <v>70878.36</v>
      </c>
      <c r="F1362" s="46">
        <v>226770.16</v>
      </c>
      <c r="G1362" s="46">
        <v>388209.66</v>
      </c>
      <c r="H1362" s="46">
        <v>498323.42</v>
      </c>
      <c r="I1362" s="46">
        <v>719268.72</v>
      </c>
      <c r="J1362" s="46">
        <v>1098346.56</v>
      </c>
      <c r="K1362" s="46">
        <v>4097554.09</v>
      </c>
      <c r="L1362" s="46">
        <v>6653466.1200000001</v>
      </c>
      <c r="M1362" s="46"/>
      <c r="N1362" s="46"/>
    </row>
    <row r="1363" spans="5:14" x14ac:dyDescent="0.2">
      <c r="E1363" s="46">
        <v>58165.67</v>
      </c>
      <c r="F1363" s="46">
        <v>176713.04</v>
      </c>
      <c r="G1363" s="46">
        <v>429522.44</v>
      </c>
      <c r="H1363" s="46">
        <v>1006715.1</v>
      </c>
      <c r="I1363" s="46">
        <v>2229358.2200000002</v>
      </c>
      <c r="J1363" s="46">
        <v>3325649.74</v>
      </c>
      <c r="K1363" s="46">
        <v>4593059.88</v>
      </c>
      <c r="L1363" s="46">
        <v>8512960.6500000004</v>
      </c>
      <c r="M1363" s="46"/>
      <c r="N1363" s="46"/>
    </row>
    <row r="1364" spans="5:14" x14ac:dyDescent="0.2">
      <c r="E1364" s="46">
        <v>55440.27</v>
      </c>
      <c r="F1364" s="46">
        <v>118737.7</v>
      </c>
      <c r="G1364" s="46">
        <v>162912.04</v>
      </c>
      <c r="H1364" s="46">
        <v>133345.97</v>
      </c>
      <c r="I1364" s="46">
        <v>551667.18000000005</v>
      </c>
      <c r="J1364" s="46">
        <v>1155828.31</v>
      </c>
      <c r="K1364" s="46">
        <v>2568864.4500000002</v>
      </c>
      <c r="L1364" s="46">
        <v>3980961.1</v>
      </c>
      <c r="M1364" s="46"/>
      <c r="N1364" s="46"/>
    </row>
    <row r="1365" spans="5:14" x14ac:dyDescent="0.2">
      <c r="E1365" s="46">
        <v>87706.31</v>
      </c>
      <c r="F1365" s="46">
        <v>201940.89</v>
      </c>
      <c r="G1365" s="46">
        <v>164579.37</v>
      </c>
      <c r="H1365" s="46">
        <v>353960.83</v>
      </c>
      <c r="I1365" s="46">
        <v>396106.14</v>
      </c>
      <c r="J1365" s="46">
        <v>777642.62</v>
      </c>
      <c r="K1365" s="46">
        <v>687068.16000000003</v>
      </c>
      <c r="L1365" s="46">
        <v>880654.52</v>
      </c>
      <c r="M1365" s="46"/>
      <c r="N1365" s="46"/>
    </row>
    <row r="1366" spans="5:14" x14ac:dyDescent="0.2">
      <c r="E1366" s="46">
        <v>29864.59</v>
      </c>
      <c r="F1366" s="46">
        <v>98263.12</v>
      </c>
      <c r="G1366" s="46">
        <v>123198.02</v>
      </c>
      <c r="H1366" s="46">
        <v>690368.51</v>
      </c>
      <c r="I1366" s="46">
        <v>1873171.36</v>
      </c>
      <c r="J1366" s="46">
        <v>3047092.71</v>
      </c>
      <c r="K1366" s="46">
        <v>1794548.85</v>
      </c>
      <c r="L1366" s="46">
        <v>2971692.98</v>
      </c>
      <c r="M1366" s="46"/>
      <c r="N1366" s="46"/>
    </row>
    <row r="1367" spans="5:14" x14ac:dyDescent="0.2">
      <c r="E1367" s="46">
        <v>59954.45</v>
      </c>
      <c r="F1367" s="46">
        <v>323299.45</v>
      </c>
      <c r="G1367" s="46">
        <v>607237.56999999995</v>
      </c>
      <c r="H1367" s="46">
        <v>1590387.93</v>
      </c>
      <c r="I1367" s="46">
        <v>2067154.92</v>
      </c>
      <c r="J1367" s="46">
        <v>2109777.11</v>
      </c>
      <c r="K1367" s="46">
        <v>2842529.69</v>
      </c>
      <c r="L1367" s="46">
        <v>3092724.97</v>
      </c>
      <c r="M1367" s="46"/>
      <c r="N1367" s="46"/>
    </row>
    <row r="1368" spans="5:14" x14ac:dyDescent="0.2">
      <c r="E1368" s="46">
        <v>61794.57</v>
      </c>
      <c r="F1368" s="46">
        <v>252096.01</v>
      </c>
      <c r="G1368" s="46">
        <v>422075.3</v>
      </c>
      <c r="H1368" s="46">
        <v>468848.23</v>
      </c>
      <c r="I1368" s="46">
        <v>590836.94999999995</v>
      </c>
      <c r="J1368" s="46">
        <v>1867006.44</v>
      </c>
      <c r="K1368" s="46">
        <v>3344629.9</v>
      </c>
      <c r="L1368" s="46">
        <v>6627480.5099999998</v>
      </c>
      <c r="M1368" s="46"/>
      <c r="N1368" s="46"/>
    </row>
    <row r="1369" spans="5:14" x14ac:dyDescent="0.2">
      <c r="E1369" s="46">
        <v>61169.38</v>
      </c>
      <c r="F1369" s="46">
        <v>187866.8</v>
      </c>
      <c r="G1369" s="46">
        <v>748764.24</v>
      </c>
      <c r="H1369" s="46">
        <v>888166.95</v>
      </c>
      <c r="I1369" s="46">
        <v>626448.02</v>
      </c>
      <c r="J1369" s="46">
        <v>1806229.72</v>
      </c>
      <c r="K1369" s="46">
        <v>2323604.71</v>
      </c>
      <c r="L1369" s="46">
        <v>5264674.63</v>
      </c>
      <c r="M1369" s="46"/>
      <c r="N1369" s="46"/>
    </row>
    <row r="1370" spans="5:14" x14ac:dyDescent="0.2">
      <c r="E1370" s="46">
        <v>33998.92</v>
      </c>
      <c r="F1370" s="46">
        <v>135836.76999999999</v>
      </c>
      <c r="G1370" s="46">
        <v>261309.78</v>
      </c>
      <c r="H1370" s="46">
        <v>267023.28999999998</v>
      </c>
      <c r="I1370" s="46">
        <v>299894.03000000003</v>
      </c>
      <c r="J1370" s="46">
        <v>540319.6</v>
      </c>
      <c r="K1370" s="46">
        <v>783641.81</v>
      </c>
      <c r="L1370" s="46">
        <v>2037029.02</v>
      </c>
      <c r="M1370" s="46"/>
      <c r="N1370" s="46"/>
    </row>
    <row r="1371" spans="5:14" x14ac:dyDescent="0.2">
      <c r="E1371" s="46">
        <v>73493.5</v>
      </c>
      <c r="F1371" s="46">
        <v>94615.39</v>
      </c>
      <c r="G1371" s="46">
        <v>257841.67</v>
      </c>
      <c r="H1371" s="46">
        <v>526797.36</v>
      </c>
      <c r="I1371" s="46">
        <v>1407923.16</v>
      </c>
      <c r="J1371" s="46">
        <v>3554953.48</v>
      </c>
      <c r="K1371" s="46">
        <v>9146033.1400000006</v>
      </c>
      <c r="L1371" s="46">
        <v>5294136.95</v>
      </c>
      <c r="M1371" s="46"/>
      <c r="N1371" s="46"/>
    </row>
    <row r="1372" spans="5:14" x14ac:dyDescent="0.2">
      <c r="E1372" s="46">
        <v>54217.49</v>
      </c>
      <c r="F1372" s="46">
        <v>125130.5</v>
      </c>
      <c r="G1372" s="46">
        <v>472370.97</v>
      </c>
      <c r="H1372" s="46">
        <v>655423.46</v>
      </c>
      <c r="I1372" s="46">
        <v>1573953.21</v>
      </c>
      <c r="J1372" s="46">
        <v>4277288.45</v>
      </c>
      <c r="K1372" s="46">
        <v>8351099.96</v>
      </c>
      <c r="L1372" s="46">
        <v>17265503.5</v>
      </c>
      <c r="M1372" s="46"/>
      <c r="N1372" s="46"/>
    </row>
    <row r="1373" spans="5:14" x14ac:dyDescent="0.2">
      <c r="E1373" s="46">
        <v>65610.990000000005</v>
      </c>
      <c r="F1373" s="46">
        <v>249309.3</v>
      </c>
      <c r="G1373" s="46">
        <v>394534.86</v>
      </c>
      <c r="H1373" s="46">
        <v>377535.2</v>
      </c>
      <c r="I1373" s="46">
        <v>405107.66</v>
      </c>
      <c r="J1373" s="46">
        <v>749195.97</v>
      </c>
      <c r="K1373" s="46">
        <v>874563.22</v>
      </c>
      <c r="L1373" s="46">
        <v>1245623.1599999999</v>
      </c>
      <c r="M1373" s="46"/>
      <c r="N1373" s="46"/>
    </row>
    <row r="1374" spans="5:14" x14ac:dyDescent="0.2">
      <c r="E1374" s="46">
        <v>65039.97</v>
      </c>
      <c r="F1374" s="46">
        <v>183378.56</v>
      </c>
      <c r="G1374" s="46">
        <v>364094.76</v>
      </c>
      <c r="H1374" s="46">
        <v>574843.22</v>
      </c>
      <c r="I1374" s="46">
        <v>1180866.05</v>
      </c>
      <c r="J1374" s="46">
        <v>1264524.05</v>
      </c>
      <c r="K1374" s="46">
        <v>3375988.25</v>
      </c>
      <c r="L1374" s="46">
        <v>9566115.0099999998</v>
      </c>
      <c r="M1374" s="46"/>
      <c r="N1374" s="46"/>
    </row>
    <row r="1375" spans="5:14" x14ac:dyDescent="0.2">
      <c r="E1375" s="46">
        <v>49039.9</v>
      </c>
      <c r="F1375" s="46">
        <v>105782.04</v>
      </c>
      <c r="G1375" s="46">
        <v>226853.56</v>
      </c>
      <c r="H1375" s="46">
        <v>327719.06</v>
      </c>
      <c r="I1375" s="46">
        <v>714746.2</v>
      </c>
      <c r="J1375" s="46">
        <v>646215.63</v>
      </c>
      <c r="K1375" s="46">
        <v>739579.41</v>
      </c>
      <c r="L1375" s="46">
        <v>484286.06</v>
      </c>
      <c r="M1375" s="46"/>
      <c r="N1375" s="46"/>
    </row>
    <row r="1376" spans="5:14" x14ac:dyDescent="0.2">
      <c r="E1376" s="46">
        <v>35169.339999999997</v>
      </c>
      <c r="F1376" s="46">
        <v>153963.28</v>
      </c>
      <c r="G1376" s="46">
        <v>248905.29</v>
      </c>
      <c r="H1376" s="46">
        <v>364791.1</v>
      </c>
      <c r="I1376" s="46">
        <v>718114.22</v>
      </c>
      <c r="J1376" s="46">
        <v>1428659.64</v>
      </c>
      <c r="K1376" s="46">
        <v>1214118.18</v>
      </c>
      <c r="L1376" s="46">
        <v>2399958.61</v>
      </c>
      <c r="M1376" s="46"/>
      <c r="N1376" s="46"/>
    </row>
    <row r="1377" spans="5:14" x14ac:dyDescent="0.2">
      <c r="E1377" s="46">
        <v>53481.17</v>
      </c>
      <c r="F1377" s="46">
        <v>170463.27</v>
      </c>
      <c r="G1377" s="46">
        <v>323102.63</v>
      </c>
      <c r="H1377" s="46">
        <v>341049.8</v>
      </c>
      <c r="I1377" s="46">
        <v>754720.46</v>
      </c>
      <c r="J1377" s="46">
        <v>876529.81</v>
      </c>
      <c r="K1377" s="46">
        <v>770796.89</v>
      </c>
      <c r="L1377" s="46">
        <v>2197179</v>
      </c>
      <c r="M1377" s="46"/>
      <c r="N1377" s="46"/>
    </row>
    <row r="1378" spans="5:14" x14ac:dyDescent="0.2">
      <c r="E1378" s="46">
        <v>41385.75</v>
      </c>
      <c r="F1378" s="46">
        <v>81602.25</v>
      </c>
      <c r="G1378" s="46">
        <v>99919.28</v>
      </c>
      <c r="H1378" s="46">
        <v>291014.12</v>
      </c>
      <c r="I1378" s="46">
        <v>232789.67</v>
      </c>
      <c r="J1378" s="46">
        <v>833079.77</v>
      </c>
      <c r="K1378" s="46">
        <v>1494127.17</v>
      </c>
      <c r="L1378" s="46">
        <v>1224502.5</v>
      </c>
      <c r="M1378" s="46"/>
      <c r="N1378" s="46"/>
    </row>
    <row r="1379" spans="5:14" x14ac:dyDescent="0.2">
      <c r="E1379" s="46">
        <v>47308.65</v>
      </c>
      <c r="F1379" s="46">
        <v>105073.66</v>
      </c>
      <c r="G1379" s="46">
        <v>163925.97</v>
      </c>
      <c r="H1379" s="46">
        <v>411566.25</v>
      </c>
      <c r="I1379" s="46">
        <v>454325.87</v>
      </c>
      <c r="J1379" s="46">
        <v>629354.92000000004</v>
      </c>
      <c r="K1379" s="46">
        <v>1658166.48</v>
      </c>
      <c r="L1379" s="46">
        <v>3494373.94</v>
      </c>
      <c r="M1379" s="46"/>
      <c r="N1379" s="46"/>
    </row>
    <row r="1380" spans="5:14" x14ac:dyDescent="0.2">
      <c r="E1380" s="46">
        <v>65505.51</v>
      </c>
      <c r="F1380" s="46">
        <v>177679.87</v>
      </c>
      <c r="G1380" s="46">
        <v>403968.8</v>
      </c>
      <c r="H1380" s="46">
        <v>952082.53</v>
      </c>
      <c r="I1380" s="46">
        <v>824677.1</v>
      </c>
      <c r="J1380" s="46">
        <v>1329443.8799999999</v>
      </c>
      <c r="K1380" s="46">
        <v>1064688.69</v>
      </c>
      <c r="L1380" s="46">
        <v>1610365.47</v>
      </c>
      <c r="M1380" s="46"/>
      <c r="N1380" s="46"/>
    </row>
    <row r="1381" spans="5:14" x14ac:dyDescent="0.2">
      <c r="E1381" s="46">
        <v>61907.21</v>
      </c>
      <c r="F1381" s="46">
        <v>120127.91</v>
      </c>
      <c r="G1381" s="46">
        <v>107734.41</v>
      </c>
      <c r="H1381" s="46">
        <v>247042.03</v>
      </c>
      <c r="I1381" s="46">
        <v>562111.42000000004</v>
      </c>
      <c r="J1381" s="46">
        <v>751605.81</v>
      </c>
      <c r="K1381" s="46">
        <v>1216114.19</v>
      </c>
      <c r="L1381" s="46">
        <v>2062102.62</v>
      </c>
      <c r="M1381" s="46"/>
      <c r="N1381" s="46"/>
    </row>
    <row r="1382" spans="5:14" x14ac:dyDescent="0.2">
      <c r="E1382" s="46">
        <v>48051.87</v>
      </c>
      <c r="F1382" s="46">
        <v>200501.05</v>
      </c>
      <c r="G1382" s="46">
        <v>405705.74</v>
      </c>
      <c r="H1382" s="46">
        <v>557504.93000000005</v>
      </c>
      <c r="I1382" s="46">
        <v>652039.93000000005</v>
      </c>
      <c r="J1382" s="46">
        <v>699401.68</v>
      </c>
      <c r="K1382" s="46">
        <v>1219135.1200000001</v>
      </c>
      <c r="L1382" s="46">
        <v>1024317.19</v>
      </c>
      <c r="M1382" s="46"/>
      <c r="N1382" s="46"/>
    </row>
    <row r="1383" spans="5:14" x14ac:dyDescent="0.2">
      <c r="E1383" s="46">
        <v>54163.58</v>
      </c>
      <c r="F1383" s="46">
        <v>142513.65</v>
      </c>
      <c r="G1383" s="46">
        <v>498744.4</v>
      </c>
      <c r="H1383" s="46">
        <v>1460402.71</v>
      </c>
      <c r="I1383" s="46">
        <v>3457886.73</v>
      </c>
      <c r="J1383" s="46">
        <v>7052519.8600000003</v>
      </c>
      <c r="K1383" s="46">
        <v>9631435.2400000002</v>
      </c>
      <c r="L1383" s="46">
        <v>7955551.2300000004</v>
      </c>
      <c r="M1383" s="46"/>
      <c r="N1383" s="46"/>
    </row>
    <row r="1384" spans="5:14" x14ac:dyDescent="0.2">
      <c r="E1384" s="46">
        <v>32244.31</v>
      </c>
      <c r="F1384" s="46">
        <v>78679.8</v>
      </c>
      <c r="G1384" s="46">
        <v>226744.67</v>
      </c>
      <c r="H1384" s="46">
        <v>444027.28</v>
      </c>
      <c r="I1384" s="46">
        <v>930465.65</v>
      </c>
      <c r="J1384" s="46">
        <v>2380023.3199999998</v>
      </c>
      <c r="K1384" s="46">
        <v>3166913.14</v>
      </c>
      <c r="L1384" s="46">
        <v>3928284.17</v>
      </c>
      <c r="M1384" s="46"/>
      <c r="N1384" s="46"/>
    </row>
    <row r="1385" spans="5:14" x14ac:dyDescent="0.2">
      <c r="E1385" s="46">
        <v>46402.92</v>
      </c>
      <c r="F1385" s="46">
        <v>134712.76999999999</v>
      </c>
      <c r="G1385" s="46">
        <v>270352.69</v>
      </c>
      <c r="H1385" s="46">
        <v>481567.12</v>
      </c>
      <c r="I1385" s="46">
        <v>585094.43000000005</v>
      </c>
      <c r="J1385" s="46">
        <v>645777.49</v>
      </c>
      <c r="K1385" s="46">
        <v>1244416.8400000001</v>
      </c>
      <c r="L1385" s="46">
        <v>1232251.72</v>
      </c>
      <c r="M1385" s="46"/>
      <c r="N1385" s="46"/>
    </row>
    <row r="1386" spans="5:14" x14ac:dyDescent="0.2">
      <c r="E1386" s="46">
        <v>45325.68</v>
      </c>
      <c r="F1386" s="46">
        <v>175194.47</v>
      </c>
      <c r="G1386" s="46">
        <v>324959.84999999998</v>
      </c>
      <c r="H1386" s="46">
        <v>430508.75</v>
      </c>
      <c r="I1386" s="46">
        <v>647694.71</v>
      </c>
      <c r="J1386" s="46">
        <v>1250147.79</v>
      </c>
      <c r="K1386" s="46">
        <v>2066612.92</v>
      </c>
      <c r="L1386" s="46">
        <v>2594535.7000000002</v>
      </c>
      <c r="M1386" s="46"/>
      <c r="N1386" s="46"/>
    </row>
    <row r="1387" spans="5:14" x14ac:dyDescent="0.2">
      <c r="E1387" s="46">
        <v>55536.5</v>
      </c>
      <c r="F1387" s="46">
        <v>95598.35</v>
      </c>
      <c r="G1387" s="46">
        <v>127319.18</v>
      </c>
      <c r="H1387" s="46">
        <v>248972.82</v>
      </c>
      <c r="I1387" s="46">
        <v>542668.43000000005</v>
      </c>
      <c r="J1387" s="46">
        <v>1181730.99</v>
      </c>
      <c r="K1387" s="46">
        <v>3705042.19</v>
      </c>
      <c r="L1387" s="46">
        <v>3144019.5</v>
      </c>
      <c r="M1387" s="46"/>
      <c r="N1387" s="46"/>
    </row>
    <row r="1388" spans="5:14" x14ac:dyDescent="0.2">
      <c r="E1388" s="46">
        <v>63016.91</v>
      </c>
      <c r="F1388" s="46">
        <v>80567.41</v>
      </c>
      <c r="G1388" s="46">
        <v>196130.38</v>
      </c>
      <c r="H1388" s="46">
        <v>253355.35</v>
      </c>
      <c r="I1388" s="46">
        <v>563572.67000000004</v>
      </c>
      <c r="J1388" s="46">
        <v>666594.46</v>
      </c>
      <c r="K1388" s="46">
        <v>929328.03</v>
      </c>
      <c r="L1388" s="46">
        <v>1490046.39</v>
      </c>
      <c r="M1388" s="46"/>
      <c r="N1388" s="46"/>
    </row>
    <row r="1389" spans="5:14" x14ac:dyDescent="0.2">
      <c r="E1389" s="46">
        <v>78929.570000000007</v>
      </c>
      <c r="F1389" s="46">
        <v>227169.51</v>
      </c>
      <c r="G1389" s="46">
        <v>460693.77</v>
      </c>
      <c r="H1389" s="46">
        <v>689729.4</v>
      </c>
      <c r="I1389" s="46">
        <v>1145615.92</v>
      </c>
      <c r="J1389" s="46">
        <v>4160432.2</v>
      </c>
      <c r="K1389" s="46">
        <v>4386641.59</v>
      </c>
      <c r="L1389" s="46">
        <v>2474691.35</v>
      </c>
      <c r="M1389" s="46"/>
      <c r="N1389" s="46"/>
    </row>
    <row r="1390" spans="5:14" x14ac:dyDescent="0.2">
      <c r="E1390" s="46">
        <v>59434.63</v>
      </c>
      <c r="F1390" s="46">
        <v>136941.1</v>
      </c>
      <c r="G1390" s="46">
        <v>211673.45</v>
      </c>
      <c r="H1390" s="46">
        <v>301305.17</v>
      </c>
      <c r="I1390" s="46">
        <v>595023.56999999995</v>
      </c>
      <c r="J1390" s="46">
        <v>1247708.23</v>
      </c>
      <c r="K1390" s="46">
        <v>2230956.85</v>
      </c>
      <c r="L1390" s="46">
        <v>3668253.56</v>
      </c>
      <c r="M1390" s="46"/>
      <c r="N1390" s="46"/>
    </row>
    <row r="1391" spans="5:14" x14ac:dyDescent="0.2">
      <c r="E1391" s="46">
        <v>49566.44</v>
      </c>
      <c r="F1391" s="46">
        <v>182478.9</v>
      </c>
      <c r="G1391" s="46">
        <v>326403.96999999997</v>
      </c>
      <c r="H1391" s="46">
        <v>785498.61</v>
      </c>
      <c r="I1391" s="46">
        <v>1798242.47</v>
      </c>
      <c r="J1391" s="46">
        <v>2280831.2999999998</v>
      </c>
      <c r="K1391" s="46">
        <v>2719501.9</v>
      </c>
      <c r="L1391" s="46">
        <v>3929328.93</v>
      </c>
      <c r="M1391" s="46"/>
      <c r="N1391" s="46"/>
    </row>
    <row r="1392" spans="5:14" x14ac:dyDescent="0.2">
      <c r="E1392" s="46">
        <v>47651.96</v>
      </c>
      <c r="F1392" s="46">
        <v>103059.69</v>
      </c>
      <c r="G1392" s="46">
        <v>254046.16</v>
      </c>
      <c r="H1392" s="46">
        <v>351325.9</v>
      </c>
      <c r="I1392" s="46">
        <v>689855.08</v>
      </c>
      <c r="J1392" s="46">
        <v>1640988.69</v>
      </c>
      <c r="K1392" s="46">
        <v>1897376.96</v>
      </c>
      <c r="L1392" s="46">
        <v>2146778.4700000002</v>
      </c>
      <c r="M1392" s="46"/>
      <c r="N1392" s="46"/>
    </row>
    <row r="1393" spans="5:14" x14ac:dyDescent="0.2">
      <c r="E1393" s="46">
        <v>31998.89</v>
      </c>
      <c r="F1393" s="46">
        <v>92728.1</v>
      </c>
      <c r="G1393" s="46">
        <v>222842.17</v>
      </c>
      <c r="H1393" s="46">
        <v>447467.12</v>
      </c>
      <c r="I1393" s="46">
        <v>772823.25</v>
      </c>
      <c r="J1393" s="46">
        <v>584631.59</v>
      </c>
      <c r="K1393" s="46">
        <v>792439.2</v>
      </c>
      <c r="L1393" s="46">
        <v>1146298.1000000001</v>
      </c>
      <c r="M1393" s="46"/>
      <c r="N1393" s="46"/>
    </row>
    <row r="1394" spans="5:14" x14ac:dyDescent="0.2">
      <c r="E1394" s="46">
        <v>75627.39</v>
      </c>
      <c r="F1394" s="46">
        <v>83703.61</v>
      </c>
      <c r="G1394" s="46">
        <v>126777.9</v>
      </c>
      <c r="H1394" s="46">
        <v>241155.64</v>
      </c>
      <c r="I1394" s="46">
        <v>419424.46</v>
      </c>
      <c r="J1394" s="46">
        <v>469270.94</v>
      </c>
      <c r="K1394" s="46">
        <v>919064.51</v>
      </c>
      <c r="L1394" s="46">
        <v>2812639.02</v>
      </c>
      <c r="M1394" s="46"/>
      <c r="N1394" s="46"/>
    </row>
    <row r="1395" spans="5:14" x14ac:dyDescent="0.2">
      <c r="E1395" s="46">
        <v>59604.23</v>
      </c>
      <c r="F1395" s="46">
        <v>192718.77</v>
      </c>
      <c r="G1395" s="46">
        <v>370574.87</v>
      </c>
      <c r="H1395" s="46">
        <v>482937.19</v>
      </c>
      <c r="I1395" s="46">
        <v>1018360.52</v>
      </c>
      <c r="J1395" s="46">
        <v>1946232.38</v>
      </c>
      <c r="K1395" s="46">
        <v>14568957.41</v>
      </c>
      <c r="L1395" s="46">
        <v>44194677.810000002</v>
      </c>
      <c r="M1395" s="46"/>
      <c r="N1395" s="46"/>
    </row>
    <row r="1396" spans="5:14" x14ac:dyDescent="0.2">
      <c r="E1396" s="46">
        <v>64255.99</v>
      </c>
      <c r="F1396" s="46">
        <v>182358.64</v>
      </c>
      <c r="G1396" s="46">
        <v>255257.92</v>
      </c>
      <c r="H1396" s="46">
        <v>377533.59</v>
      </c>
      <c r="I1396" s="46">
        <v>561350.63</v>
      </c>
      <c r="J1396" s="46">
        <v>1343226.13</v>
      </c>
      <c r="K1396" s="46">
        <v>3247725.69</v>
      </c>
      <c r="L1396" s="46">
        <v>3378426.86</v>
      </c>
      <c r="M1396" s="46"/>
      <c r="N1396" s="46"/>
    </row>
    <row r="1397" spans="5:14" x14ac:dyDescent="0.2">
      <c r="E1397" s="46">
        <v>59482.97</v>
      </c>
      <c r="F1397" s="46">
        <v>97873.88</v>
      </c>
      <c r="G1397" s="46">
        <v>227516.31</v>
      </c>
      <c r="H1397" s="46">
        <v>380101.61</v>
      </c>
      <c r="I1397" s="46">
        <v>949836.49</v>
      </c>
      <c r="J1397" s="46">
        <v>1145579.3999999999</v>
      </c>
      <c r="K1397" s="46">
        <v>1345889.08</v>
      </c>
      <c r="L1397" s="46">
        <v>646452.09</v>
      </c>
      <c r="M1397" s="46"/>
      <c r="N1397" s="46"/>
    </row>
    <row r="1398" spans="5:14" x14ac:dyDescent="0.2">
      <c r="E1398" s="46">
        <v>59691.1</v>
      </c>
      <c r="F1398" s="46">
        <v>108718.74</v>
      </c>
      <c r="G1398" s="46">
        <v>370737.64</v>
      </c>
      <c r="H1398" s="46">
        <v>738436.51</v>
      </c>
      <c r="I1398" s="46">
        <v>847428.98</v>
      </c>
      <c r="J1398" s="46">
        <v>1144783.6399999999</v>
      </c>
      <c r="K1398" s="46">
        <v>1297480.46</v>
      </c>
      <c r="L1398" s="46">
        <v>4076552.25</v>
      </c>
      <c r="M1398" s="46"/>
      <c r="N1398" s="46"/>
    </row>
    <row r="1399" spans="5:14" x14ac:dyDescent="0.2">
      <c r="E1399" s="46">
        <v>44626.86</v>
      </c>
      <c r="F1399" s="46">
        <v>96842.62</v>
      </c>
      <c r="G1399" s="46">
        <v>254188.25</v>
      </c>
      <c r="H1399" s="46">
        <v>885080.69</v>
      </c>
      <c r="I1399" s="46">
        <v>1153280.46</v>
      </c>
      <c r="J1399" s="46">
        <v>1144681.8</v>
      </c>
      <c r="K1399" s="46">
        <v>2351002.75</v>
      </c>
      <c r="L1399" s="46">
        <v>3374338.19</v>
      </c>
      <c r="M1399" s="46"/>
      <c r="N1399" s="46"/>
    </row>
    <row r="1400" spans="5:14" x14ac:dyDescent="0.2">
      <c r="E1400" s="46">
        <v>40730.89</v>
      </c>
      <c r="F1400" s="46">
        <v>93918.3</v>
      </c>
      <c r="G1400" s="46">
        <v>273742.78999999998</v>
      </c>
      <c r="H1400" s="46">
        <v>631220.93000000005</v>
      </c>
      <c r="I1400" s="46">
        <v>2453863.2000000002</v>
      </c>
      <c r="J1400" s="46">
        <v>1488290.98</v>
      </c>
      <c r="K1400" s="46">
        <v>2232706.2000000002</v>
      </c>
      <c r="L1400" s="46">
        <v>5471730.5899999999</v>
      </c>
      <c r="M1400" s="46"/>
      <c r="N1400" s="46"/>
    </row>
    <row r="1401" spans="5:14" x14ac:dyDescent="0.2">
      <c r="E1401" s="46">
        <v>72503.77</v>
      </c>
      <c r="F1401" s="46">
        <v>193457.25</v>
      </c>
      <c r="G1401" s="46">
        <v>229926.63</v>
      </c>
      <c r="H1401" s="46">
        <v>433941.36</v>
      </c>
      <c r="I1401" s="46">
        <v>419383.62</v>
      </c>
      <c r="J1401" s="46">
        <v>375863.16</v>
      </c>
      <c r="K1401" s="46">
        <v>1036884.87</v>
      </c>
      <c r="L1401" s="46">
        <v>1787111.36</v>
      </c>
      <c r="M1401" s="46"/>
      <c r="N1401" s="46"/>
    </row>
    <row r="1402" spans="5:14" x14ac:dyDescent="0.2">
      <c r="E1402" s="46">
        <v>63668.02</v>
      </c>
      <c r="F1402" s="46">
        <v>129644.64</v>
      </c>
      <c r="G1402" s="46">
        <v>516231.65</v>
      </c>
      <c r="H1402" s="46">
        <v>886494.82</v>
      </c>
      <c r="I1402" s="46">
        <v>2057012.42</v>
      </c>
      <c r="J1402" s="46">
        <v>2040897.03</v>
      </c>
      <c r="K1402" s="46">
        <v>2529735.7599999998</v>
      </c>
      <c r="L1402" s="46">
        <v>1823844.54</v>
      </c>
      <c r="M1402" s="46"/>
      <c r="N1402" s="46"/>
    </row>
    <row r="1403" spans="5:14" x14ac:dyDescent="0.2">
      <c r="E1403" s="46">
        <v>82282.28</v>
      </c>
      <c r="F1403" s="46">
        <v>303398.59000000003</v>
      </c>
      <c r="G1403" s="46">
        <v>905470.83</v>
      </c>
      <c r="H1403" s="46">
        <v>1649278.86</v>
      </c>
      <c r="I1403" s="46">
        <v>1830294.87</v>
      </c>
      <c r="J1403" s="46">
        <v>4474786.5199999996</v>
      </c>
      <c r="K1403" s="46">
        <v>8158328.4100000001</v>
      </c>
      <c r="L1403" s="46">
        <v>12655315.310000001</v>
      </c>
      <c r="M1403" s="46"/>
      <c r="N1403" s="46"/>
    </row>
    <row r="1404" spans="5:14" x14ac:dyDescent="0.2">
      <c r="E1404" s="46">
        <v>73352.52</v>
      </c>
      <c r="F1404" s="46">
        <v>193953.5</v>
      </c>
      <c r="G1404" s="46">
        <v>438340.37</v>
      </c>
      <c r="H1404" s="46">
        <v>628652.09</v>
      </c>
      <c r="I1404" s="46">
        <v>885757.9</v>
      </c>
      <c r="J1404" s="46">
        <v>825575.02</v>
      </c>
      <c r="K1404" s="46">
        <v>2165523.13</v>
      </c>
      <c r="L1404" s="46">
        <v>3224578.89</v>
      </c>
      <c r="M1404" s="46"/>
      <c r="N1404" s="46"/>
    </row>
    <row r="1405" spans="5:14" x14ac:dyDescent="0.2">
      <c r="E1405" s="46">
        <v>61953.63</v>
      </c>
      <c r="F1405" s="46">
        <v>136474.15</v>
      </c>
      <c r="G1405" s="46">
        <v>244880.86</v>
      </c>
      <c r="H1405" s="46">
        <v>510025.89</v>
      </c>
      <c r="I1405" s="46">
        <v>343645.6</v>
      </c>
      <c r="J1405" s="46">
        <v>555231.92000000004</v>
      </c>
      <c r="K1405" s="46">
        <v>277989.51</v>
      </c>
      <c r="L1405" s="46">
        <v>282992.05</v>
      </c>
      <c r="M1405" s="46"/>
      <c r="N1405" s="46"/>
    </row>
    <row r="1406" spans="5:14" x14ac:dyDescent="0.2">
      <c r="E1406" s="46">
        <v>90629.73</v>
      </c>
      <c r="F1406" s="46">
        <v>134672.26</v>
      </c>
      <c r="G1406" s="46">
        <v>167267.68</v>
      </c>
      <c r="H1406" s="46">
        <v>478904.2</v>
      </c>
      <c r="I1406" s="46">
        <v>869897.48</v>
      </c>
      <c r="J1406" s="46">
        <v>995867.39</v>
      </c>
      <c r="K1406" s="46">
        <v>1851283.7</v>
      </c>
      <c r="L1406" s="46">
        <v>1325211.1299999999</v>
      </c>
      <c r="M1406" s="46"/>
      <c r="N1406" s="46"/>
    </row>
    <row r="1407" spans="5:14" x14ac:dyDescent="0.2">
      <c r="E1407" s="46">
        <v>44608.92</v>
      </c>
      <c r="F1407" s="46">
        <v>145821</v>
      </c>
      <c r="G1407" s="46">
        <v>355604.39</v>
      </c>
      <c r="H1407" s="46">
        <v>633075.4</v>
      </c>
      <c r="I1407" s="46">
        <v>1017289.63</v>
      </c>
      <c r="J1407" s="46">
        <v>2555340.12</v>
      </c>
      <c r="K1407" s="46">
        <v>4869443.55</v>
      </c>
      <c r="L1407" s="46">
        <v>4689454.76</v>
      </c>
      <c r="M1407" s="46"/>
      <c r="N1407" s="46"/>
    </row>
    <row r="1408" spans="5:14" x14ac:dyDescent="0.2">
      <c r="E1408" s="46">
        <v>69473.94</v>
      </c>
      <c r="F1408" s="46">
        <v>167672.04</v>
      </c>
      <c r="G1408" s="46">
        <v>251291.24</v>
      </c>
      <c r="H1408" s="46">
        <v>145638.25</v>
      </c>
      <c r="I1408" s="46">
        <v>209326.93</v>
      </c>
      <c r="J1408" s="46">
        <v>599495.39</v>
      </c>
      <c r="K1408" s="46">
        <v>867174.98</v>
      </c>
      <c r="L1408" s="46">
        <v>1713192.74</v>
      </c>
      <c r="M1408" s="46"/>
      <c r="N1408" s="46"/>
    </row>
    <row r="1409" spans="5:14" x14ac:dyDescent="0.2">
      <c r="E1409" s="46">
        <v>46420.41</v>
      </c>
      <c r="F1409" s="46">
        <v>126584.15</v>
      </c>
      <c r="G1409" s="46">
        <v>461181.14</v>
      </c>
      <c r="H1409" s="46">
        <v>650591.34</v>
      </c>
      <c r="I1409" s="46">
        <v>1518798.74</v>
      </c>
      <c r="J1409" s="46">
        <v>3880177.92</v>
      </c>
      <c r="K1409" s="46">
        <v>5220369.46</v>
      </c>
      <c r="L1409" s="46">
        <v>17662092.609999999</v>
      </c>
      <c r="M1409" s="46"/>
      <c r="N1409" s="46"/>
    </row>
    <row r="1410" spans="5:14" x14ac:dyDescent="0.2">
      <c r="E1410" s="46">
        <v>87150.46</v>
      </c>
      <c r="F1410" s="46">
        <v>147826.99</v>
      </c>
      <c r="G1410" s="46">
        <v>460340.45</v>
      </c>
      <c r="H1410" s="46">
        <v>1445872.74</v>
      </c>
      <c r="I1410" s="46">
        <v>2879836.72</v>
      </c>
      <c r="J1410" s="46">
        <v>9199054.3100000005</v>
      </c>
      <c r="K1410" s="46">
        <v>20651590.57</v>
      </c>
      <c r="L1410" s="46">
        <v>50729884.460000001</v>
      </c>
      <c r="M1410" s="46"/>
      <c r="N1410" s="46"/>
    </row>
    <row r="1411" spans="5:14" x14ac:dyDescent="0.2">
      <c r="E1411" s="46">
        <v>60677.24</v>
      </c>
      <c r="F1411" s="46">
        <v>99637.14</v>
      </c>
      <c r="G1411" s="46">
        <v>114935.01</v>
      </c>
      <c r="H1411" s="46">
        <v>286605.25</v>
      </c>
      <c r="I1411" s="46">
        <v>386952.08</v>
      </c>
      <c r="J1411" s="46">
        <v>596110.88</v>
      </c>
      <c r="K1411" s="46">
        <v>1837618.03</v>
      </c>
      <c r="L1411" s="46">
        <v>2768839.66</v>
      </c>
      <c r="M1411" s="46"/>
      <c r="N1411" s="46"/>
    </row>
    <row r="1412" spans="5:14" x14ac:dyDescent="0.2">
      <c r="E1412" s="46">
        <v>56703.82</v>
      </c>
      <c r="F1412" s="46">
        <v>174696.25</v>
      </c>
      <c r="G1412" s="46">
        <v>310018.74</v>
      </c>
      <c r="H1412" s="46">
        <v>597393.49</v>
      </c>
      <c r="I1412" s="46">
        <v>419411.27</v>
      </c>
      <c r="J1412" s="46">
        <v>1355497.37</v>
      </c>
      <c r="K1412" s="46">
        <v>2861933.35</v>
      </c>
      <c r="L1412" s="46">
        <v>4040665.48</v>
      </c>
      <c r="M1412" s="46"/>
      <c r="N1412" s="46"/>
    </row>
    <row r="1413" spans="5:14" x14ac:dyDescent="0.2">
      <c r="E1413" s="46">
        <v>56774.93</v>
      </c>
      <c r="F1413" s="46">
        <v>143152.14000000001</v>
      </c>
      <c r="G1413" s="46">
        <v>147891.67000000001</v>
      </c>
      <c r="H1413" s="46">
        <v>301187.40999999997</v>
      </c>
      <c r="I1413" s="46">
        <v>348606.05</v>
      </c>
      <c r="J1413" s="46">
        <v>927853.64</v>
      </c>
      <c r="K1413" s="46">
        <v>1758018.5600000001</v>
      </c>
      <c r="L1413" s="46">
        <v>3096757.58</v>
      </c>
      <c r="M1413" s="46"/>
      <c r="N1413" s="46"/>
    </row>
    <row r="1414" spans="5:14" x14ac:dyDescent="0.2">
      <c r="E1414" s="46">
        <v>31485.42</v>
      </c>
      <c r="F1414" s="46">
        <v>113180.24</v>
      </c>
      <c r="G1414" s="46">
        <v>458838.82</v>
      </c>
      <c r="H1414" s="46">
        <v>514601.8</v>
      </c>
      <c r="I1414" s="46">
        <v>1272262.1299999999</v>
      </c>
      <c r="J1414" s="46">
        <v>1308632.4099999999</v>
      </c>
      <c r="K1414" s="46">
        <v>5170838.08</v>
      </c>
      <c r="L1414" s="46">
        <v>13501121.66</v>
      </c>
      <c r="M1414" s="46"/>
      <c r="N1414" s="46"/>
    </row>
    <row r="1415" spans="5:14" x14ac:dyDescent="0.2">
      <c r="E1415" s="46">
        <v>73418.009999999995</v>
      </c>
      <c r="F1415" s="46">
        <v>210570.45</v>
      </c>
      <c r="G1415" s="46">
        <v>313144.08</v>
      </c>
      <c r="H1415" s="46">
        <v>694264.4</v>
      </c>
      <c r="I1415" s="46">
        <v>554468.6</v>
      </c>
      <c r="J1415" s="46">
        <v>632031.34</v>
      </c>
      <c r="K1415" s="46">
        <v>1092601.79</v>
      </c>
      <c r="L1415" s="46">
        <v>1692387.74</v>
      </c>
      <c r="M1415" s="46"/>
      <c r="N1415" s="46"/>
    </row>
    <row r="1416" spans="5:14" x14ac:dyDescent="0.2">
      <c r="E1416" s="46">
        <v>58730.19</v>
      </c>
      <c r="F1416" s="46">
        <v>188627.33</v>
      </c>
      <c r="G1416" s="46">
        <v>600994.43999999994</v>
      </c>
      <c r="H1416" s="46">
        <v>895330.89</v>
      </c>
      <c r="I1416" s="46">
        <v>1095424.8899999999</v>
      </c>
      <c r="J1416" s="46">
        <v>1321522.52</v>
      </c>
      <c r="K1416" s="46">
        <v>3070735.58</v>
      </c>
      <c r="L1416" s="46">
        <v>6336676.9500000002</v>
      </c>
      <c r="M1416" s="46"/>
      <c r="N1416" s="46"/>
    </row>
    <row r="1417" spans="5:14" x14ac:dyDescent="0.2">
      <c r="E1417" s="46">
        <v>52104.800000000003</v>
      </c>
      <c r="F1417" s="46">
        <v>97699.71</v>
      </c>
      <c r="G1417" s="46">
        <v>157649.01</v>
      </c>
      <c r="H1417" s="46">
        <v>393369.96</v>
      </c>
      <c r="I1417" s="46">
        <v>728837.65</v>
      </c>
      <c r="J1417" s="46">
        <v>616444.56000000006</v>
      </c>
      <c r="K1417" s="46">
        <v>714610.74</v>
      </c>
      <c r="L1417" s="46">
        <v>857049.67</v>
      </c>
      <c r="M1417" s="46"/>
      <c r="N1417" s="46"/>
    </row>
    <row r="1418" spans="5:14" x14ac:dyDescent="0.2">
      <c r="E1418" s="46">
        <v>42580.639999999999</v>
      </c>
      <c r="F1418" s="46">
        <v>130728.81</v>
      </c>
      <c r="G1418" s="46">
        <v>316533.94</v>
      </c>
      <c r="H1418" s="46">
        <v>449069.59</v>
      </c>
      <c r="I1418" s="46">
        <v>768250.69</v>
      </c>
      <c r="J1418" s="46">
        <v>687192.95</v>
      </c>
      <c r="K1418" s="46">
        <v>1131833.6599999999</v>
      </c>
      <c r="L1418" s="46">
        <v>1117702.33</v>
      </c>
      <c r="M1418" s="46"/>
      <c r="N1418" s="46"/>
    </row>
    <row r="1419" spans="5:14" x14ac:dyDescent="0.2">
      <c r="E1419" s="46">
        <v>67894.64</v>
      </c>
      <c r="F1419" s="46">
        <v>95325.43</v>
      </c>
      <c r="G1419" s="46">
        <v>188797.24</v>
      </c>
      <c r="H1419" s="46">
        <v>258985.25</v>
      </c>
      <c r="I1419" s="46">
        <v>866747.18</v>
      </c>
      <c r="J1419" s="46">
        <v>1435863.89</v>
      </c>
      <c r="K1419" s="46">
        <v>2233457.2200000002</v>
      </c>
      <c r="L1419" s="46">
        <v>2270839.4</v>
      </c>
      <c r="M1419" s="46"/>
      <c r="N1419" s="46"/>
    </row>
    <row r="1420" spans="5:14" x14ac:dyDescent="0.2">
      <c r="E1420" s="46">
        <v>39763.46</v>
      </c>
      <c r="F1420" s="46">
        <v>199242.35</v>
      </c>
      <c r="G1420" s="46">
        <v>330390.56</v>
      </c>
      <c r="H1420" s="46">
        <v>371458.1</v>
      </c>
      <c r="I1420" s="46">
        <v>1298880.17</v>
      </c>
      <c r="J1420" s="46">
        <v>2132414.77</v>
      </c>
      <c r="K1420" s="46">
        <v>2744987.01</v>
      </c>
      <c r="L1420" s="46">
        <v>4523084.3499999996</v>
      </c>
      <c r="M1420" s="46"/>
      <c r="N1420" s="46"/>
    </row>
    <row r="1421" spans="5:14" x14ac:dyDescent="0.2">
      <c r="E1421" s="46">
        <v>39362.26</v>
      </c>
      <c r="F1421" s="46">
        <v>85728.22</v>
      </c>
      <c r="G1421" s="46">
        <v>170145.17</v>
      </c>
      <c r="H1421" s="46">
        <v>289312.34999999998</v>
      </c>
      <c r="I1421" s="46">
        <v>400328.42</v>
      </c>
      <c r="J1421" s="46">
        <v>393872.11</v>
      </c>
      <c r="K1421" s="46">
        <v>656733.43999999994</v>
      </c>
      <c r="L1421" s="46">
        <v>727106.1</v>
      </c>
      <c r="M1421" s="46"/>
      <c r="N1421" s="46"/>
    </row>
    <row r="1422" spans="5:14" x14ac:dyDescent="0.2">
      <c r="E1422" s="46">
        <v>50345.04</v>
      </c>
      <c r="F1422" s="46">
        <v>105987.14</v>
      </c>
      <c r="G1422" s="46">
        <v>547323.88</v>
      </c>
      <c r="H1422" s="46">
        <v>456871.25</v>
      </c>
      <c r="I1422" s="46">
        <v>899714.91</v>
      </c>
      <c r="J1422" s="46">
        <v>1065851.93</v>
      </c>
      <c r="K1422" s="46">
        <v>2666714.36</v>
      </c>
      <c r="L1422" s="46">
        <v>4578211.0599999996</v>
      </c>
      <c r="M1422" s="46"/>
      <c r="N1422" s="46"/>
    </row>
    <row r="1423" spans="5:14" x14ac:dyDescent="0.2">
      <c r="E1423" s="46">
        <v>47606.48</v>
      </c>
      <c r="F1423" s="46">
        <v>123310.19</v>
      </c>
      <c r="G1423" s="46">
        <v>170994.69</v>
      </c>
      <c r="H1423" s="46">
        <v>265666.13</v>
      </c>
      <c r="I1423" s="46">
        <v>525072.35</v>
      </c>
      <c r="J1423" s="46">
        <v>1003195.17</v>
      </c>
      <c r="K1423" s="46">
        <v>1458442.86</v>
      </c>
      <c r="L1423" s="46">
        <v>1741945.11</v>
      </c>
      <c r="M1423" s="46"/>
      <c r="N1423" s="46"/>
    </row>
    <row r="1424" spans="5:14" x14ac:dyDescent="0.2">
      <c r="E1424" s="46">
        <v>53412.59</v>
      </c>
      <c r="F1424" s="46">
        <v>169666.97</v>
      </c>
      <c r="G1424" s="46">
        <v>854416.24</v>
      </c>
      <c r="H1424" s="46">
        <v>1518957.25</v>
      </c>
      <c r="I1424" s="46">
        <v>4866056.3099999996</v>
      </c>
      <c r="J1424" s="46">
        <v>4292067.92</v>
      </c>
      <c r="K1424" s="46">
        <v>8879708.0600000005</v>
      </c>
      <c r="L1424" s="46">
        <v>7876651.0099999998</v>
      </c>
      <c r="M1424" s="46"/>
      <c r="N1424" s="46"/>
    </row>
    <row r="1425" spans="5:14" x14ac:dyDescent="0.2">
      <c r="E1425" s="46">
        <v>58918.52</v>
      </c>
      <c r="F1425" s="46">
        <v>241316.16</v>
      </c>
      <c r="G1425" s="46">
        <v>610657.57999999996</v>
      </c>
      <c r="H1425" s="46">
        <v>885195.07</v>
      </c>
      <c r="I1425" s="46">
        <v>1100046.3700000001</v>
      </c>
      <c r="J1425" s="46">
        <v>1290847.6100000001</v>
      </c>
      <c r="K1425" s="46">
        <v>1408949.54</v>
      </c>
      <c r="L1425" s="46">
        <v>3731271.32</v>
      </c>
      <c r="M1425" s="46"/>
      <c r="N1425" s="46"/>
    </row>
    <row r="1426" spans="5:14" x14ac:dyDescent="0.2">
      <c r="E1426" s="46">
        <v>42798.8</v>
      </c>
      <c r="F1426" s="46">
        <v>81936.23</v>
      </c>
      <c r="G1426" s="46">
        <v>128991.88</v>
      </c>
      <c r="H1426" s="46">
        <v>228026.4</v>
      </c>
      <c r="I1426" s="46">
        <v>229754.17</v>
      </c>
      <c r="J1426" s="46">
        <v>1049377.8799999999</v>
      </c>
      <c r="K1426" s="46">
        <v>2407599.09</v>
      </c>
      <c r="L1426" s="46">
        <v>2295875.5099999998</v>
      </c>
      <c r="M1426" s="46"/>
      <c r="N1426" s="46"/>
    </row>
    <row r="1427" spans="5:14" x14ac:dyDescent="0.2">
      <c r="E1427" s="46">
        <v>31541.33</v>
      </c>
      <c r="F1427" s="46">
        <v>100235.9</v>
      </c>
      <c r="G1427" s="46">
        <v>564745.93999999994</v>
      </c>
      <c r="H1427" s="46">
        <v>801900.19</v>
      </c>
      <c r="I1427" s="46">
        <v>1430016.22</v>
      </c>
      <c r="J1427" s="46">
        <v>3415842.78</v>
      </c>
      <c r="K1427" s="46">
        <v>8547830.7300000004</v>
      </c>
      <c r="L1427" s="46">
        <v>12395958.16</v>
      </c>
      <c r="M1427" s="46"/>
      <c r="N1427" s="46"/>
    </row>
    <row r="1428" spans="5:14" x14ac:dyDescent="0.2">
      <c r="E1428" s="46">
        <v>38642.86</v>
      </c>
      <c r="F1428" s="46">
        <v>39463.519999999997</v>
      </c>
      <c r="G1428" s="46">
        <v>141967.35</v>
      </c>
      <c r="H1428" s="46">
        <v>329067.98</v>
      </c>
      <c r="I1428" s="46">
        <v>345217.12</v>
      </c>
      <c r="J1428" s="46">
        <v>368737.37</v>
      </c>
      <c r="K1428" s="46">
        <v>783110.18</v>
      </c>
      <c r="L1428" s="46">
        <v>812881.85</v>
      </c>
      <c r="M1428" s="46"/>
      <c r="N1428" s="46"/>
    </row>
    <row r="1429" spans="5:14" x14ac:dyDescent="0.2">
      <c r="E1429" s="46">
        <v>68113.61</v>
      </c>
      <c r="F1429" s="46">
        <v>115841.87</v>
      </c>
      <c r="G1429" s="46">
        <v>309273.61</v>
      </c>
      <c r="H1429" s="46">
        <v>490107.89</v>
      </c>
      <c r="I1429" s="46">
        <v>712343.2</v>
      </c>
      <c r="J1429" s="46">
        <v>2208187.87</v>
      </c>
      <c r="K1429" s="46">
        <v>4007403.81</v>
      </c>
      <c r="L1429" s="46">
        <v>5362839.26</v>
      </c>
      <c r="M1429" s="46"/>
      <c r="N1429" s="46"/>
    </row>
    <row r="1430" spans="5:14" x14ac:dyDescent="0.2">
      <c r="E1430" s="46">
        <v>110630.99</v>
      </c>
      <c r="F1430" s="46">
        <v>350934.79</v>
      </c>
      <c r="G1430" s="46">
        <v>333291.21999999997</v>
      </c>
      <c r="H1430" s="46">
        <v>484271.66</v>
      </c>
      <c r="I1430" s="46">
        <v>705571.48</v>
      </c>
      <c r="J1430" s="46">
        <v>654628.05000000005</v>
      </c>
      <c r="K1430" s="46">
        <v>1491680.88</v>
      </c>
      <c r="L1430" s="46">
        <v>2170841.69</v>
      </c>
      <c r="M1430" s="46"/>
      <c r="N1430" s="46"/>
    </row>
    <row r="1431" spans="5:14" x14ac:dyDescent="0.2">
      <c r="E1431" s="46">
        <v>56304.71</v>
      </c>
      <c r="F1431" s="46">
        <v>143801.95000000001</v>
      </c>
      <c r="G1431" s="46">
        <v>170489.49</v>
      </c>
      <c r="H1431" s="46">
        <v>344177.48</v>
      </c>
      <c r="I1431" s="46">
        <v>538694.85</v>
      </c>
      <c r="J1431" s="46">
        <v>1439526.78</v>
      </c>
      <c r="K1431" s="46">
        <v>1207572.1599999999</v>
      </c>
      <c r="L1431" s="46">
        <v>1447764.5</v>
      </c>
      <c r="M1431" s="46"/>
      <c r="N1431" s="46"/>
    </row>
    <row r="1432" spans="5:14" x14ac:dyDescent="0.2">
      <c r="E1432" s="46">
        <v>46261.52</v>
      </c>
      <c r="F1432" s="46">
        <v>132359.95000000001</v>
      </c>
      <c r="G1432" s="46">
        <v>285119.59999999998</v>
      </c>
      <c r="H1432" s="46">
        <v>407686.52</v>
      </c>
      <c r="I1432" s="46">
        <v>559319.94999999995</v>
      </c>
      <c r="J1432" s="46">
        <v>1844881.66</v>
      </c>
      <c r="K1432" s="46">
        <v>5056921.88</v>
      </c>
      <c r="L1432" s="46">
        <v>6765350.2800000003</v>
      </c>
      <c r="M1432" s="46"/>
      <c r="N1432" s="46"/>
    </row>
    <row r="1433" spans="5:14" x14ac:dyDescent="0.2">
      <c r="E1433" s="46">
        <v>44618.12</v>
      </c>
      <c r="F1433" s="46">
        <v>79458.89</v>
      </c>
      <c r="G1433" s="46">
        <v>377549.2</v>
      </c>
      <c r="H1433" s="46">
        <v>561834.42000000004</v>
      </c>
      <c r="I1433" s="46">
        <v>2450151.81</v>
      </c>
      <c r="J1433" s="46">
        <v>3384584.64</v>
      </c>
      <c r="K1433" s="46">
        <v>4938789.8099999996</v>
      </c>
      <c r="L1433" s="46">
        <v>8340713.0300000003</v>
      </c>
      <c r="M1433" s="46"/>
      <c r="N1433" s="46"/>
    </row>
    <row r="1434" spans="5:14" x14ac:dyDescent="0.2">
      <c r="E1434" s="46">
        <v>53656.49</v>
      </c>
      <c r="F1434" s="46">
        <v>283601</v>
      </c>
      <c r="G1434" s="46">
        <v>649830.77</v>
      </c>
      <c r="H1434" s="46">
        <v>960454.23</v>
      </c>
      <c r="I1434" s="46">
        <v>3025755.25</v>
      </c>
      <c r="J1434" s="46">
        <v>4547256.24</v>
      </c>
      <c r="K1434" s="46">
        <v>4483677.3600000003</v>
      </c>
      <c r="L1434" s="46">
        <v>8621311.8399999999</v>
      </c>
      <c r="M1434" s="46"/>
      <c r="N1434" s="46"/>
    </row>
    <row r="1435" spans="5:14" x14ac:dyDescent="0.2">
      <c r="E1435" s="46">
        <v>53420.15</v>
      </c>
      <c r="F1435" s="46">
        <v>155622.74</v>
      </c>
      <c r="G1435" s="46">
        <v>168133.11</v>
      </c>
      <c r="H1435" s="46">
        <v>480724.92</v>
      </c>
      <c r="I1435" s="46">
        <v>828772.51</v>
      </c>
      <c r="J1435" s="46">
        <v>799988.16</v>
      </c>
      <c r="K1435" s="46">
        <v>1045327.82</v>
      </c>
      <c r="L1435" s="46">
        <v>2258702.38</v>
      </c>
      <c r="M1435" s="46"/>
      <c r="N1435" s="46"/>
    </row>
    <row r="1436" spans="5:14" x14ac:dyDescent="0.2">
      <c r="E1436" s="46">
        <v>58445.61</v>
      </c>
      <c r="F1436" s="46">
        <v>247931.65</v>
      </c>
      <c r="G1436" s="46">
        <v>355561.33</v>
      </c>
      <c r="H1436" s="46">
        <v>532715.34</v>
      </c>
      <c r="I1436" s="46">
        <v>1134486.29</v>
      </c>
      <c r="J1436" s="46">
        <v>1928784.19</v>
      </c>
      <c r="K1436" s="46">
        <v>2914982.39</v>
      </c>
      <c r="L1436" s="46">
        <v>3681817.14</v>
      </c>
      <c r="M1436" s="46"/>
      <c r="N1436" s="46"/>
    </row>
    <row r="1437" spans="5:14" x14ac:dyDescent="0.2">
      <c r="E1437" s="46">
        <v>70123.55</v>
      </c>
      <c r="F1437" s="46">
        <v>122701.63</v>
      </c>
      <c r="G1437" s="46">
        <v>285429.64</v>
      </c>
      <c r="H1437" s="46">
        <v>319512.2</v>
      </c>
      <c r="I1437" s="46">
        <v>1077778.23</v>
      </c>
      <c r="J1437" s="46">
        <v>1335063.3799999999</v>
      </c>
      <c r="K1437" s="46">
        <v>1745642.93</v>
      </c>
      <c r="L1437" s="46">
        <v>3867363.3</v>
      </c>
      <c r="M1437" s="46"/>
      <c r="N1437" s="46"/>
    </row>
    <row r="1438" spans="5:14" x14ac:dyDescent="0.2">
      <c r="E1438" s="46">
        <v>86015.66</v>
      </c>
      <c r="F1438" s="46">
        <v>140292.38</v>
      </c>
      <c r="G1438" s="46">
        <v>155287.34</v>
      </c>
      <c r="H1438" s="46">
        <v>168707.15</v>
      </c>
      <c r="I1438" s="46">
        <v>268684.01</v>
      </c>
      <c r="J1438" s="46">
        <v>912150.17</v>
      </c>
      <c r="K1438" s="46">
        <v>1283173.6299999999</v>
      </c>
      <c r="L1438" s="46">
        <v>1020798.88</v>
      </c>
      <c r="M1438" s="46"/>
      <c r="N1438" s="46"/>
    </row>
    <row r="1439" spans="5:14" x14ac:dyDescent="0.2">
      <c r="E1439" s="46">
        <v>48683.34</v>
      </c>
      <c r="F1439" s="46">
        <v>147458.73000000001</v>
      </c>
      <c r="G1439" s="46">
        <v>162611.91</v>
      </c>
      <c r="H1439" s="46">
        <v>496848.37</v>
      </c>
      <c r="I1439" s="46">
        <v>1405720.58</v>
      </c>
      <c r="J1439" s="46">
        <v>1311095.1200000001</v>
      </c>
      <c r="K1439" s="46">
        <v>2867937.99</v>
      </c>
      <c r="L1439" s="46">
        <v>3891139.98</v>
      </c>
      <c r="M1439" s="46"/>
      <c r="N1439" s="46"/>
    </row>
    <row r="1440" spans="5:14" x14ac:dyDescent="0.2">
      <c r="E1440" s="46">
        <v>75192.149999999994</v>
      </c>
      <c r="F1440" s="46">
        <v>152540.32999999999</v>
      </c>
      <c r="G1440" s="46">
        <v>344668.59</v>
      </c>
      <c r="H1440" s="46">
        <v>247029.54</v>
      </c>
      <c r="I1440" s="46">
        <v>326243.43</v>
      </c>
      <c r="J1440" s="46">
        <v>977335.26</v>
      </c>
      <c r="K1440" s="46">
        <v>1856917.63</v>
      </c>
      <c r="L1440" s="46">
        <v>2367108.67</v>
      </c>
      <c r="M1440" s="46"/>
      <c r="N1440" s="46"/>
    </row>
    <row r="1441" spans="5:14" x14ac:dyDescent="0.2">
      <c r="E1441" s="46">
        <v>40011.82</v>
      </c>
      <c r="F1441" s="46">
        <v>76464.19</v>
      </c>
      <c r="G1441" s="46">
        <v>128064.2</v>
      </c>
      <c r="H1441" s="46">
        <v>335901.22</v>
      </c>
      <c r="I1441" s="46">
        <v>624149.16</v>
      </c>
      <c r="J1441" s="46">
        <v>1418737.61</v>
      </c>
      <c r="K1441" s="46">
        <v>1767945.81</v>
      </c>
      <c r="L1441" s="46">
        <v>4486324.7699999996</v>
      </c>
      <c r="M1441" s="46"/>
      <c r="N1441" s="46"/>
    </row>
    <row r="1442" spans="5:14" x14ac:dyDescent="0.2">
      <c r="E1442" s="46">
        <v>55821.45</v>
      </c>
      <c r="F1442" s="46">
        <v>96206.93</v>
      </c>
      <c r="G1442" s="46">
        <v>186263.71</v>
      </c>
      <c r="H1442" s="46">
        <v>227759.52</v>
      </c>
      <c r="I1442" s="46">
        <v>702758.47</v>
      </c>
      <c r="J1442" s="46">
        <v>1476153.31</v>
      </c>
      <c r="K1442" s="46">
        <v>2793562.08</v>
      </c>
      <c r="L1442" s="46">
        <v>2813631.83</v>
      </c>
      <c r="M1442" s="46"/>
      <c r="N1442" s="46"/>
    </row>
    <row r="1443" spans="5:14" x14ac:dyDescent="0.2">
      <c r="E1443" s="46">
        <v>55544.45</v>
      </c>
      <c r="F1443" s="46">
        <v>107586.93</v>
      </c>
      <c r="G1443" s="46">
        <v>175724.98</v>
      </c>
      <c r="H1443" s="46">
        <v>264263</v>
      </c>
      <c r="I1443" s="46">
        <v>366204.56</v>
      </c>
      <c r="J1443" s="46">
        <v>773471.33</v>
      </c>
      <c r="K1443" s="46">
        <v>978580.66</v>
      </c>
      <c r="L1443" s="46">
        <v>792139.05</v>
      </c>
      <c r="M1443" s="46"/>
      <c r="N1443" s="46"/>
    </row>
    <row r="1444" spans="5:14" x14ac:dyDescent="0.2">
      <c r="E1444" s="46">
        <v>55461.02</v>
      </c>
      <c r="F1444" s="46">
        <v>121308.21</v>
      </c>
      <c r="G1444" s="46">
        <v>318794.99</v>
      </c>
      <c r="H1444" s="46">
        <v>517318.44</v>
      </c>
      <c r="I1444" s="46">
        <v>1089114.77</v>
      </c>
      <c r="J1444" s="46">
        <v>2271351.4500000002</v>
      </c>
      <c r="K1444" s="46">
        <v>3012637.18</v>
      </c>
      <c r="L1444" s="46">
        <v>4714227.7</v>
      </c>
      <c r="M1444" s="46"/>
      <c r="N1444" s="46"/>
    </row>
    <row r="1445" spans="5:14" x14ac:dyDescent="0.2">
      <c r="E1445" s="46">
        <v>52787.64</v>
      </c>
      <c r="F1445" s="46">
        <v>105423.72</v>
      </c>
      <c r="G1445" s="46">
        <v>290380.15000000002</v>
      </c>
      <c r="H1445" s="46">
        <v>287392.2</v>
      </c>
      <c r="I1445" s="46">
        <v>518573.03</v>
      </c>
      <c r="J1445" s="46">
        <v>482221.48</v>
      </c>
      <c r="K1445" s="46">
        <v>694668.7</v>
      </c>
      <c r="L1445" s="46">
        <v>2111444.7200000002</v>
      </c>
      <c r="M1445" s="46"/>
      <c r="N1445" s="46"/>
    </row>
    <row r="1446" spans="5:14" x14ac:dyDescent="0.2">
      <c r="E1446" s="46">
        <v>39810.959999999999</v>
      </c>
      <c r="F1446" s="46">
        <v>158096.69</v>
      </c>
      <c r="G1446" s="46">
        <v>114256.03</v>
      </c>
      <c r="H1446" s="46">
        <v>380369.37</v>
      </c>
      <c r="I1446" s="46">
        <v>396102.37</v>
      </c>
      <c r="J1446" s="46">
        <v>655365.78</v>
      </c>
      <c r="K1446" s="46">
        <v>519079.52</v>
      </c>
      <c r="L1446" s="46">
        <v>623300.49</v>
      </c>
      <c r="M1446" s="46"/>
      <c r="N1446" s="46"/>
    </row>
    <row r="1447" spans="5:14" x14ac:dyDescent="0.2">
      <c r="E1447" s="46">
        <v>59233.06</v>
      </c>
      <c r="F1447" s="46">
        <v>73575.600000000006</v>
      </c>
      <c r="G1447" s="46">
        <v>166644.12</v>
      </c>
      <c r="H1447" s="46">
        <v>285731.03000000003</v>
      </c>
      <c r="I1447" s="46">
        <v>318548.71999999997</v>
      </c>
      <c r="J1447" s="46">
        <v>328960.8</v>
      </c>
      <c r="K1447" s="46">
        <v>307622.46999999997</v>
      </c>
      <c r="L1447" s="46">
        <v>596319.42000000004</v>
      </c>
      <c r="M1447" s="46"/>
      <c r="N1447" s="46"/>
    </row>
    <row r="1448" spans="5:14" x14ac:dyDescent="0.2">
      <c r="E1448" s="46">
        <v>70047.59</v>
      </c>
      <c r="F1448" s="46">
        <v>149004.42000000001</v>
      </c>
      <c r="G1448" s="46">
        <v>205492.75</v>
      </c>
      <c r="H1448" s="46">
        <v>205839.71</v>
      </c>
      <c r="I1448" s="46">
        <v>336489.71</v>
      </c>
      <c r="J1448" s="46">
        <v>1108126.3899999999</v>
      </c>
      <c r="K1448" s="46">
        <v>926035.96</v>
      </c>
      <c r="L1448" s="46">
        <v>2322480.91</v>
      </c>
      <c r="M1448" s="46"/>
      <c r="N1448" s="46"/>
    </row>
    <row r="1449" spans="5:14" x14ac:dyDescent="0.2">
      <c r="E1449" s="46">
        <v>45684.86</v>
      </c>
      <c r="F1449" s="46">
        <v>130796.75</v>
      </c>
      <c r="G1449" s="46">
        <v>405558.59</v>
      </c>
      <c r="H1449" s="46">
        <v>412283.84</v>
      </c>
      <c r="I1449" s="46">
        <v>1016497.89</v>
      </c>
      <c r="J1449" s="46">
        <v>4152875.16</v>
      </c>
      <c r="K1449" s="46">
        <v>9553235.5899999999</v>
      </c>
      <c r="L1449" s="46">
        <v>13219409.800000001</v>
      </c>
      <c r="M1449" s="46"/>
      <c r="N1449" s="46"/>
    </row>
    <row r="1450" spans="5:14" x14ac:dyDescent="0.2">
      <c r="E1450" s="46">
        <v>47669.47</v>
      </c>
      <c r="F1450" s="46">
        <v>170939.38</v>
      </c>
      <c r="G1450" s="46">
        <v>422055.36</v>
      </c>
      <c r="H1450" s="46">
        <v>674350.71</v>
      </c>
      <c r="I1450" s="46">
        <v>925357.27</v>
      </c>
      <c r="J1450" s="46">
        <v>2961395.19</v>
      </c>
      <c r="K1450" s="46">
        <v>4100486.13</v>
      </c>
      <c r="L1450" s="46">
        <v>14083567.359999999</v>
      </c>
      <c r="M1450" s="46"/>
      <c r="N1450" s="46"/>
    </row>
    <row r="1451" spans="5:14" x14ac:dyDescent="0.2">
      <c r="E1451" s="46">
        <v>43840.5</v>
      </c>
      <c r="F1451" s="46">
        <v>88402.98</v>
      </c>
      <c r="G1451" s="46">
        <v>202171.58</v>
      </c>
      <c r="H1451" s="46">
        <v>316273.71999999997</v>
      </c>
      <c r="I1451" s="46">
        <v>741358.38</v>
      </c>
      <c r="J1451" s="46">
        <v>1546115.84</v>
      </c>
      <c r="K1451" s="46">
        <v>692252.08</v>
      </c>
      <c r="L1451" s="46">
        <v>3769877.08</v>
      </c>
      <c r="M1451" s="46"/>
      <c r="N1451" s="46"/>
    </row>
    <row r="1452" spans="5:14" x14ac:dyDescent="0.2">
      <c r="E1452" s="46">
        <v>57706.34</v>
      </c>
      <c r="F1452" s="46">
        <v>89023.58</v>
      </c>
      <c r="G1452" s="46">
        <v>310322.81</v>
      </c>
      <c r="H1452" s="46">
        <v>209953.32</v>
      </c>
      <c r="I1452" s="46">
        <v>420674.23</v>
      </c>
      <c r="J1452" s="46">
        <v>1247572.54</v>
      </c>
      <c r="K1452" s="46">
        <v>3057210.31</v>
      </c>
      <c r="L1452" s="46">
        <v>5779333.3899999997</v>
      </c>
      <c r="M1452" s="46"/>
      <c r="N1452" s="46"/>
    </row>
    <row r="1453" spans="5:14" x14ac:dyDescent="0.2">
      <c r="E1453" s="46">
        <v>70886.22</v>
      </c>
      <c r="F1453" s="46">
        <v>179505.51</v>
      </c>
      <c r="G1453" s="46">
        <v>319525.99</v>
      </c>
      <c r="H1453" s="46">
        <v>302721.68</v>
      </c>
      <c r="I1453" s="46">
        <v>636034.39</v>
      </c>
      <c r="J1453" s="46">
        <v>1082459.97</v>
      </c>
      <c r="K1453" s="46">
        <v>1268139.93</v>
      </c>
      <c r="L1453" s="46">
        <v>895029.53</v>
      </c>
      <c r="M1453" s="46"/>
      <c r="N1453" s="46"/>
    </row>
    <row r="1454" spans="5:14" x14ac:dyDescent="0.2">
      <c r="E1454" s="46">
        <v>67285.149999999994</v>
      </c>
      <c r="F1454" s="46">
        <v>163597.57999999999</v>
      </c>
      <c r="G1454" s="46">
        <v>281779.74</v>
      </c>
      <c r="H1454" s="46">
        <v>753843.82</v>
      </c>
      <c r="I1454" s="46">
        <v>1754689.42</v>
      </c>
      <c r="J1454" s="46">
        <v>3232160.13</v>
      </c>
      <c r="K1454" s="46">
        <v>8714762.0199999996</v>
      </c>
      <c r="L1454" s="46">
        <v>18333456.460000001</v>
      </c>
      <c r="M1454" s="46"/>
      <c r="N1454" s="46"/>
    </row>
    <row r="1455" spans="5:14" x14ac:dyDescent="0.2">
      <c r="E1455" s="46">
        <v>78313.25</v>
      </c>
      <c r="F1455" s="46">
        <v>89924.21</v>
      </c>
      <c r="G1455" s="46">
        <v>200769.65</v>
      </c>
      <c r="H1455" s="46">
        <v>258940.22</v>
      </c>
      <c r="I1455" s="46">
        <v>359209.71</v>
      </c>
      <c r="J1455" s="46">
        <v>874855.55</v>
      </c>
      <c r="K1455" s="46">
        <v>2524200.58</v>
      </c>
      <c r="L1455" s="46">
        <v>2535628.9700000002</v>
      </c>
      <c r="M1455" s="46"/>
      <c r="N1455" s="46"/>
    </row>
    <row r="1456" spans="5:14" x14ac:dyDescent="0.2">
      <c r="E1456" s="46">
        <v>38820.79</v>
      </c>
      <c r="F1456" s="46">
        <v>85470.76</v>
      </c>
      <c r="G1456" s="46">
        <v>215978.45</v>
      </c>
      <c r="H1456" s="46">
        <v>463512.6</v>
      </c>
      <c r="I1456" s="46">
        <v>981788.77</v>
      </c>
      <c r="J1456" s="46">
        <v>3149749</v>
      </c>
      <c r="K1456" s="46">
        <v>6349895.0099999998</v>
      </c>
      <c r="L1456" s="46">
        <v>10141259.039999999</v>
      </c>
      <c r="M1456" s="46"/>
      <c r="N1456" s="46"/>
    </row>
    <row r="1457" spans="5:14" x14ac:dyDescent="0.2">
      <c r="E1457" s="46">
        <v>66416.3</v>
      </c>
      <c r="F1457" s="46">
        <v>114059.11</v>
      </c>
      <c r="G1457" s="46">
        <v>129018.14</v>
      </c>
      <c r="H1457" s="46">
        <v>189683.95</v>
      </c>
      <c r="I1457" s="46">
        <v>214898.98</v>
      </c>
      <c r="J1457" s="46">
        <v>374582.51</v>
      </c>
      <c r="K1457" s="46">
        <v>827597.03</v>
      </c>
      <c r="L1457" s="46">
        <v>753391.16</v>
      </c>
      <c r="M1457" s="46"/>
      <c r="N1457" s="46"/>
    </row>
    <row r="1458" spans="5:14" x14ac:dyDescent="0.2">
      <c r="E1458" s="46">
        <v>40802.699999999997</v>
      </c>
      <c r="F1458" s="46">
        <v>178317.35</v>
      </c>
      <c r="G1458" s="46">
        <v>325051.38</v>
      </c>
      <c r="H1458" s="46">
        <v>508849.3</v>
      </c>
      <c r="I1458" s="46">
        <v>1300806.03</v>
      </c>
      <c r="J1458" s="46">
        <v>2420793.27</v>
      </c>
      <c r="K1458" s="46">
        <v>3764436.55</v>
      </c>
      <c r="L1458" s="46">
        <v>4949301.43</v>
      </c>
      <c r="M1458" s="46"/>
      <c r="N1458" s="46"/>
    </row>
    <row r="1459" spans="5:14" x14ac:dyDescent="0.2">
      <c r="E1459" s="46">
        <v>67276.67</v>
      </c>
      <c r="F1459" s="46">
        <v>128071.95</v>
      </c>
      <c r="G1459" s="46">
        <v>555678.76</v>
      </c>
      <c r="H1459" s="46">
        <v>879742.46</v>
      </c>
      <c r="I1459" s="46">
        <v>1775216.98</v>
      </c>
      <c r="J1459" s="46">
        <v>2936039.91</v>
      </c>
      <c r="K1459" s="46">
        <v>6924440.5099999998</v>
      </c>
      <c r="L1459" s="46">
        <v>44798385.57</v>
      </c>
      <c r="M1459" s="46"/>
      <c r="N1459" s="46"/>
    </row>
    <row r="1460" spans="5:14" x14ac:dyDescent="0.2">
      <c r="E1460" s="46">
        <v>46415.13</v>
      </c>
      <c r="F1460" s="46">
        <v>108076.73</v>
      </c>
      <c r="G1460" s="46">
        <v>202051.17</v>
      </c>
      <c r="H1460" s="46">
        <v>331805.53000000003</v>
      </c>
      <c r="I1460" s="46">
        <v>938506.55</v>
      </c>
      <c r="J1460" s="46">
        <v>1584130.14</v>
      </c>
      <c r="K1460" s="46">
        <v>1914892.16</v>
      </c>
      <c r="L1460" s="46">
        <v>2950712.63</v>
      </c>
      <c r="M1460" s="46"/>
      <c r="N1460" s="46"/>
    </row>
    <row r="1461" spans="5:14" x14ac:dyDescent="0.2">
      <c r="E1461" s="46">
        <v>45899.13</v>
      </c>
      <c r="F1461" s="46">
        <v>117355.02</v>
      </c>
      <c r="G1461" s="46">
        <v>251391.86</v>
      </c>
      <c r="H1461" s="46">
        <v>355123.26</v>
      </c>
      <c r="I1461" s="46">
        <v>740470.1</v>
      </c>
      <c r="J1461" s="46">
        <v>1334287.6499999999</v>
      </c>
      <c r="K1461" s="46">
        <v>1379144.61</v>
      </c>
      <c r="L1461" s="46">
        <v>3518530.21</v>
      </c>
      <c r="M1461" s="46"/>
      <c r="N1461" s="46"/>
    </row>
    <row r="1462" spans="5:14" x14ac:dyDescent="0.2">
      <c r="E1462" s="46">
        <v>49577.26</v>
      </c>
      <c r="F1462" s="46">
        <v>118602.32</v>
      </c>
      <c r="G1462" s="46">
        <v>491807.88</v>
      </c>
      <c r="H1462" s="46">
        <v>828234.65</v>
      </c>
      <c r="I1462" s="46">
        <v>1678610.59</v>
      </c>
      <c r="J1462" s="46">
        <v>1114912.4099999999</v>
      </c>
      <c r="K1462" s="46">
        <v>3112424.27</v>
      </c>
      <c r="L1462" s="46">
        <v>3969720.95</v>
      </c>
      <c r="M1462" s="46"/>
      <c r="N1462" s="46"/>
    </row>
    <row r="1463" spans="5:14" x14ac:dyDescent="0.2">
      <c r="E1463" s="46">
        <v>39627.14</v>
      </c>
      <c r="F1463" s="46">
        <v>156841.94</v>
      </c>
      <c r="G1463" s="46">
        <v>253595.67</v>
      </c>
      <c r="H1463" s="46">
        <v>659725.93999999994</v>
      </c>
      <c r="I1463" s="46">
        <v>1172633.32</v>
      </c>
      <c r="J1463" s="46">
        <v>1817394.48</v>
      </c>
      <c r="K1463" s="46">
        <v>1578914.88</v>
      </c>
      <c r="L1463" s="46">
        <v>1577504.79</v>
      </c>
      <c r="M1463" s="46"/>
      <c r="N1463" s="46"/>
    </row>
    <row r="1464" spans="5:14" x14ac:dyDescent="0.2">
      <c r="E1464" s="46">
        <v>46179.06</v>
      </c>
      <c r="F1464" s="46">
        <v>206215.83</v>
      </c>
      <c r="G1464" s="46">
        <v>321463.7</v>
      </c>
      <c r="H1464" s="46">
        <v>338438.02</v>
      </c>
      <c r="I1464" s="46">
        <v>292981.33</v>
      </c>
      <c r="J1464" s="46">
        <v>562979.81999999995</v>
      </c>
      <c r="K1464" s="46">
        <v>934915.72</v>
      </c>
      <c r="L1464" s="46">
        <v>1817803</v>
      </c>
      <c r="M1464" s="46"/>
      <c r="N1464" s="46"/>
    </row>
    <row r="1465" spans="5:14" x14ac:dyDescent="0.2">
      <c r="E1465" s="46">
        <v>62763.26</v>
      </c>
      <c r="F1465" s="46">
        <v>196823.4</v>
      </c>
      <c r="G1465" s="46">
        <v>210660.74</v>
      </c>
      <c r="H1465" s="46">
        <v>315143.31</v>
      </c>
      <c r="I1465" s="46">
        <v>881485.97</v>
      </c>
      <c r="J1465" s="46">
        <v>2850681.87</v>
      </c>
      <c r="K1465" s="46">
        <v>6457408.0899999999</v>
      </c>
      <c r="L1465" s="46">
        <v>5669778.2999999998</v>
      </c>
      <c r="M1465" s="46"/>
      <c r="N1465" s="46"/>
    </row>
    <row r="1466" spans="5:14" x14ac:dyDescent="0.2">
      <c r="E1466" s="46">
        <v>40917.519999999997</v>
      </c>
      <c r="F1466" s="46">
        <v>114856.8</v>
      </c>
      <c r="G1466" s="46">
        <v>296166.45</v>
      </c>
      <c r="H1466" s="46">
        <v>452894.92</v>
      </c>
      <c r="I1466" s="46">
        <v>1026929.6</v>
      </c>
      <c r="J1466" s="46">
        <v>1178000.48</v>
      </c>
      <c r="K1466" s="46">
        <v>1195358.08</v>
      </c>
      <c r="L1466" s="46">
        <v>2202205.7799999998</v>
      </c>
      <c r="M1466" s="46"/>
      <c r="N1466" s="46"/>
    </row>
    <row r="1467" spans="5:14" x14ac:dyDescent="0.2">
      <c r="E1467" s="46">
        <v>53012.73</v>
      </c>
      <c r="F1467" s="46">
        <v>118791.67</v>
      </c>
      <c r="G1467" s="46">
        <v>289619.05</v>
      </c>
      <c r="H1467" s="46">
        <v>408442.93</v>
      </c>
      <c r="I1467" s="46">
        <v>399211.13</v>
      </c>
      <c r="J1467" s="46">
        <v>382379.44</v>
      </c>
      <c r="K1467" s="46">
        <v>235792.45</v>
      </c>
      <c r="L1467" s="46">
        <v>227264.27</v>
      </c>
      <c r="M1467" s="46"/>
      <c r="N1467" s="46"/>
    </row>
    <row r="1468" spans="5:14" x14ac:dyDescent="0.2">
      <c r="E1468" s="46">
        <v>46145.59</v>
      </c>
      <c r="F1468" s="46">
        <v>190460.51</v>
      </c>
      <c r="G1468" s="46">
        <v>266494.40000000002</v>
      </c>
      <c r="H1468" s="46">
        <v>370242.11</v>
      </c>
      <c r="I1468" s="46">
        <v>810784.24</v>
      </c>
      <c r="J1468" s="46">
        <v>1714264.56</v>
      </c>
      <c r="K1468" s="46">
        <v>4900421.33</v>
      </c>
      <c r="L1468" s="46">
        <v>5352439.8</v>
      </c>
      <c r="M1468" s="46"/>
      <c r="N1468" s="46"/>
    </row>
    <row r="1469" spans="5:14" x14ac:dyDescent="0.2">
      <c r="E1469" s="46">
        <v>48169.2</v>
      </c>
      <c r="F1469" s="46">
        <v>124025.49</v>
      </c>
      <c r="G1469" s="46">
        <v>244827.51999999999</v>
      </c>
      <c r="H1469" s="46">
        <v>423127.01</v>
      </c>
      <c r="I1469" s="46">
        <v>839802.04</v>
      </c>
      <c r="J1469" s="46">
        <v>1199605.3600000001</v>
      </c>
      <c r="K1469" s="46">
        <v>1507142.15</v>
      </c>
      <c r="L1469" s="46">
        <v>1710931.94</v>
      </c>
      <c r="M1469" s="46"/>
      <c r="N1469" s="46"/>
    </row>
    <row r="1470" spans="5:14" x14ac:dyDescent="0.2">
      <c r="E1470" s="46">
        <v>53392.08</v>
      </c>
      <c r="F1470" s="46">
        <v>125908.65</v>
      </c>
      <c r="G1470" s="46">
        <v>214229.53</v>
      </c>
      <c r="H1470" s="46">
        <v>248551.51</v>
      </c>
      <c r="I1470" s="46">
        <v>669693.18000000005</v>
      </c>
      <c r="J1470" s="46">
        <v>973355.51</v>
      </c>
      <c r="K1470" s="46">
        <v>1551711.46</v>
      </c>
      <c r="L1470" s="46">
        <v>2893661.3</v>
      </c>
      <c r="M1470" s="46"/>
      <c r="N1470" s="46"/>
    </row>
    <row r="1471" spans="5:14" x14ac:dyDescent="0.2">
      <c r="E1471" s="46">
        <v>57693.22</v>
      </c>
      <c r="F1471" s="46">
        <v>210554.27</v>
      </c>
      <c r="G1471" s="46">
        <v>331309.19</v>
      </c>
      <c r="H1471" s="46">
        <v>560117.86</v>
      </c>
      <c r="I1471" s="46">
        <v>722756.6</v>
      </c>
      <c r="J1471" s="46">
        <v>1482329.7</v>
      </c>
      <c r="K1471" s="46">
        <v>3775607.5</v>
      </c>
      <c r="L1471" s="46">
        <v>10405934.18</v>
      </c>
      <c r="M1471" s="46"/>
      <c r="N1471" s="46"/>
    </row>
    <row r="1472" spans="5:14" x14ac:dyDescent="0.2">
      <c r="E1472" s="46">
        <v>67693.149999999994</v>
      </c>
      <c r="F1472" s="46">
        <v>130723.2</v>
      </c>
      <c r="G1472" s="46">
        <v>230308.46</v>
      </c>
      <c r="H1472" s="46">
        <v>272127.39</v>
      </c>
      <c r="I1472" s="46">
        <v>628940.32999999996</v>
      </c>
      <c r="J1472" s="46">
        <v>1956970.24</v>
      </c>
      <c r="K1472" s="46">
        <v>4373360.3899999997</v>
      </c>
      <c r="L1472" s="46">
        <v>4383981.93</v>
      </c>
      <c r="M1472" s="46"/>
      <c r="N1472" s="46"/>
    </row>
    <row r="1473" spans="5:14" x14ac:dyDescent="0.2">
      <c r="E1473" s="46">
        <v>47540.25</v>
      </c>
      <c r="F1473" s="46">
        <v>310215.42</v>
      </c>
      <c r="G1473" s="46">
        <v>419656.97</v>
      </c>
      <c r="H1473" s="46">
        <v>655753.35</v>
      </c>
      <c r="I1473" s="46">
        <v>1147986.93</v>
      </c>
      <c r="J1473" s="46">
        <v>1590775.68</v>
      </c>
      <c r="K1473" s="46">
        <v>4483610.2</v>
      </c>
      <c r="L1473" s="46">
        <v>8928564.4100000001</v>
      </c>
      <c r="M1473" s="46"/>
      <c r="N1473" s="46"/>
    </row>
    <row r="1474" spans="5:14" x14ac:dyDescent="0.2">
      <c r="E1474" s="46">
        <v>47570.49</v>
      </c>
      <c r="F1474" s="46">
        <v>210775.49</v>
      </c>
      <c r="G1474" s="46">
        <v>272463.52</v>
      </c>
      <c r="H1474" s="46">
        <v>344539.35</v>
      </c>
      <c r="I1474" s="46">
        <v>702848.9</v>
      </c>
      <c r="J1474" s="46">
        <v>851474.99</v>
      </c>
      <c r="K1474" s="46">
        <v>1043445.01</v>
      </c>
      <c r="L1474" s="46">
        <v>1783888.91</v>
      </c>
      <c r="M1474" s="46"/>
      <c r="N1474" s="46"/>
    </row>
    <row r="1475" spans="5:14" x14ac:dyDescent="0.2">
      <c r="E1475" s="46">
        <v>53737.37</v>
      </c>
      <c r="F1475" s="46">
        <v>120032.59</v>
      </c>
      <c r="G1475" s="46">
        <v>168554.05</v>
      </c>
      <c r="H1475" s="46">
        <v>456333.24</v>
      </c>
      <c r="I1475" s="46">
        <v>860680.62</v>
      </c>
      <c r="J1475" s="46">
        <v>1036042.04</v>
      </c>
      <c r="K1475" s="46">
        <v>757700.46</v>
      </c>
      <c r="L1475" s="46">
        <v>3561736.23</v>
      </c>
      <c r="M1475" s="46"/>
      <c r="N1475" s="46"/>
    </row>
    <row r="1476" spans="5:14" x14ac:dyDescent="0.2">
      <c r="E1476" s="46">
        <v>41572.06</v>
      </c>
      <c r="F1476" s="46">
        <v>91530.33</v>
      </c>
      <c r="G1476" s="46">
        <v>212756.94</v>
      </c>
      <c r="H1476" s="46">
        <v>243728.73</v>
      </c>
      <c r="I1476" s="46">
        <v>1015607.2</v>
      </c>
      <c r="J1476" s="46">
        <v>2330631.08</v>
      </c>
      <c r="K1476" s="46">
        <v>11780489.52</v>
      </c>
      <c r="L1476" s="46">
        <v>19526766.68</v>
      </c>
      <c r="M1476" s="46"/>
      <c r="N1476" s="46"/>
    </row>
    <row r="1477" spans="5:14" x14ac:dyDescent="0.2">
      <c r="E1477" s="46">
        <v>81661.649999999994</v>
      </c>
      <c r="F1477" s="46">
        <v>176291.49</v>
      </c>
      <c r="G1477" s="46">
        <v>328542.33</v>
      </c>
      <c r="H1477" s="46">
        <v>354880.39</v>
      </c>
      <c r="I1477" s="46">
        <v>412479.7</v>
      </c>
      <c r="J1477" s="46">
        <v>804422.57</v>
      </c>
      <c r="K1477" s="46">
        <v>1818804.39</v>
      </c>
      <c r="L1477" s="46">
        <v>4418966.26</v>
      </c>
      <c r="M1477" s="46"/>
      <c r="N1477" s="46"/>
    </row>
    <row r="1478" spans="5:14" x14ac:dyDescent="0.2">
      <c r="E1478" s="46">
        <v>70700.259999999995</v>
      </c>
      <c r="F1478" s="46">
        <v>109474.62</v>
      </c>
      <c r="G1478" s="46">
        <v>193097.93</v>
      </c>
      <c r="H1478" s="46">
        <v>226692.67</v>
      </c>
      <c r="I1478" s="46">
        <v>288620.82</v>
      </c>
      <c r="J1478" s="46">
        <v>583619.98</v>
      </c>
      <c r="K1478" s="46">
        <v>1211753.9099999999</v>
      </c>
      <c r="L1478" s="46">
        <v>4131623.21</v>
      </c>
      <c r="M1478" s="46"/>
      <c r="N1478" s="46"/>
    </row>
    <row r="1479" spans="5:14" x14ac:dyDescent="0.2">
      <c r="E1479" s="46">
        <v>39646.44</v>
      </c>
      <c r="F1479" s="46">
        <v>162701.07</v>
      </c>
      <c r="G1479" s="46">
        <v>263347.11</v>
      </c>
      <c r="H1479" s="46">
        <v>550110.42000000004</v>
      </c>
      <c r="I1479" s="46">
        <v>1161551.98</v>
      </c>
      <c r="J1479" s="46">
        <v>628661.89</v>
      </c>
      <c r="K1479" s="46">
        <v>929617.96</v>
      </c>
      <c r="L1479" s="46">
        <v>645791.77</v>
      </c>
      <c r="M1479" s="46"/>
      <c r="N1479" s="46"/>
    </row>
    <row r="1480" spans="5:14" x14ac:dyDescent="0.2">
      <c r="E1480" s="46">
        <v>36076.339999999997</v>
      </c>
      <c r="F1480" s="46">
        <v>55756.28</v>
      </c>
      <c r="G1480" s="46">
        <v>78757.990000000005</v>
      </c>
      <c r="H1480" s="46">
        <v>163286.88</v>
      </c>
      <c r="I1480" s="46">
        <v>233159.21</v>
      </c>
      <c r="J1480" s="46">
        <v>374342.41</v>
      </c>
      <c r="K1480" s="46">
        <v>467298.12</v>
      </c>
      <c r="L1480" s="46">
        <v>762337.36</v>
      </c>
      <c r="M1480" s="46"/>
      <c r="N1480" s="46"/>
    </row>
    <row r="1481" spans="5:14" x14ac:dyDescent="0.2">
      <c r="E1481" s="46">
        <v>45696.2</v>
      </c>
      <c r="F1481" s="46">
        <v>182665.13</v>
      </c>
      <c r="G1481" s="46">
        <v>441561.1</v>
      </c>
      <c r="H1481" s="46">
        <v>1122974.07</v>
      </c>
      <c r="I1481" s="46">
        <v>981470.08</v>
      </c>
      <c r="J1481" s="46">
        <v>1294452.19</v>
      </c>
      <c r="K1481" s="46">
        <v>3737701.69</v>
      </c>
      <c r="L1481" s="46">
        <v>4673771.63</v>
      </c>
      <c r="M1481" s="46"/>
      <c r="N1481" s="46"/>
    </row>
    <row r="1482" spans="5:14" x14ac:dyDescent="0.2">
      <c r="E1482" s="46">
        <v>43354.61</v>
      </c>
      <c r="F1482" s="46">
        <v>141546.19</v>
      </c>
      <c r="G1482" s="46">
        <v>232877.43</v>
      </c>
      <c r="H1482" s="46">
        <v>566698.65</v>
      </c>
      <c r="I1482" s="46">
        <v>1814449.38</v>
      </c>
      <c r="J1482" s="46">
        <v>2562017.7799999998</v>
      </c>
      <c r="K1482" s="46">
        <v>2580436.04</v>
      </c>
      <c r="L1482" s="46">
        <v>7528682</v>
      </c>
      <c r="M1482" s="46"/>
      <c r="N1482" s="46"/>
    </row>
    <row r="1483" spans="5:14" x14ac:dyDescent="0.2">
      <c r="E1483" s="46">
        <v>53765.06</v>
      </c>
      <c r="F1483" s="46">
        <v>159987.71</v>
      </c>
      <c r="G1483" s="46">
        <v>275841.42</v>
      </c>
      <c r="H1483" s="46">
        <v>576489.57999999996</v>
      </c>
      <c r="I1483" s="46">
        <v>1134767.8500000001</v>
      </c>
      <c r="J1483" s="46">
        <v>1983781.62</v>
      </c>
      <c r="K1483" s="46">
        <v>3292568.73</v>
      </c>
      <c r="L1483" s="46">
        <v>5617155.54</v>
      </c>
      <c r="M1483" s="46"/>
      <c r="N1483" s="46"/>
    </row>
    <row r="1484" spans="5:14" x14ac:dyDescent="0.2">
      <c r="E1484" s="46">
        <v>42414.21</v>
      </c>
      <c r="F1484" s="46">
        <v>163099.94</v>
      </c>
      <c r="G1484" s="46">
        <v>417127.72</v>
      </c>
      <c r="H1484" s="46">
        <v>337668.98</v>
      </c>
      <c r="I1484" s="46">
        <v>414374.12</v>
      </c>
      <c r="J1484" s="46">
        <v>687182.2</v>
      </c>
      <c r="K1484" s="46">
        <v>1193273.79</v>
      </c>
      <c r="L1484" s="46">
        <v>2235036.75</v>
      </c>
      <c r="M1484" s="46"/>
      <c r="N1484" s="46"/>
    </row>
    <row r="1485" spans="5:14" x14ac:dyDescent="0.2">
      <c r="E1485" s="46">
        <v>58944.14</v>
      </c>
      <c r="F1485" s="46">
        <v>156004.01</v>
      </c>
      <c r="G1485" s="46">
        <v>531579.37</v>
      </c>
      <c r="H1485" s="46">
        <v>1764814.77</v>
      </c>
      <c r="I1485" s="46">
        <v>2583470.7200000002</v>
      </c>
      <c r="J1485" s="46">
        <v>1361330.47</v>
      </c>
      <c r="K1485" s="46">
        <v>1365387.49</v>
      </c>
      <c r="L1485" s="46">
        <v>1421507.63</v>
      </c>
      <c r="M1485" s="46"/>
      <c r="N1485" s="46"/>
    </row>
    <row r="1486" spans="5:14" x14ac:dyDescent="0.2">
      <c r="E1486" s="46">
        <v>47314.71</v>
      </c>
      <c r="F1486" s="46">
        <v>100443.05</v>
      </c>
      <c r="G1486" s="46">
        <v>204481.54</v>
      </c>
      <c r="H1486" s="46">
        <v>146170.79</v>
      </c>
      <c r="I1486" s="46">
        <v>123360.38</v>
      </c>
      <c r="J1486" s="46">
        <v>181699.27</v>
      </c>
      <c r="K1486" s="46">
        <v>231353.8</v>
      </c>
      <c r="L1486" s="46">
        <v>165175.6</v>
      </c>
      <c r="M1486" s="46"/>
      <c r="N1486" s="46"/>
    </row>
    <row r="1487" spans="5:14" x14ac:dyDescent="0.2">
      <c r="E1487" s="46">
        <v>56500</v>
      </c>
      <c r="F1487" s="46">
        <v>133375.59</v>
      </c>
      <c r="G1487" s="46">
        <v>231159.62</v>
      </c>
      <c r="H1487" s="46">
        <v>813892.93</v>
      </c>
      <c r="I1487" s="46">
        <v>1664379.18</v>
      </c>
      <c r="J1487" s="46">
        <v>1528560.54</v>
      </c>
      <c r="K1487" s="46">
        <v>1591297.39</v>
      </c>
      <c r="L1487" s="46">
        <v>1438709.81</v>
      </c>
      <c r="M1487" s="46"/>
      <c r="N1487" s="46"/>
    </row>
    <row r="1488" spans="5:14" x14ac:dyDescent="0.2">
      <c r="E1488" s="46">
        <v>44426.63</v>
      </c>
      <c r="F1488" s="46">
        <v>105447.98</v>
      </c>
      <c r="G1488" s="46">
        <v>161786.76999999999</v>
      </c>
      <c r="H1488" s="46">
        <v>370834.26</v>
      </c>
      <c r="I1488" s="46">
        <v>781413.17</v>
      </c>
      <c r="J1488" s="46">
        <v>2561423.9</v>
      </c>
      <c r="K1488" s="46">
        <v>3812048.99</v>
      </c>
      <c r="L1488" s="46">
        <v>4298250.8899999997</v>
      </c>
      <c r="M1488" s="46"/>
      <c r="N1488" s="46"/>
    </row>
    <row r="1489" spans="5:14" x14ac:dyDescent="0.2">
      <c r="E1489" s="46">
        <v>60980.76</v>
      </c>
      <c r="F1489" s="46">
        <v>85957.16</v>
      </c>
      <c r="G1489" s="46">
        <v>238147.64</v>
      </c>
      <c r="H1489" s="46">
        <v>307215.27</v>
      </c>
      <c r="I1489" s="46">
        <v>760824.57</v>
      </c>
      <c r="J1489" s="46">
        <v>1489269.97</v>
      </c>
      <c r="K1489" s="46">
        <v>1855442.38</v>
      </c>
      <c r="L1489" s="46">
        <v>2710634.56</v>
      </c>
      <c r="M1489" s="46"/>
      <c r="N1489" s="46"/>
    </row>
    <row r="1490" spans="5:14" x14ac:dyDescent="0.2">
      <c r="E1490" s="46">
        <v>33753.919999999998</v>
      </c>
      <c r="F1490" s="46">
        <v>105700.35</v>
      </c>
      <c r="G1490" s="46">
        <v>203772.33</v>
      </c>
      <c r="H1490" s="46">
        <v>380796.74</v>
      </c>
      <c r="I1490" s="46">
        <v>498827.51</v>
      </c>
      <c r="J1490" s="46">
        <v>643505.93999999994</v>
      </c>
      <c r="K1490" s="46">
        <v>699947.94</v>
      </c>
      <c r="L1490" s="46">
        <v>939830.15</v>
      </c>
      <c r="M1490" s="46"/>
      <c r="N1490" s="46"/>
    </row>
    <row r="1491" spans="5:14" x14ac:dyDescent="0.2">
      <c r="E1491" s="46">
        <v>48207.06</v>
      </c>
      <c r="F1491" s="46">
        <v>96744.49</v>
      </c>
      <c r="G1491" s="46">
        <v>170324.85</v>
      </c>
      <c r="H1491" s="46">
        <v>551599.38</v>
      </c>
      <c r="I1491" s="46">
        <v>708014.61</v>
      </c>
      <c r="J1491" s="46">
        <v>315324.88</v>
      </c>
      <c r="K1491" s="46">
        <v>605717.01</v>
      </c>
      <c r="L1491" s="46">
        <v>1975912.45</v>
      </c>
      <c r="M1491" s="46"/>
      <c r="N1491" s="46"/>
    </row>
    <row r="1492" spans="5:14" x14ac:dyDescent="0.2">
      <c r="E1492" s="46">
        <v>52219.65</v>
      </c>
      <c r="F1492" s="46">
        <v>203065.37</v>
      </c>
      <c r="G1492" s="46">
        <v>327307.46999999997</v>
      </c>
      <c r="H1492" s="46">
        <v>531715.37</v>
      </c>
      <c r="I1492" s="46">
        <v>1045075.38</v>
      </c>
      <c r="J1492" s="46">
        <v>879944.96</v>
      </c>
      <c r="K1492" s="46">
        <v>1668554.34</v>
      </c>
      <c r="L1492" s="46">
        <v>2862185.93</v>
      </c>
      <c r="M1492" s="46"/>
      <c r="N1492" s="46"/>
    </row>
    <row r="1493" spans="5:14" x14ac:dyDescent="0.2">
      <c r="E1493" s="46">
        <v>76781.55</v>
      </c>
      <c r="F1493" s="46">
        <v>174561.85</v>
      </c>
      <c r="G1493" s="46">
        <v>338907.48</v>
      </c>
      <c r="H1493" s="46">
        <v>860117.24</v>
      </c>
      <c r="I1493" s="46">
        <v>1022729.04</v>
      </c>
      <c r="J1493" s="46">
        <v>2746482.26</v>
      </c>
      <c r="K1493" s="46">
        <v>2336377.4300000002</v>
      </c>
      <c r="L1493" s="46">
        <v>2359874.7000000002</v>
      </c>
      <c r="M1493" s="46"/>
      <c r="N1493" s="46"/>
    </row>
    <row r="1494" spans="5:14" x14ac:dyDescent="0.2">
      <c r="E1494" s="46">
        <v>53046.09</v>
      </c>
      <c r="F1494" s="46">
        <v>298893.77</v>
      </c>
      <c r="G1494" s="46">
        <v>658434</v>
      </c>
      <c r="H1494" s="46">
        <v>986063.65</v>
      </c>
      <c r="I1494" s="46">
        <v>1326399.45</v>
      </c>
      <c r="J1494" s="46">
        <v>2242299.34</v>
      </c>
      <c r="K1494" s="46">
        <v>4525474.17</v>
      </c>
      <c r="L1494" s="46">
        <v>7756846.8200000003</v>
      </c>
      <c r="M1494" s="46"/>
      <c r="N1494" s="46"/>
    </row>
    <row r="1495" spans="5:14" x14ac:dyDescent="0.2">
      <c r="E1495" s="46">
        <v>41597.68</v>
      </c>
      <c r="F1495" s="46">
        <v>139681.07999999999</v>
      </c>
      <c r="G1495" s="46">
        <v>388908.97</v>
      </c>
      <c r="H1495" s="46">
        <v>321569.14</v>
      </c>
      <c r="I1495" s="46">
        <v>832785.92000000004</v>
      </c>
      <c r="J1495" s="46">
        <v>1492346.79</v>
      </c>
      <c r="K1495" s="46">
        <v>3610009.76</v>
      </c>
      <c r="L1495" s="46">
        <v>4333767.58</v>
      </c>
      <c r="M1495" s="46"/>
      <c r="N1495" s="46"/>
    </row>
    <row r="1496" spans="5:14" x14ac:dyDescent="0.2">
      <c r="E1496" s="46">
        <v>51083.6</v>
      </c>
      <c r="F1496" s="46">
        <v>109055.65</v>
      </c>
      <c r="G1496" s="46">
        <v>122989.85</v>
      </c>
      <c r="H1496" s="46">
        <v>330004.11</v>
      </c>
      <c r="I1496" s="46">
        <v>758629.85</v>
      </c>
      <c r="J1496" s="46">
        <v>821196.36</v>
      </c>
      <c r="K1496" s="46">
        <v>735373.14</v>
      </c>
      <c r="L1496" s="46">
        <v>920342.28</v>
      </c>
      <c r="M1496" s="46"/>
      <c r="N1496" s="46"/>
    </row>
    <row r="1497" spans="5:14" x14ac:dyDescent="0.2">
      <c r="E1497" s="46">
        <v>43488.1</v>
      </c>
      <c r="F1497" s="46">
        <v>164432.15</v>
      </c>
      <c r="G1497" s="46">
        <v>278957.87</v>
      </c>
      <c r="H1497" s="46">
        <v>656814.74</v>
      </c>
      <c r="I1497" s="46">
        <v>891156.64</v>
      </c>
      <c r="J1497" s="46">
        <v>1184864.04</v>
      </c>
      <c r="K1497" s="46">
        <v>3677078.11</v>
      </c>
      <c r="L1497" s="46">
        <v>7950461.8300000001</v>
      </c>
      <c r="M1497" s="46"/>
      <c r="N1497" s="46"/>
    </row>
    <row r="1498" spans="5:14" x14ac:dyDescent="0.2">
      <c r="E1498" s="46">
        <v>52508.14</v>
      </c>
      <c r="F1498" s="46">
        <v>103366.3</v>
      </c>
      <c r="G1498" s="46">
        <v>319461.28000000003</v>
      </c>
      <c r="H1498" s="46">
        <v>274282.39</v>
      </c>
      <c r="I1498" s="46">
        <v>566109.37</v>
      </c>
      <c r="J1498" s="46">
        <v>1794280.6</v>
      </c>
      <c r="K1498" s="46">
        <v>3356743.3</v>
      </c>
      <c r="L1498" s="46">
        <v>4960982.3499999996</v>
      </c>
      <c r="M1498" s="46"/>
      <c r="N1498" s="46"/>
    </row>
    <row r="1499" spans="5:14" x14ac:dyDescent="0.2">
      <c r="E1499" s="46">
        <v>50202.83</v>
      </c>
      <c r="F1499" s="46">
        <v>121205.41</v>
      </c>
      <c r="G1499" s="46">
        <v>148176.91</v>
      </c>
      <c r="H1499" s="46">
        <v>281856.75</v>
      </c>
      <c r="I1499" s="46">
        <v>399701.08</v>
      </c>
      <c r="J1499" s="46">
        <v>595373.62</v>
      </c>
      <c r="K1499" s="46">
        <v>1113033.27</v>
      </c>
      <c r="L1499" s="46">
        <v>2033343.6</v>
      </c>
      <c r="M1499" s="46"/>
      <c r="N1499" s="46"/>
    </row>
    <row r="1500" spans="5:14" x14ac:dyDescent="0.2">
      <c r="E1500" s="46">
        <v>55592.69</v>
      </c>
      <c r="F1500" s="46">
        <v>91163.64</v>
      </c>
      <c r="G1500" s="46">
        <v>131481.04</v>
      </c>
      <c r="H1500" s="46">
        <v>149623.97</v>
      </c>
      <c r="I1500" s="46">
        <v>311500.24</v>
      </c>
      <c r="J1500" s="46">
        <v>663763.36</v>
      </c>
      <c r="K1500" s="46">
        <v>716858.27</v>
      </c>
      <c r="L1500" s="46">
        <v>1488131.67</v>
      </c>
      <c r="M1500" s="46"/>
      <c r="N1500" s="46"/>
    </row>
    <row r="1501" spans="5:14" x14ac:dyDescent="0.2">
      <c r="E1501" s="46">
        <v>32151.19</v>
      </c>
      <c r="F1501" s="46">
        <v>120322.97</v>
      </c>
      <c r="G1501" s="46">
        <v>174843.61</v>
      </c>
      <c r="H1501" s="46">
        <v>838598.1</v>
      </c>
      <c r="I1501" s="46">
        <v>1068094.79</v>
      </c>
      <c r="J1501" s="46">
        <v>1056266.1200000001</v>
      </c>
      <c r="K1501" s="46">
        <v>669955.67000000004</v>
      </c>
      <c r="L1501" s="46">
        <v>799861.87</v>
      </c>
      <c r="M1501" s="46"/>
      <c r="N1501" s="46"/>
    </row>
    <row r="1502" spans="5:14" x14ac:dyDescent="0.2">
      <c r="E1502" s="46">
        <v>73617.350000000006</v>
      </c>
      <c r="F1502" s="46">
        <v>219489.33</v>
      </c>
      <c r="G1502" s="46">
        <v>348973.63</v>
      </c>
      <c r="H1502" s="46">
        <v>996089.47</v>
      </c>
      <c r="I1502" s="46">
        <v>1593510.72</v>
      </c>
      <c r="J1502" s="46">
        <v>1704261.97</v>
      </c>
      <c r="K1502" s="46">
        <v>7365447.0899999999</v>
      </c>
      <c r="L1502" s="46">
        <v>19837705.98</v>
      </c>
      <c r="M1502" s="46"/>
      <c r="N1502" s="46"/>
    </row>
    <row r="1503" spans="5:14" x14ac:dyDescent="0.2">
      <c r="E1503" s="46">
        <v>55334.09</v>
      </c>
      <c r="F1503" s="46">
        <v>243211.65</v>
      </c>
      <c r="G1503" s="46">
        <v>588319.96</v>
      </c>
      <c r="H1503" s="46">
        <v>414837.54</v>
      </c>
      <c r="I1503" s="46">
        <v>544802.92000000004</v>
      </c>
      <c r="J1503" s="46">
        <v>1138254.3400000001</v>
      </c>
      <c r="K1503" s="46">
        <v>5361729.45</v>
      </c>
      <c r="L1503" s="46">
        <v>6919455.6500000004</v>
      </c>
      <c r="M1503" s="46"/>
      <c r="N1503" s="46"/>
    </row>
    <row r="1504" spans="5:14" x14ac:dyDescent="0.2">
      <c r="E1504" s="46">
        <v>60957.93</v>
      </c>
      <c r="F1504" s="46">
        <v>158469.15</v>
      </c>
      <c r="G1504" s="46">
        <v>1303302.18</v>
      </c>
      <c r="H1504" s="46">
        <v>1948938.57</v>
      </c>
      <c r="I1504" s="46">
        <v>4495198.45</v>
      </c>
      <c r="J1504" s="46">
        <v>8204720.3899999997</v>
      </c>
      <c r="K1504" s="46">
        <v>34564675.560000002</v>
      </c>
      <c r="L1504" s="46">
        <v>46468823.43</v>
      </c>
      <c r="M1504" s="46"/>
      <c r="N1504" s="46"/>
    </row>
    <row r="1505" spans="5:14" x14ac:dyDescent="0.2">
      <c r="E1505" s="46">
        <v>58437.23</v>
      </c>
      <c r="F1505" s="46">
        <v>177495.72</v>
      </c>
      <c r="G1505" s="46">
        <v>330260.47999999998</v>
      </c>
      <c r="H1505" s="46">
        <v>550243.09</v>
      </c>
      <c r="I1505" s="46">
        <v>970010.96</v>
      </c>
      <c r="J1505" s="46">
        <v>1172066.98</v>
      </c>
      <c r="K1505" s="46">
        <v>3014987.83</v>
      </c>
      <c r="L1505" s="46">
        <v>5117918.96</v>
      </c>
      <c r="M1505" s="46"/>
      <c r="N1505" s="46"/>
    </row>
    <row r="1506" spans="5:14" x14ac:dyDescent="0.2">
      <c r="E1506" s="46">
        <v>46960.05</v>
      </c>
      <c r="F1506" s="46">
        <v>145500.54</v>
      </c>
      <c r="G1506" s="46">
        <v>123555.54</v>
      </c>
      <c r="H1506" s="46">
        <v>203934.33</v>
      </c>
      <c r="I1506" s="46">
        <v>557631.19999999995</v>
      </c>
      <c r="J1506" s="46">
        <v>569978.86</v>
      </c>
      <c r="K1506" s="46">
        <v>923575.55</v>
      </c>
      <c r="L1506" s="46">
        <v>1980947.9</v>
      </c>
      <c r="M1506" s="46"/>
      <c r="N1506" s="46"/>
    </row>
    <row r="1507" spans="5:14" x14ac:dyDescent="0.2">
      <c r="E1507" s="46">
        <v>59382.46</v>
      </c>
      <c r="F1507" s="46">
        <v>94402.42</v>
      </c>
      <c r="G1507" s="46">
        <v>165645.44</v>
      </c>
      <c r="H1507" s="46">
        <v>239951.67</v>
      </c>
      <c r="I1507" s="46">
        <v>491431.19</v>
      </c>
      <c r="J1507" s="46">
        <v>2002850.02</v>
      </c>
      <c r="K1507" s="46">
        <v>2131368.23</v>
      </c>
      <c r="L1507" s="46">
        <v>3572568.43</v>
      </c>
      <c r="M1507" s="46"/>
      <c r="N1507" s="46"/>
    </row>
    <row r="1508" spans="5:14" x14ac:dyDescent="0.2">
      <c r="E1508" s="46">
        <v>51476.05</v>
      </c>
      <c r="F1508" s="46">
        <v>169685.2</v>
      </c>
      <c r="G1508" s="46">
        <v>292383.27</v>
      </c>
      <c r="H1508" s="46">
        <v>239029.04</v>
      </c>
      <c r="I1508" s="46">
        <v>431211.52000000002</v>
      </c>
      <c r="J1508" s="46">
        <v>1139157.95</v>
      </c>
      <c r="K1508" s="46">
        <v>2062926.82</v>
      </c>
      <c r="L1508" s="46">
        <v>4163849.29</v>
      </c>
      <c r="M1508" s="46"/>
      <c r="N1508" s="46"/>
    </row>
    <row r="1509" spans="5:14" x14ac:dyDescent="0.2">
      <c r="E1509" s="46">
        <v>48228.45</v>
      </c>
      <c r="F1509" s="46">
        <v>110102.89</v>
      </c>
      <c r="G1509" s="46">
        <v>411319.02</v>
      </c>
      <c r="H1509" s="46">
        <v>812813.17</v>
      </c>
      <c r="I1509" s="46">
        <v>4708086.63</v>
      </c>
      <c r="J1509" s="46">
        <v>12466867.85</v>
      </c>
      <c r="K1509" s="46">
        <v>7650652.3300000001</v>
      </c>
      <c r="L1509" s="46">
        <v>12398288.220000001</v>
      </c>
      <c r="M1509" s="46"/>
      <c r="N1509" s="46"/>
    </row>
    <row r="1510" spans="5:14" x14ac:dyDescent="0.2">
      <c r="E1510" s="46">
        <v>65279.82</v>
      </c>
      <c r="F1510" s="46">
        <v>402375.78</v>
      </c>
      <c r="G1510" s="46">
        <v>1268883.21</v>
      </c>
      <c r="H1510" s="46">
        <v>1530493.02</v>
      </c>
      <c r="I1510" s="46">
        <v>1477332.91</v>
      </c>
      <c r="J1510" s="46">
        <v>1302973.1499999999</v>
      </c>
      <c r="K1510" s="46">
        <v>1353454.6</v>
      </c>
      <c r="L1510" s="46">
        <v>2120936.4500000002</v>
      </c>
      <c r="M1510" s="46"/>
      <c r="N1510" s="46"/>
    </row>
    <row r="1511" spans="5:14" x14ac:dyDescent="0.2">
      <c r="E1511" s="46">
        <v>52268.75</v>
      </c>
      <c r="F1511" s="46">
        <v>100050.02</v>
      </c>
      <c r="G1511" s="46">
        <v>359447.28</v>
      </c>
      <c r="H1511" s="46">
        <v>878221.46</v>
      </c>
      <c r="I1511" s="46">
        <v>2445520.31</v>
      </c>
      <c r="J1511" s="46">
        <v>2296970.09</v>
      </c>
      <c r="K1511" s="46">
        <v>2303828.9</v>
      </c>
      <c r="L1511" s="46">
        <v>2103867.14</v>
      </c>
      <c r="M1511" s="46"/>
      <c r="N1511" s="46"/>
    </row>
    <row r="1512" spans="5:14" x14ac:dyDescent="0.2">
      <c r="E1512" s="46">
        <v>41714.559999999998</v>
      </c>
      <c r="F1512" s="46">
        <v>85404.52</v>
      </c>
      <c r="G1512" s="46">
        <v>146182.94</v>
      </c>
      <c r="H1512" s="46">
        <v>104724.22</v>
      </c>
      <c r="I1512" s="46">
        <v>421554.29</v>
      </c>
      <c r="J1512" s="46">
        <v>597861.23</v>
      </c>
      <c r="K1512" s="46">
        <v>510210.68</v>
      </c>
      <c r="L1512" s="46">
        <v>852545.58</v>
      </c>
      <c r="M1512" s="46"/>
      <c r="N1512" s="46"/>
    </row>
    <row r="1513" spans="5:14" x14ac:dyDescent="0.2">
      <c r="E1513" s="46">
        <v>72592.38</v>
      </c>
      <c r="F1513" s="46">
        <v>115503.1</v>
      </c>
      <c r="G1513" s="46">
        <v>298584.46000000002</v>
      </c>
      <c r="H1513" s="46">
        <v>584889.59999999998</v>
      </c>
      <c r="I1513" s="46">
        <v>1072227.33</v>
      </c>
      <c r="J1513" s="46">
        <v>1719191.86</v>
      </c>
      <c r="K1513" s="46">
        <v>2170195.1</v>
      </c>
      <c r="L1513" s="46">
        <v>2115294.37</v>
      </c>
      <c r="M1513" s="46"/>
      <c r="N1513" s="46"/>
    </row>
    <row r="1514" spans="5:14" x14ac:dyDescent="0.2">
      <c r="E1514" s="46">
        <v>47668.52</v>
      </c>
      <c r="F1514" s="46">
        <v>139669.48000000001</v>
      </c>
      <c r="G1514" s="46">
        <v>433712.83</v>
      </c>
      <c r="H1514" s="46">
        <v>582838.19999999995</v>
      </c>
      <c r="I1514" s="46">
        <v>943733.82</v>
      </c>
      <c r="J1514" s="46">
        <v>2148865.65</v>
      </c>
      <c r="K1514" s="46">
        <v>1950050.31</v>
      </c>
      <c r="L1514" s="46">
        <v>2943926.91</v>
      </c>
      <c r="M1514" s="46"/>
      <c r="N1514" s="46"/>
    </row>
    <row r="1515" spans="5:14" x14ac:dyDescent="0.2">
      <c r="E1515" s="46">
        <v>71660.539999999994</v>
      </c>
      <c r="F1515" s="46">
        <v>177379.23</v>
      </c>
      <c r="G1515" s="46">
        <v>443227.52</v>
      </c>
      <c r="H1515" s="46">
        <v>622731.99</v>
      </c>
      <c r="I1515" s="46">
        <v>715209.75</v>
      </c>
      <c r="J1515" s="46">
        <v>1970642.88</v>
      </c>
      <c r="K1515" s="46">
        <v>4546206.24</v>
      </c>
      <c r="L1515" s="46">
        <v>3996752.33</v>
      </c>
      <c r="M1515" s="46"/>
      <c r="N1515" s="46"/>
    </row>
    <row r="1516" spans="5:14" x14ac:dyDescent="0.2">
      <c r="E1516" s="46">
        <v>80600.53</v>
      </c>
      <c r="F1516" s="46">
        <v>76858.25</v>
      </c>
      <c r="G1516" s="46">
        <v>185072.66</v>
      </c>
      <c r="H1516" s="46">
        <v>535334.82999999996</v>
      </c>
      <c r="I1516" s="46">
        <v>484158.49</v>
      </c>
      <c r="J1516" s="46">
        <v>768663.67</v>
      </c>
      <c r="K1516" s="46">
        <v>2580635.5699999998</v>
      </c>
      <c r="L1516" s="46">
        <v>4494815.7300000004</v>
      </c>
      <c r="M1516" s="46"/>
      <c r="N1516" s="46"/>
    </row>
    <row r="1517" spans="5:14" x14ac:dyDescent="0.2">
      <c r="E1517" s="46">
        <v>69372.39</v>
      </c>
      <c r="F1517" s="46">
        <v>156699.85999999999</v>
      </c>
      <c r="G1517" s="46">
        <v>393303.52</v>
      </c>
      <c r="H1517" s="46">
        <v>652049.28</v>
      </c>
      <c r="I1517" s="46">
        <v>2783916.09</v>
      </c>
      <c r="J1517" s="46">
        <v>8065192.46</v>
      </c>
      <c r="K1517" s="46">
        <v>20079426.100000001</v>
      </c>
      <c r="L1517" s="46">
        <v>35309867.140000001</v>
      </c>
      <c r="M1517" s="46"/>
      <c r="N1517" s="46"/>
    </row>
    <row r="1518" spans="5:14" x14ac:dyDescent="0.2">
      <c r="E1518" s="46">
        <v>57694.239999999998</v>
      </c>
      <c r="F1518" s="46">
        <v>88364.26</v>
      </c>
      <c r="G1518" s="46">
        <v>185807.53</v>
      </c>
      <c r="H1518" s="46">
        <v>429228.15</v>
      </c>
      <c r="I1518" s="46">
        <v>406440.13</v>
      </c>
      <c r="J1518" s="46">
        <v>757751.28</v>
      </c>
      <c r="K1518" s="46">
        <v>1034629.02</v>
      </c>
      <c r="L1518" s="46">
        <v>1991429.35</v>
      </c>
      <c r="M1518" s="46"/>
      <c r="N1518" s="46"/>
    </row>
    <row r="1519" spans="5:14" x14ac:dyDescent="0.2">
      <c r="E1519" s="46">
        <v>30426.44</v>
      </c>
      <c r="F1519" s="46">
        <v>118328.65</v>
      </c>
      <c r="G1519" s="46">
        <v>191957.26</v>
      </c>
      <c r="H1519" s="46">
        <v>237040.98</v>
      </c>
      <c r="I1519" s="46">
        <v>429443.69</v>
      </c>
      <c r="J1519" s="46">
        <v>687858.39</v>
      </c>
      <c r="K1519" s="46">
        <v>459610.75</v>
      </c>
      <c r="L1519" s="46">
        <v>813351.02</v>
      </c>
      <c r="M1519" s="46"/>
      <c r="N1519" s="46"/>
    </row>
    <row r="1520" spans="5:14" x14ac:dyDescent="0.2">
      <c r="E1520" s="46">
        <v>28425.1</v>
      </c>
      <c r="F1520" s="46">
        <v>141020.87</v>
      </c>
      <c r="G1520" s="46">
        <v>291679.02</v>
      </c>
      <c r="H1520" s="46">
        <v>587666.66</v>
      </c>
      <c r="I1520" s="46">
        <v>1422568.6</v>
      </c>
      <c r="J1520" s="46">
        <v>2118751.83</v>
      </c>
      <c r="K1520" s="46">
        <v>3823721.74</v>
      </c>
      <c r="L1520" s="46">
        <v>7074953.21</v>
      </c>
      <c r="M1520" s="46"/>
      <c r="N1520" s="46"/>
    </row>
    <row r="1521" spans="5:14" x14ac:dyDescent="0.2">
      <c r="E1521" s="46">
        <v>41572.410000000003</v>
      </c>
      <c r="F1521" s="46">
        <v>144550.24</v>
      </c>
      <c r="G1521" s="46">
        <v>254129.85</v>
      </c>
      <c r="H1521" s="46">
        <v>204014.87</v>
      </c>
      <c r="I1521" s="46">
        <v>710373.98</v>
      </c>
      <c r="J1521" s="46">
        <v>1841395.15</v>
      </c>
      <c r="K1521" s="46">
        <v>2232568.2000000002</v>
      </c>
      <c r="L1521" s="46">
        <v>5468425.5700000003</v>
      </c>
      <c r="M1521" s="46"/>
      <c r="N1521" s="46"/>
    </row>
    <row r="1522" spans="5:14" x14ac:dyDescent="0.2">
      <c r="E1522" s="46">
        <v>41612.43</v>
      </c>
      <c r="F1522" s="46">
        <v>112841.41</v>
      </c>
      <c r="G1522" s="46">
        <v>205312.03</v>
      </c>
      <c r="H1522" s="46">
        <v>285003.09999999998</v>
      </c>
      <c r="I1522" s="46">
        <v>398365.65</v>
      </c>
      <c r="J1522" s="46">
        <v>356887.1</v>
      </c>
      <c r="K1522" s="46">
        <v>597087.93000000005</v>
      </c>
      <c r="L1522" s="46">
        <v>425633.19</v>
      </c>
      <c r="M1522" s="46"/>
      <c r="N1522" s="46"/>
    </row>
    <row r="1523" spans="5:14" x14ac:dyDescent="0.2">
      <c r="E1523" s="46">
        <v>29981.49</v>
      </c>
      <c r="F1523" s="46">
        <v>89661.9</v>
      </c>
      <c r="G1523" s="46">
        <v>132412.14000000001</v>
      </c>
      <c r="H1523" s="46">
        <v>277465.34999999998</v>
      </c>
      <c r="I1523" s="46">
        <v>463441.4</v>
      </c>
      <c r="J1523" s="46">
        <v>642575.35</v>
      </c>
      <c r="K1523" s="46">
        <v>728489.54</v>
      </c>
      <c r="L1523" s="46">
        <v>599286.46</v>
      </c>
      <c r="M1523" s="46"/>
      <c r="N1523" s="46"/>
    </row>
    <row r="1524" spans="5:14" x14ac:dyDescent="0.2">
      <c r="E1524" s="46">
        <v>43898.49</v>
      </c>
      <c r="F1524" s="46">
        <v>159836.01</v>
      </c>
      <c r="G1524" s="46">
        <v>397631.25</v>
      </c>
      <c r="H1524" s="46">
        <v>660130.38</v>
      </c>
      <c r="I1524" s="46">
        <v>714552.04</v>
      </c>
      <c r="J1524" s="46">
        <v>1259209.33</v>
      </c>
      <c r="K1524" s="46">
        <v>2195298.7999999998</v>
      </c>
      <c r="L1524" s="46">
        <v>3983839.35</v>
      </c>
      <c r="M1524" s="46"/>
      <c r="N1524" s="46"/>
    </row>
    <row r="1525" spans="5:14" x14ac:dyDescent="0.2">
      <c r="E1525" s="46">
        <v>70986.990000000005</v>
      </c>
      <c r="F1525" s="46">
        <v>80031.320000000007</v>
      </c>
      <c r="G1525" s="46">
        <v>302799.53999999998</v>
      </c>
      <c r="H1525" s="46">
        <v>342194.16</v>
      </c>
      <c r="I1525" s="46">
        <v>503496.14</v>
      </c>
      <c r="J1525" s="46">
        <v>390657.87</v>
      </c>
      <c r="K1525" s="46">
        <v>590951.56000000006</v>
      </c>
      <c r="L1525" s="46">
        <v>1935779.64</v>
      </c>
      <c r="M1525" s="46"/>
      <c r="N1525" s="46"/>
    </row>
    <row r="1526" spans="5:14" x14ac:dyDescent="0.2">
      <c r="E1526" s="46">
        <v>40849.360000000001</v>
      </c>
      <c r="F1526" s="46">
        <v>187288.02</v>
      </c>
      <c r="G1526" s="46">
        <v>321198.48</v>
      </c>
      <c r="H1526" s="46">
        <v>813793.24</v>
      </c>
      <c r="I1526" s="46">
        <v>1406366.08</v>
      </c>
      <c r="J1526" s="46">
        <v>2298277.7200000002</v>
      </c>
      <c r="K1526" s="46">
        <v>1320272.5900000001</v>
      </c>
      <c r="L1526" s="46">
        <v>2790552.38</v>
      </c>
      <c r="M1526" s="46"/>
      <c r="N1526" s="46"/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odule1.ShowForm">
                <anchor moveWithCells="1" sizeWithCells="1">
                  <from>
                    <xdr:col>13</xdr:col>
                    <xdr:colOff>203200</xdr:colOff>
                    <xdr:row>4</xdr:row>
                    <xdr:rowOff>0</xdr:rowOff>
                  </from>
                  <to>
                    <xdr:col>14</xdr:col>
                    <xdr:colOff>660400</xdr:colOff>
                    <xdr:row>5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DONALDSON</dc:creator>
  <cp:lastModifiedBy>Jeffrey Donaldson</cp:lastModifiedBy>
  <dcterms:created xsi:type="dcterms:W3CDTF">2014-02-05T16:52:58Z</dcterms:created>
  <dcterms:modified xsi:type="dcterms:W3CDTF">2024-09-10T20:24:03Z</dcterms:modified>
</cp:coreProperties>
</file>