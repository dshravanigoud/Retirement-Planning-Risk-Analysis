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811" codeName="{873B2839-AC87-7CC4-5C0F-16DCB9831742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donaldson/Desktop/MonteCarlo/"/>
    </mc:Choice>
  </mc:AlternateContent>
  <xr:revisionPtr revIDLastSave="0" documentId="8_{363CCE60-5F2D-6644-A341-CB4FB20E0D2F}" xr6:coauthVersionLast="47" xr6:coauthVersionMax="47" xr10:uidLastSave="{00000000-0000-0000-0000-000000000000}"/>
  <bookViews>
    <workbookView xWindow="0" yWindow="760" windowWidth="25600" windowHeight="18720" tabRatio="50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5" i="1" l="1"/>
  <c r="B30" i="1"/>
  <c r="C31" i="1"/>
  <c r="C15" i="1"/>
  <c r="C13" i="1"/>
  <c r="D20" i="1" l="1"/>
  <c r="C32" i="1"/>
  <c r="D21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16" i="1"/>
  <c r="C17" i="1" s="1"/>
  <c r="D31" i="1" l="1"/>
  <c r="B31" i="1" s="1"/>
  <c r="D506" i="1"/>
  <c r="D510" i="1"/>
  <c r="D502" i="1"/>
  <c r="D498" i="1"/>
  <c r="D494" i="1"/>
  <c r="D490" i="1"/>
  <c r="D486" i="1"/>
  <c r="D482" i="1"/>
  <c r="D478" i="1"/>
  <c r="D474" i="1"/>
  <c r="D470" i="1"/>
  <c r="D466" i="1"/>
  <c r="D462" i="1"/>
  <c r="D458" i="1"/>
  <c r="D454" i="1"/>
  <c r="D450" i="1"/>
  <c r="D446" i="1"/>
  <c r="D442" i="1"/>
  <c r="D507" i="1"/>
  <c r="D503" i="1"/>
  <c r="D499" i="1"/>
  <c r="D495" i="1"/>
  <c r="D491" i="1"/>
  <c r="D487" i="1"/>
  <c r="D483" i="1"/>
  <c r="D479" i="1"/>
  <c r="D475" i="1"/>
  <c r="D471" i="1"/>
  <c r="D467" i="1"/>
  <c r="D463" i="1"/>
  <c r="D459" i="1"/>
  <c r="D455" i="1"/>
  <c r="D451" i="1"/>
  <c r="D447" i="1"/>
  <c r="D443" i="1"/>
  <c r="D439" i="1"/>
  <c r="D435" i="1"/>
  <c r="D431" i="1"/>
  <c r="D427" i="1"/>
  <c r="D423" i="1"/>
  <c r="D419" i="1"/>
  <c r="D415" i="1"/>
  <c r="D411" i="1"/>
  <c r="D407" i="1"/>
  <c r="D403" i="1"/>
  <c r="D399" i="1"/>
  <c r="D395" i="1"/>
  <c r="D391" i="1"/>
  <c r="D387" i="1"/>
  <c r="D383" i="1"/>
  <c r="D379" i="1"/>
  <c r="D375" i="1"/>
  <c r="D438" i="1"/>
  <c r="D434" i="1"/>
  <c r="D430" i="1"/>
  <c r="D426" i="1"/>
  <c r="D422" i="1"/>
  <c r="D418" i="1"/>
  <c r="D414" i="1"/>
  <c r="D410" i="1"/>
  <c r="D406" i="1"/>
  <c r="D402" i="1"/>
  <c r="D398" i="1"/>
  <c r="D394" i="1"/>
  <c r="D390" i="1"/>
  <c r="D386" i="1"/>
  <c r="D382" i="1"/>
  <c r="D378" i="1"/>
  <c r="D374" i="1"/>
  <c r="D370" i="1"/>
  <c r="D366" i="1"/>
  <c r="D362" i="1"/>
  <c r="D358" i="1"/>
  <c r="D354" i="1"/>
  <c r="D350" i="1"/>
  <c r="D346" i="1"/>
  <c r="D342" i="1"/>
  <c r="D338" i="1"/>
  <c r="D334" i="1"/>
  <c r="D330" i="1"/>
  <c r="D326" i="1"/>
  <c r="D322" i="1"/>
  <c r="D318" i="1"/>
  <c r="D314" i="1"/>
  <c r="D310" i="1"/>
  <c r="D306" i="1"/>
  <c r="D302" i="1"/>
  <c r="D298" i="1"/>
  <c r="D294" i="1"/>
  <c r="D290" i="1"/>
  <c r="D286" i="1"/>
  <c r="D282" i="1"/>
  <c r="D278" i="1"/>
  <c r="D274" i="1"/>
  <c r="D270" i="1"/>
  <c r="D266" i="1"/>
  <c r="D262" i="1"/>
  <c r="D258" i="1"/>
  <c r="D254" i="1"/>
  <c r="D250" i="1"/>
  <c r="D246" i="1"/>
  <c r="D242" i="1"/>
  <c r="D238" i="1"/>
  <c r="D234" i="1"/>
  <c r="D230" i="1"/>
  <c r="D226" i="1"/>
  <c r="D222" i="1"/>
  <c r="D218" i="1"/>
  <c r="D214" i="1"/>
  <c r="D210" i="1"/>
  <c r="D206" i="1"/>
  <c r="D202" i="1"/>
  <c r="D198" i="1"/>
  <c r="D194" i="1"/>
  <c r="D190" i="1"/>
  <c r="D186" i="1"/>
  <c r="D182" i="1"/>
  <c r="D178" i="1"/>
  <c r="D174" i="1"/>
  <c r="D170" i="1"/>
  <c r="D166" i="1"/>
  <c r="D162" i="1"/>
  <c r="D158" i="1"/>
  <c r="D154" i="1"/>
  <c r="D150" i="1"/>
  <c r="D146" i="1"/>
  <c r="D142" i="1"/>
  <c r="D138" i="1"/>
  <c r="D134" i="1"/>
  <c r="D130" i="1"/>
  <c r="D126" i="1"/>
  <c r="D122" i="1"/>
  <c r="D118" i="1"/>
  <c r="D114" i="1"/>
  <c r="D110" i="1"/>
  <c r="D106" i="1"/>
  <c r="D102" i="1"/>
  <c r="D371" i="1"/>
  <c r="D367" i="1"/>
  <c r="D363" i="1"/>
  <c r="D359" i="1"/>
  <c r="D355" i="1"/>
  <c r="D351" i="1"/>
  <c r="D347" i="1"/>
  <c r="D343" i="1"/>
  <c r="D339" i="1"/>
  <c r="D335" i="1"/>
  <c r="D331" i="1"/>
  <c r="D327" i="1"/>
  <c r="D323" i="1"/>
  <c r="D319" i="1"/>
  <c r="D315" i="1"/>
  <c r="D311" i="1"/>
  <c r="D307" i="1"/>
  <c r="D303" i="1"/>
  <c r="D299" i="1"/>
  <c r="D295" i="1"/>
  <c r="D291" i="1"/>
  <c r="D287" i="1"/>
  <c r="D283" i="1"/>
  <c r="D279" i="1"/>
  <c r="D275" i="1"/>
  <c r="D271" i="1"/>
  <c r="D267" i="1"/>
  <c r="D263" i="1"/>
  <c r="D259" i="1"/>
  <c r="D255" i="1"/>
  <c r="D251" i="1"/>
  <c r="D247" i="1"/>
  <c r="D243" i="1"/>
  <c r="D239" i="1"/>
  <c r="D235" i="1"/>
  <c r="D231" i="1"/>
  <c r="D227" i="1"/>
  <c r="D223" i="1"/>
  <c r="D219" i="1"/>
  <c r="D215" i="1"/>
  <c r="D211" i="1"/>
  <c r="D207" i="1"/>
  <c r="D203" i="1"/>
  <c r="D199" i="1"/>
  <c r="D195" i="1"/>
  <c r="D191" i="1"/>
  <c r="D187" i="1"/>
  <c r="D183" i="1"/>
  <c r="D179" i="1"/>
  <c r="D175" i="1"/>
  <c r="D171" i="1"/>
  <c r="D167" i="1"/>
  <c r="D163" i="1"/>
  <c r="D159" i="1"/>
  <c r="D155" i="1"/>
  <c r="D151" i="1"/>
  <c r="D147" i="1"/>
  <c r="D143" i="1"/>
  <c r="D139" i="1"/>
  <c r="D135" i="1"/>
  <c r="D131" i="1"/>
  <c r="D127" i="1"/>
  <c r="D123" i="1"/>
  <c r="D119" i="1"/>
  <c r="D115" i="1"/>
  <c r="D111" i="1"/>
  <c r="D107" i="1"/>
  <c r="D103" i="1"/>
  <c r="D99" i="1"/>
  <c r="D95" i="1"/>
  <c r="D91" i="1"/>
  <c r="D87" i="1"/>
  <c r="D83" i="1"/>
  <c r="D79" i="1"/>
  <c r="D75" i="1"/>
  <c r="D71" i="1"/>
  <c r="D67" i="1"/>
  <c r="D63" i="1"/>
  <c r="D59" i="1"/>
  <c r="D55" i="1"/>
  <c r="D51" i="1"/>
  <c r="D47" i="1"/>
  <c r="D43" i="1"/>
  <c r="D39" i="1"/>
  <c r="D35" i="1"/>
  <c r="D98" i="1"/>
  <c r="D94" i="1"/>
  <c r="D90" i="1"/>
  <c r="D86" i="1"/>
  <c r="D82" i="1"/>
  <c r="D78" i="1"/>
  <c r="D74" i="1"/>
  <c r="D70" i="1"/>
  <c r="D66" i="1"/>
  <c r="D62" i="1"/>
  <c r="D58" i="1"/>
  <c r="D54" i="1"/>
  <c r="D50" i="1"/>
  <c r="D46" i="1"/>
  <c r="D42" i="1"/>
  <c r="D38" i="1"/>
  <c r="D34" i="1"/>
  <c r="D509" i="1"/>
  <c r="D505" i="1"/>
  <c r="D501" i="1"/>
  <c r="D497" i="1"/>
  <c r="D493" i="1"/>
  <c r="D489" i="1"/>
  <c r="D485" i="1"/>
  <c r="D481" i="1"/>
  <c r="D477" i="1"/>
  <c r="D473" i="1"/>
  <c r="D469" i="1"/>
  <c r="D465" i="1"/>
  <c r="D461" i="1"/>
  <c r="D457" i="1"/>
  <c r="D453" i="1"/>
  <c r="D449" i="1"/>
  <c r="D445" i="1"/>
  <c r="D441" i="1"/>
  <c r="D437" i="1"/>
  <c r="D433" i="1"/>
  <c r="D429" i="1"/>
  <c r="D425" i="1"/>
  <c r="D421" i="1"/>
  <c r="D417" i="1"/>
  <c r="D413" i="1"/>
  <c r="D409" i="1"/>
  <c r="D405" i="1"/>
  <c r="D401" i="1"/>
  <c r="D397" i="1"/>
  <c r="D393" i="1"/>
  <c r="D389" i="1"/>
  <c r="D385" i="1"/>
  <c r="D381" i="1"/>
  <c r="D377" i="1"/>
  <c r="D373" i="1"/>
  <c r="D369" i="1"/>
  <c r="D365" i="1"/>
  <c r="D361" i="1"/>
  <c r="D357" i="1"/>
  <c r="D353" i="1"/>
  <c r="D349" i="1"/>
  <c r="D345" i="1"/>
  <c r="D341" i="1"/>
  <c r="D337" i="1"/>
  <c r="D333" i="1"/>
  <c r="D329" i="1"/>
  <c r="D325" i="1"/>
  <c r="D321" i="1"/>
  <c r="D317" i="1"/>
  <c r="D313" i="1"/>
  <c r="D309" i="1"/>
  <c r="D305" i="1"/>
  <c r="D301" i="1"/>
  <c r="D297" i="1"/>
  <c r="D293" i="1"/>
  <c r="D289" i="1"/>
  <c r="D285" i="1"/>
  <c r="D281" i="1"/>
  <c r="D277" i="1"/>
  <c r="D273" i="1"/>
  <c r="D269" i="1"/>
  <c r="D265" i="1"/>
  <c r="D261" i="1"/>
  <c r="D257" i="1"/>
  <c r="D253" i="1"/>
  <c r="D249" i="1"/>
  <c r="D245" i="1"/>
  <c r="D241" i="1"/>
  <c r="D237" i="1"/>
  <c r="D233" i="1"/>
  <c r="D229" i="1"/>
  <c r="D225" i="1"/>
  <c r="D221" i="1"/>
  <c r="D217" i="1"/>
  <c r="D213" i="1"/>
  <c r="D209" i="1"/>
  <c r="D205" i="1"/>
  <c r="D201" i="1"/>
  <c r="D197" i="1"/>
  <c r="D193" i="1"/>
  <c r="D189" i="1"/>
  <c r="D185" i="1"/>
  <c r="D181" i="1"/>
  <c r="D177" i="1"/>
  <c r="D173" i="1"/>
  <c r="D169" i="1"/>
  <c r="D165" i="1"/>
  <c r="D161" i="1"/>
  <c r="D157" i="1"/>
  <c r="D153" i="1"/>
  <c r="D149" i="1"/>
  <c r="D145" i="1"/>
  <c r="D141" i="1"/>
  <c r="D137" i="1"/>
  <c r="D133" i="1"/>
  <c r="D129" i="1"/>
  <c r="D125" i="1"/>
  <c r="D121" i="1"/>
  <c r="D117" i="1"/>
  <c r="D113" i="1"/>
  <c r="D109" i="1"/>
  <c r="D105" i="1"/>
  <c r="D101" i="1"/>
  <c r="D97" i="1"/>
  <c r="D93" i="1"/>
  <c r="D89" i="1"/>
  <c r="D85" i="1"/>
  <c r="D81" i="1"/>
  <c r="D77" i="1"/>
  <c r="D73" i="1"/>
  <c r="D69" i="1"/>
  <c r="D65" i="1"/>
  <c r="D61" i="1"/>
  <c r="D57" i="1"/>
  <c r="D53" i="1"/>
  <c r="D49" i="1"/>
  <c r="D45" i="1"/>
  <c r="D41" i="1"/>
  <c r="D37" i="1"/>
  <c r="D508" i="1"/>
  <c r="D504" i="1"/>
  <c r="D500" i="1"/>
  <c r="D496" i="1"/>
  <c r="D492" i="1"/>
  <c r="D488" i="1"/>
  <c r="D484" i="1"/>
  <c r="D480" i="1"/>
  <c r="D476" i="1"/>
  <c r="D472" i="1"/>
  <c r="D468" i="1"/>
  <c r="D464" i="1"/>
  <c r="D460" i="1"/>
  <c r="D456" i="1"/>
  <c r="D452" i="1"/>
  <c r="D448" i="1"/>
  <c r="D444" i="1"/>
  <c r="D440" i="1"/>
  <c r="D436" i="1"/>
  <c r="D432" i="1"/>
  <c r="D428" i="1"/>
  <c r="D424" i="1"/>
  <c r="D420" i="1"/>
  <c r="D416" i="1"/>
  <c r="D412" i="1"/>
  <c r="D408" i="1"/>
  <c r="D404" i="1"/>
  <c r="D400" i="1"/>
  <c r="D396" i="1"/>
  <c r="D392" i="1"/>
  <c r="D388" i="1"/>
  <c r="D384" i="1"/>
  <c r="D380" i="1"/>
  <c r="D376" i="1"/>
  <c r="D372" i="1"/>
  <c r="D368" i="1"/>
  <c r="D364" i="1"/>
  <c r="D360" i="1"/>
  <c r="D356" i="1"/>
  <c r="D352" i="1"/>
  <c r="D348" i="1"/>
  <c r="D344" i="1"/>
  <c r="D340" i="1"/>
  <c r="D336" i="1"/>
  <c r="D332" i="1"/>
  <c r="D328" i="1"/>
  <c r="D324" i="1"/>
  <c r="D320" i="1"/>
  <c r="D316" i="1"/>
  <c r="D312" i="1"/>
  <c r="D308" i="1"/>
  <c r="D304" i="1"/>
  <c r="D300" i="1"/>
  <c r="D296" i="1"/>
  <c r="D292" i="1"/>
  <c r="D288" i="1"/>
  <c r="D284" i="1"/>
  <c r="D280" i="1"/>
  <c r="D276" i="1"/>
  <c r="D272" i="1"/>
  <c r="D268" i="1"/>
  <c r="D264" i="1"/>
  <c r="D260" i="1"/>
  <c r="D256" i="1"/>
  <c r="D252" i="1"/>
  <c r="D248" i="1"/>
  <c r="D244" i="1"/>
  <c r="D240" i="1"/>
  <c r="D236" i="1"/>
  <c r="D232" i="1"/>
  <c r="D228" i="1"/>
  <c r="D224" i="1"/>
  <c r="D220" i="1"/>
  <c r="D216" i="1"/>
  <c r="D212" i="1"/>
  <c r="D208" i="1"/>
  <c r="D204" i="1"/>
  <c r="D200" i="1"/>
  <c r="D196" i="1"/>
  <c r="D192" i="1"/>
  <c r="D188" i="1"/>
  <c r="D184" i="1"/>
  <c r="D180" i="1"/>
  <c r="D176" i="1"/>
  <c r="D172" i="1"/>
  <c r="D168" i="1"/>
  <c r="D164" i="1"/>
  <c r="D160" i="1"/>
  <c r="D156" i="1"/>
  <c r="D152" i="1"/>
  <c r="D148" i="1"/>
  <c r="D144" i="1"/>
  <c r="D140" i="1"/>
  <c r="D136" i="1"/>
  <c r="D132" i="1"/>
  <c r="D128" i="1"/>
  <c r="D124" i="1"/>
  <c r="D120" i="1"/>
  <c r="D116" i="1"/>
  <c r="D112" i="1"/>
  <c r="D108" i="1"/>
  <c r="D104" i="1"/>
  <c r="D100" i="1"/>
  <c r="D96" i="1"/>
  <c r="D92" i="1"/>
  <c r="D88" i="1"/>
  <c r="D84" i="1"/>
  <c r="D80" i="1"/>
  <c r="D76" i="1"/>
  <c r="D72" i="1"/>
  <c r="D68" i="1"/>
  <c r="D64" i="1"/>
  <c r="D60" i="1"/>
  <c r="D56" i="1"/>
  <c r="D52" i="1"/>
  <c r="D48" i="1"/>
  <c r="D44" i="1"/>
  <c r="D40" i="1"/>
  <c r="D36" i="1"/>
  <c r="D32" i="1"/>
  <c r="D33" i="1"/>
  <c r="B32" i="1" l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</calcChain>
</file>

<file path=xl/sharedStrings.xml><?xml version="1.0" encoding="utf-8"?>
<sst xmlns="http://schemas.openxmlformats.org/spreadsheetml/2006/main" count="27" uniqueCount="27">
  <si>
    <t>Assumptions</t>
  </si>
  <si>
    <t>Target Beginning Balance Entering Retirement</t>
  </si>
  <si>
    <t xml:space="preserve">Estimated Annual Retirement Living Expenses </t>
  </si>
  <si>
    <t>(in Today's Dollars)</t>
  </si>
  <si>
    <t>Inflation</t>
  </si>
  <si>
    <t>Tax Rate</t>
  </si>
  <si>
    <t>Bi-Monthly Withdrawals</t>
  </si>
  <si>
    <t>Balance * Expected Return</t>
  </si>
  <si>
    <t>(Annual)</t>
  </si>
  <si>
    <t>(Bi-Monthly)</t>
  </si>
  <si>
    <t>Mean</t>
  </si>
  <si>
    <t>Volatility</t>
  </si>
  <si>
    <t>Portfolio Balance</t>
  </si>
  <si>
    <t xml:space="preserve">                            </t>
  </si>
  <si>
    <t xml:space="preserve">Random </t>
  </si>
  <si>
    <t>Balance</t>
  </si>
  <si>
    <t xml:space="preserve">Standard </t>
  </si>
  <si>
    <t>Variable</t>
  </si>
  <si>
    <t>Return</t>
  </si>
  <si>
    <t>Period</t>
  </si>
  <si>
    <t>Living Expenses 20-yrs into Retirement</t>
  </si>
  <si>
    <t>Expected balance 20-yrs into Retirement</t>
  </si>
  <si>
    <t>In Reirement Monte Carlo</t>
  </si>
  <si>
    <t>Enter information in the white boxes</t>
  </si>
  <si>
    <t>Final Median Value</t>
  </si>
  <si>
    <t>Number of Years in Retirement</t>
  </si>
  <si>
    <t>1000  - '20 Year' Simulations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</si>
</sst>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%"/>
    <numFmt numFmtId="165" formatCode="_(&quot;$&quot;* #,##0_);_(&quot;$&quot;* \(#,##0\);_(&quot;$&quot;* &quot;-&quot;??_);_(@_)"/>
  </numFmts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rgb="FF000000"/>
      <name val="Lucida Grande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026">
    <xf numFmtId="0" fontId="0" fillId="0" borderId="0"/>
    <xf numFmtId="44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41">
    <xf numFmtId="0" fontId="0" fillId="0" borderId="0" xfId="0"/>
    <xf numFmtId="0" fontId="2" fillId="2" borderId="1" xfId="0" applyFont="1" applyFill="1" applyBorder="1"/>
    <xf numFmtId="0" fontId="0" fillId="2" borderId="2" xfId="0" applyFill="1" applyBorder="1"/>
    <xf numFmtId="6" fontId="0" fillId="2" borderId="2" xfId="0" applyNumberFormat="1" applyFill="1" applyBorder="1" applyAlignment="1">
      <alignment horizontal="center"/>
    </xf>
    <xf numFmtId="6" fontId="0" fillId="2" borderId="3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2" fillId="2" borderId="4" xfId="0" applyFont="1" applyFill="1" applyBorder="1"/>
    <xf numFmtId="0" fontId="0" fillId="2" borderId="5" xfId="0" applyFill="1" applyBorder="1"/>
    <xf numFmtId="6" fontId="0" fillId="2" borderId="5" xfId="0" applyNumberFormat="1" applyFill="1" applyBorder="1" applyAlignment="1">
      <alignment horizontal="center"/>
    </xf>
    <xf numFmtId="6" fontId="0" fillId="2" borderId="6" xfId="0" applyNumberFormat="1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6" fontId="0" fillId="0" borderId="0" xfId="0" applyNumberFormat="1" applyAlignment="1">
      <alignment horizontal="center"/>
    </xf>
    <xf numFmtId="0" fontId="0" fillId="2" borderId="8" xfId="0" applyFill="1" applyBorder="1"/>
    <xf numFmtId="0" fontId="0" fillId="2" borderId="0" xfId="0" applyFill="1"/>
    <xf numFmtId="6" fontId="0" fillId="2" borderId="0" xfId="0" applyNumberFormat="1" applyFill="1" applyAlignment="1">
      <alignment horizontal="center"/>
    </xf>
    <xf numFmtId="6" fontId="0" fillId="2" borderId="9" xfId="0" applyNumberFormat="1" applyFill="1" applyBorder="1" applyAlignment="1">
      <alignment horizontal="center"/>
    </xf>
    <xf numFmtId="8" fontId="0" fillId="0" borderId="0" xfId="0" applyNumberFormat="1" applyAlignment="1">
      <alignment horizontal="center"/>
    </xf>
    <xf numFmtId="0" fontId="3" fillId="2" borderId="9" xfId="0" applyFont="1" applyFill="1" applyBorder="1" applyAlignment="1">
      <alignment horizontal="center"/>
    </xf>
    <xf numFmtId="10" fontId="0" fillId="2" borderId="10" xfId="0" applyNumberFormat="1" applyFill="1" applyBorder="1" applyAlignment="1">
      <alignment horizontal="center"/>
    </xf>
    <xf numFmtId="9" fontId="0" fillId="2" borderId="10" xfId="0" applyNumberFormat="1" applyFill="1" applyBorder="1" applyAlignment="1">
      <alignment horizontal="center"/>
    </xf>
    <xf numFmtId="6" fontId="2" fillId="2" borderId="9" xfId="0" applyNumberFormat="1" applyFont="1" applyFill="1" applyBorder="1" applyAlignment="1">
      <alignment horizontal="center"/>
    </xf>
    <xf numFmtId="10" fontId="0" fillId="2" borderId="0" xfId="0" applyNumberFormat="1" applyFill="1" applyAlignment="1">
      <alignment horizontal="left"/>
    </xf>
    <xf numFmtId="164" fontId="0" fillId="2" borderId="9" xfId="0" applyNumberFormat="1" applyFill="1" applyBorder="1" applyAlignment="1">
      <alignment horizontal="center"/>
    </xf>
    <xf numFmtId="0" fontId="0" fillId="2" borderId="4" xfId="0" applyFill="1" applyBorder="1"/>
    <xf numFmtId="10" fontId="0" fillId="2" borderId="11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2" fillId="0" borderId="12" xfId="1" applyNumberFormat="1" applyFont="1" applyFill="1" applyBorder="1" applyAlignment="1">
      <alignment horizontal="center"/>
    </xf>
    <xf numFmtId="0" fontId="5" fillId="0" borderId="0" xfId="0" applyFont="1"/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6" fontId="4" fillId="2" borderId="10" xfId="0" applyNumberFormat="1" applyFont="1" applyFill="1" applyBorder="1" applyAlignment="1">
      <alignment horizontal="center"/>
    </xf>
    <xf numFmtId="6" fontId="2" fillId="4" borderId="7" xfId="0" applyNumberFormat="1" applyFont="1" applyFill="1" applyBorder="1" applyAlignment="1">
      <alignment horizontal="center"/>
    </xf>
    <xf numFmtId="6" fontId="4" fillId="4" borderId="10" xfId="0" applyNumberFormat="1" applyFont="1" applyFill="1" applyBorder="1" applyAlignment="1">
      <alignment horizontal="center"/>
    </xf>
    <xf numFmtId="0" fontId="8" fillId="2" borderId="1" xfId="0" applyFont="1" applyFill="1" applyBorder="1"/>
    <xf numFmtId="10" fontId="0" fillId="4" borderId="10" xfId="0" applyNumberFormat="1" applyFill="1" applyBorder="1" applyAlignment="1">
      <alignment horizontal="center"/>
    </xf>
    <xf numFmtId="1" fontId="0" fillId="4" borderId="10" xfId="0" applyNumberFormat="1" applyFill="1" applyBorder="1" applyAlignment="1">
      <alignment horizontal="center"/>
    </xf>
    <xf numFmtId="6" fontId="4" fillId="2" borderId="0" xfId="0" applyNumberFormat="1" applyFont="1" applyFill="1" applyAlignment="1">
      <alignment horizontal="center"/>
    </xf>
  </cellXfs>
  <cellStyles count="12026">
    <cellStyle name="Currency" xfId="1" builtinId="4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Followed Hyperlink" xfId="3917" builtinId="9" hidden="1"/>
    <cellStyle name="Followed Hyperlink" xfId="3919" builtinId="9" hidden="1"/>
    <cellStyle name="Followed Hyperlink" xfId="3921" builtinId="9" hidden="1"/>
    <cellStyle name="Followed Hyperlink" xfId="3923" builtinId="9" hidden="1"/>
    <cellStyle name="Followed Hyperlink" xfId="3925" builtinId="9" hidden="1"/>
    <cellStyle name="Followed Hyperlink" xfId="3927" builtinId="9" hidden="1"/>
    <cellStyle name="Followed Hyperlink" xfId="3929" builtinId="9" hidden="1"/>
    <cellStyle name="Followed Hyperlink" xfId="3931" builtinId="9" hidden="1"/>
    <cellStyle name="Followed Hyperlink" xfId="3933" builtinId="9" hidden="1"/>
    <cellStyle name="Followed Hyperlink" xfId="3935" builtinId="9" hidden="1"/>
    <cellStyle name="Followed Hyperlink" xfId="3937" builtinId="9" hidden="1"/>
    <cellStyle name="Followed Hyperlink" xfId="3939" builtinId="9" hidden="1"/>
    <cellStyle name="Followed Hyperlink" xfId="3941" builtinId="9" hidden="1"/>
    <cellStyle name="Followed Hyperlink" xfId="3943" builtinId="9" hidden="1"/>
    <cellStyle name="Followed Hyperlink" xfId="3945" builtinId="9" hidden="1"/>
    <cellStyle name="Followed Hyperlink" xfId="3947" builtinId="9" hidden="1"/>
    <cellStyle name="Followed Hyperlink" xfId="3949" builtinId="9" hidden="1"/>
    <cellStyle name="Followed Hyperlink" xfId="3951" builtinId="9" hidden="1"/>
    <cellStyle name="Followed Hyperlink" xfId="3953" builtinId="9" hidden="1"/>
    <cellStyle name="Followed Hyperlink" xfId="3955" builtinId="9" hidden="1"/>
    <cellStyle name="Followed Hyperlink" xfId="3957" builtinId="9" hidden="1"/>
    <cellStyle name="Followed Hyperlink" xfId="3959" builtinId="9" hidden="1"/>
    <cellStyle name="Followed Hyperlink" xfId="3961" builtinId="9" hidden="1"/>
    <cellStyle name="Followed Hyperlink" xfId="3963" builtinId="9" hidden="1"/>
    <cellStyle name="Followed Hyperlink" xfId="3965" builtinId="9" hidden="1"/>
    <cellStyle name="Followed Hyperlink" xfId="3967" builtinId="9" hidden="1"/>
    <cellStyle name="Followed Hyperlink" xfId="3969" builtinId="9" hidden="1"/>
    <cellStyle name="Followed Hyperlink" xfId="3971" builtinId="9" hidden="1"/>
    <cellStyle name="Followed Hyperlink" xfId="3973" builtinId="9" hidden="1"/>
    <cellStyle name="Followed Hyperlink" xfId="3975" builtinId="9" hidden="1"/>
    <cellStyle name="Followed Hyperlink" xfId="3977" builtinId="9" hidden="1"/>
    <cellStyle name="Followed Hyperlink" xfId="3979" builtinId="9" hidden="1"/>
    <cellStyle name="Followed Hyperlink" xfId="3981" builtinId="9" hidden="1"/>
    <cellStyle name="Followed Hyperlink" xfId="3983" builtinId="9" hidden="1"/>
    <cellStyle name="Followed Hyperlink" xfId="3985" builtinId="9" hidden="1"/>
    <cellStyle name="Followed Hyperlink" xfId="3987" builtinId="9" hidden="1"/>
    <cellStyle name="Followed Hyperlink" xfId="3989" builtinId="9" hidden="1"/>
    <cellStyle name="Followed Hyperlink" xfId="3991" builtinId="9" hidden="1"/>
    <cellStyle name="Followed Hyperlink" xfId="3993" builtinId="9" hidden="1"/>
    <cellStyle name="Followed Hyperlink" xfId="3995" builtinId="9" hidden="1"/>
    <cellStyle name="Followed Hyperlink" xfId="3997" builtinId="9" hidden="1"/>
    <cellStyle name="Followed Hyperlink" xfId="3999" builtinId="9" hidden="1"/>
    <cellStyle name="Followed Hyperlink" xfId="4001" builtinId="9" hidden="1"/>
    <cellStyle name="Followed Hyperlink" xfId="4003" builtinId="9" hidden="1"/>
    <cellStyle name="Followed Hyperlink" xfId="4005" builtinId="9" hidden="1"/>
    <cellStyle name="Followed Hyperlink" xfId="4007" builtinId="9" hidden="1"/>
    <cellStyle name="Followed Hyperlink" xfId="4009" builtinId="9" hidden="1"/>
    <cellStyle name="Followed Hyperlink" xfId="4011" builtinId="9" hidden="1"/>
    <cellStyle name="Followed Hyperlink" xfId="4013" builtinId="9" hidden="1"/>
    <cellStyle name="Followed Hyperlink" xfId="4015" builtinId="9" hidden="1"/>
    <cellStyle name="Followed Hyperlink" xfId="4017" builtinId="9" hidden="1"/>
    <cellStyle name="Followed Hyperlink" xfId="4019" builtinId="9" hidden="1"/>
    <cellStyle name="Followed Hyperlink" xfId="4021" builtinId="9" hidden="1"/>
    <cellStyle name="Followed Hyperlink" xfId="4023" builtinId="9" hidden="1"/>
    <cellStyle name="Followed Hyperlink" xfId="4025" builtinId="9" hidden="1"/>
    <cellStyle name="Followed Hyperlink" xfId="4027" builtinId="9" hidden="1"/>
    <cellStyle name="Followed Hyperlink" xfId="4029" builtinId="9" hidden="1"/>
    <cellStyle name="Followed Hyperlink" xfId="4031" builtinId="9" hidden="1"/>
    <cellStyle name="Followed Hyperlink" xfId="4033" builtinId="9" hidden="1"/>
    <cellStyle name="Followed Hyperlink" xfId="4035" builtinId="9" hidden="1"/>
    <cellStyle name="Followed Hyperlink" xfId="4037" builtinId="9" hidden="1"/>
    <cellStyle name="Followed Hyperlink" xfId="4039" builtinId="9" hidden="1"/>
    <cellStyle name="Followed Hyperlink" xfId="4041" builtinId="9" hidden="1"/>
    <cellStyle name="Followed Hyperlink" xfId="4043" builtinId="9" hidden="1"/>
    <cellStyle name="Followed Hyperlink" xfId="4045" builtinId="9" hidden="1"/>
    <cellStyle name="Followed Hyperlink" xfId="4047" builtinId="9" hidden="1"/>
    <cellStyle name="Followed Hyperlink" xfId="4049" builtinId="9" hidden="1"/>
    <cellStyle name="Followed Hyperlink" xfId="4051" builtinId="9" hidden="1"/>
    <cellStyle name="Followed Hyperlink" xfId="4053" builtinId="9" hidden="1"/>
    <cellStyle name="Followed Hyperlink" xfId="4055" builtinId="9" hidden="1"/>
    <cellStyle name="Followed Hyperlink" xfId="4057" builtinId="9" hidden="1"/>
    <cellStyle name="Followed Hyperlink" xfId="4059" builtinId="9" hidden="1"/>
    <cellStyle name="Followed Hyperlink" xfId="4061" builtinId="9" hidden="1"/>
    <cellStyle name="Followed Hyperlink" xfId="4063" builtinId="9" hidden="1"/>
    <cellStyle name="Followed Hyperlink" xfId="4065" builtinId="9" hidden="1"/>
    <cellStyle name="Followed Hyperlink" xfId="4067" builtinId="9" hidden="1"/>
    <cellStyle name="Followed Hyperlink" xfId="4069" builtinId="9" hidden="1"/>
    <cellStyle name="Followed Hyperlink" xfId="4071" builtinId="9" hidden="1"/>
    <cellStyle name="Followed Hyperlink" xfId="4073" builtinId="9" hidden="1"/>
    <cellStyle name="Followed Hyperlink" xfId="4075" builtinId="9" hidden="1"/>
    <cellStyle name="Followed Hyperlink" xfId="4077" builtinId="9" hidden="1"/>
    <cellStyle name="Followed Hyperlink" xfId="4079" builtinId="9" hidden="1"/>
    <cellStyle name="Followed Hyperlink" xfId="4081" builtinId="9" hidden="1"/>
    <cellStyle name="Followed Hyperlink" xfId="4083" builtinId="9" hidden="1"/>
    <cellStyle name="Followed Hyperlink" xfId="4085" builtinId="9" hidden="1"/>
    <cellStyle name="Followed Hyperlink" xfId="4087" builtinId="9" hidden="1"/>
    <cellStyle name="Followed Hyperlink" xfId="4089" builtinId="9" hidden="1"/>
    <cellStyle name="Followed Hyperlink" xfId="4091" builtinId="9" hidden="1"/>
    <cellStyle name="Followed Hyperlink" xfId="4093" builtinId="9" hidden="1"/>
    <cellStyle name="Followed Hyperlink" xfId="4095" builtinId="9" hidden="1"/>
    <cellStyle name="Followed Hyperlink" xfId="4097" builtinId="9" hidden="1"/>
    <cellStyle name="Followed Hyperlink" xfId="4099" builtinId="9" hidden="1"/>
    <cellStyle name="Followed Hyperlink" xfId="4101" builtinId="9" hidden="1"/>
    <cellStyle name="Followed Hyperlink" xfId="4103" builtinId="9" hidden="1"/>
    <cellStyle name="Followed Hyperlink" xfId="4105" builtinId="9" hidden="1"/>
    <cellStyle name="Followed Hyperlink" xfId="4107" builtinId="9" hidden="1"/>
    <cellStyle name="Followed Hyperlink" xfId="4109" builtinId="9" hidden="1"/>
    <cellStyle name="Followed Hyperlink" xfId="4111" builtinId="9" hidden="1"/>
    <cellStyle name="Followed Hyperlink" xfId="4113" builtinId="9" hidden="1"/>
    <cellStyle name="Followed Hyperlink" xfId="4115" builtinId="9" hidden="1"/>
    <cellStyle name="Followed Hyperlink" xfId="4117" builtinId="9" hidden="1"/>
    <cellStyle name="Followed Hyperlink" xfId="4119" builtinId="9" hidden="1"/>
    <cellStyle name="Followed Hyperlink" xfId="4121" builtinId="9" hidden="1"/>
    <cellStyle name="Followed Hyperlink" xfId="4123" builtinId="9" hidden="1"/>
    <cellStyle name="Followed Hyperlink" xfId="4125" builtinId="9" hidden="1"/>
    <cellStyle name="Followed Hyperlink" xfId="4127" builtinId="9" hidden="1"/>
    <cellStyle name="Followed Hyperlink" xfId="4129" builtinId="9" hidden="1"/>
    <cellStyle name="Followed Hyperlink" xfId="4131" builtinId="9" hidden="1"/>
    <cellStyle name="Followed Hyperlink" xfId="4133" builtinId="9" hidden="1"/>
    <cellStyle name="Followed Hyperlink" xfId="4135" builtinId="9" hidden="1"/>
    <cellStyle name="Followed Hyperlink" xfId="4137" builtinId="9" hidden="1"/>
    <cellStyle name="Followed Hyperlink" xfId="4139" builtinId="9" hidden="1"/>
    <cellStyle name="Followed Hyperlink" xfId="4141" builtinId="9" hidden="1"/>
    <cellStyle name="Followed Hyperlink" xfId="4143" builtinId="9" hidden="1"/>
    <cellStyle name="Followed Hyperlink" xfId="4145" builtinId="9" hidden="1"/>
    <cellStyle name="Followed Hyperlink" xfId="4147" builtinId="9" hidden="1"/>
    <cellStyle name="Followed Hyperlink" xfId="4149" builtinId="9" hidden="1"/>
    <cellStyle name="Followed Hyperlink" xfId="4151" builtinId="9" hidden="1"/>
    <cellStyle name="Followed Hyperlink" xfId="4153" builtinId="9" hidden="1"/>
    <cellStyle name="Followed Hyperlink" xfId="4155" builtinId="9" hidden="1"/>
    <cellStyle name="Followed Hyperlink" xfId="4157" builtinId="9" hidden="1"/>
    <cellStyle name="Followed Hyperlink" xfId="4159" builtinId="9" hidden="1"/>
    <cellStyle name="Followed Hyperlink" xfId="4161" builtinId="9" hidden="1"/>
    <cellStyle name="Followed Hyperlink" xfId="4163" builtinId="9" hidden="1"/>
    <cellStyle name="Followed Hyperlink" xfId="4165" builtinId="9" hidden="1"/>
    <cellStyle name="Followed Hyperlink" xfId="4167" builtinId="9" hidden="1"/>
    <cellStyle name="Followed Hyperlink" xfId="4169" builtinId="9" hidden="1"/>
    <cellStyle name="Followed Hyperlink" xfId="4171" builtinId="9" hidden="1"/>
    <cellStyle name="Followed Hyperlink" xfId="4173" builtinId="9" hidden="1"/>
    <cellStyle name="Followed Hyperlink" xfId="4175" builtinId="9" hidden="1"/>
    <cellStyle name="Followed Hyperlink" xfId="4177" builtinId="9" hidden="1"/>
    <cellStyle name="Followed Hyperlink" xfId="4179" builtinId="9" hidden="1"/>
    <cellStyle name="Followed Hyperlink" xfId="4181" builtinId="9" hidden="1"/>
    <cellStyle name="Followed Hyperlink" xfId="4183" builtinId="9" hidden="1"/>
    <cellStyle name="Followed Hyperlink" xfId="4185" builtinId="9" hidden="1"/>
    <cellStyle name="Followed Hyperlink" xfId="4187" builtinId="9" hidden="1"/>
    <cellStyle name="Followed Hyperlink" xfId="4189" builtinId="9" hidden="1"/>
    <cellStyle name="Followed Hyperlink" xfId="4191" builtinId="9" hidden="1"/>
    <cellStyle name="Followed Hyperlink" xfId="4193" builtinId="9" hidden="1"/>
    <cellStyle name="Followed Hyperlink" xfId="4195" builtinId="9" hidden="1"/>
    <cellStyle name="Followed Hyperlink" xfId="4197" builtinId="9" hidden="1"/>
    <cellStyle name="Followed Hyperlink" xfId="4199" builtinId="9" hidden="1"/>
    <cellStyle name="Followed Hyperlink" xfId="4201" builtinId="9" hidden="1"/>
    <cellStyle name="Followed Hyperlink" xfId="4203" builtinId="9" hidden="1"/>
    <cellStyle name="Followed Hyperlink" xfId="4205" builtinId="9" hidden="1"/>
    <cellStyle name="Followed Hyperlink" xfId="4207" builtinId="9" hidden="1"/>
    <cellStyle name="Followed Hyperlink" xfId="4209" builtinId="9" hidden="1"/>
    <cellStyle name="Followed Hyperlink" xfId="4211" builtinId="9" hidden="1"/>
    <cellStyle name="Followed Hyperlink" xfId="4213" builtinId="9" hidden="1"/>
    <cellStyle name="Followed Hyperlink" xfId="4215" builtinId="9" hidden="1"/>
    <cellStyle name="Followed Hyperlink" xfId="4217" builtinId="9" hidden="1"/>
    <cellStyle name="Followed Hyperlink" xfId="4219" builtinId="9" hidden="1"/>
    <cellStyle name="Followed Hyperlink" xfId="4221" builtinId="9" hidden="1"/>
    <cellStyle name="Followed Hyperlink" xfId="4223" builtinId="9" hidden="1"/>
    <cellStyle name="Followed Hyperlink" xfId="4225" builtinId="9" hidden="1"/>
    <cellStyle name="Followed Hyperlink" xfId="4227" builtinId="9" hidden="1"/>
    <cellStyle name="Followed Hyperlink" xfId="4229" builtinId="9" hidden="1"/>
    <cellStyle name="Followed Hyperlink" xfId="4231" builtinId="9" hidden="1"/>
    <cellStyle name="Followed Hyperlink" xfId="4233" builtinId="9" hidden="1"/>
    <cellStyle name="Followed Hyperlink" xfId="4235" builtinId="9" hidden="1"/>
    <cellStyle name="Followed Hyperlink" xfId="4237" builtinId="9" hidden="1"/>
    <cellStyle name="Followed Hyperlink" xfId="4239" builtinId="9" hidden="1"/>
    <cellStyle name="Followed Hyperlink" xfId="4241" builtinId="9" hidden="1"/>
    <cellStyle name="Followed Hyperlink" xfId="4243" builtinId="9" hidden="1"/>
    <cellStyle name="Followed Hyperlink" xfId="4245" builtinId="9" hidden="1"/>
    <cellStyle name="Followed Hyperlink" xfId="4247" builtinId="9" hidden="1"/>
    <cellStyle name="Followed Hyperlink" xfId="4249" builtinId="9" hidden="1"/>
    <cellStyle name="Followed Hyperlink" xfId="4251" builtinId="9" hidden="1"/>
    <cellStyle name="Followed Hyperlink" xfId="4253" builtinId="9" hidden="1"/>
    <cellStyle name="Followed Hyperlink" xfId="4255" builtinId="9" hidden="1"/>
    <cellStyle name="Followed Hyperlink" xfId="4257" builtinId="9" hidden="1"/>
    <cellStyle name="Followed Hyperlink" xfId="4259" builtinId="9" hidden="1"/>
    <cellStyle name="Followed Hyperlink" xfId="4261" builtinId="9" hidden="1"/>
    <cellStyle name="Followed Hyperlink" xfId="4263" builtinId="9" hidden="1"/>
    <cellStyle name="Followed Hyperlink" xfId="4265" builtinId="9" hidden="1"/>
    <cellStyle name="Followed Hyperlink" xfId="4267" builtinId="9" hidden="1"/>
    <cellStyle name="Followed Hyperlink" xfId="4269" builtinId="9" hidden="1"/>
    <cellStyle name="Followed Hyperlink" xfId="4271" builtinId="9" hidden="1"/>
    <cellStyle name="Followed Hyperlink" xfId="4273" builtinId="9" hidden="1"/>
    <cellStyle name="Followed Hyperlink" xfId="4275" builtinId="9" hidden="1"/>
    <cellStyle name="Followed Hyperlink" xfId="4277" builtinId="9" hidden="1"/>
    <cellStyle name="Followed Hyperlink" xfId="4279" builtinId="9" hidden="1"/>
    <cellStyle name="Followed Hyperlink" xfId="4281" builtinId="9" hidden="1"/>
    <cellStyle name="Followed Hyperlink" xfId="4283" builtinId="9" hidden="1"/>
    <cellStyle name="Followed Hyperlink" xfId="4285" builtinId="9" hidden="1"/>
    <cellStyle name="Followed Hyperlink" xfId="4287" builtinId="9" hidden="1"/>
    <cellStyle name="Followed Hyperlink" xfId="4289" builtinId="9" hidden="1"/>
    <cellStyle name="Followed Hyperlink" xfId="4291" builtinId="9" hidden="1"/>
    <cellStyle name="Followed Hyperlink" xfId="4293" builtinId="9" hidden="1"/>
    <cellStyle name="Followed Hyperlink" xfId="4295" builtinId="9" hidden="1"/>
    <cellStyle name="Followed Hyperlink" xfId="4297" builtinId="9" hidden="1"/>
    <cellStyle name="Followed Hyperlink" xfId="4299" builtinId="9" hidden="1"/>
    <cellStyle name="Followed Hyperlink" xfId="4301" builtinId="9" hidden="1"/>
    <cellStyle name="Followed Hyperlink" xfId="4303" builtinId="9" hidden="1"/>
    <cellStyle name="Followed Hyperlink" xfId="4305" builtinId="9" hidden="1"/>
    <cellStyle name="Followed Hyperlink" xfId="4307" builtinId="9" hidden="1"/>
    <cellStyle name="Followed Hyperlink" xfId="4309" builtinId="9" hidden="1"/>
    <cellStyle name="Followed Hyperlink" xfId="4311" builtinId="9" hidden="1"/>
    <cellStyle name="Followed Hyperlink" xfId="4313" builtinId="9" hidden="1"/>
    <cellStyle name="Followed Hyperlink" xfId="4315" builtinId="9" hidden="1"/>
    <cellStyle name="Followed Hyperlink" xfId="4317" builtinId="9" hidden="1"/>
    <cellStyle name="Followed Hyperlink" xfId="4319" builtinId="9" hidden="1"/>
    <cellStyle name="Followed Hyperlink" xfId="4321" builtinId="9" hidden="1"/>
    <cellStyle name="Followed Hyperlink" xfId="4323" builtinId="9" hidden="1"/>
    <cellStyle name="Followed Hyperlink" xfId="4325" builtinId="9" hidden="1"/>
    <cellStyle name="Followed Hyperlink" xfId="4327" builtinId="9" hidden="1"/>
    <cellStyle name="Followed Hyperlink" xfId="4329" builtinId="9" hidden="1"/>
    <cellStyle name="Followed Hyperlink" xfId="4331" builtinId="9" hidden="1"/>
    <cellStyle name="Followed Hyperlink" xfId="4333" builtinId="9" hidden="1"/>
    <cellStyle name="Followed Hyperlink" xfId="4335" builtinId="9" hidden="1"/>
    <cellStyle name="Followed Hyperlink" xfId="4337" builtinId="9" hidden="1"/>
    <cellStyle name="Followed Hyperlink" xfId="4339" builtinId="9" hidden="1"/>
    <cellStyle name="Followed Hyperlink" xfId="4341" builtinId="9" hidden="1"/>
    <cellStyle name="Followed Hyperlink" xfId="4343" builtinId="9" hidden="1"/>
    <cellStyle name="Followed Hyperlink" xfId="4345" builtinId="9" hidden="1"/>
    <cellStyle name="Followed Hyperlink" xfId="4347" builtinId="9" hidden="1"/>
    <cellStyle name="Followed Hyperlink" xfId="4349" builtinId="9" hidden="1"/>
    <cellStyle name="Followed Hyperlink" xfId="4351" builtinId="9" hidden="1"/>
    <cellStyle name="Followed Hyperlink" xfId="4353" builtinId="9" hidden="1"/>
    <cellStyle name="Followed Hyperlink" xfId="4355" builtinId="9" hidden="1"/>
    <cellStyle name="Followed Hyperlink" xfId="4357" builtinId="9" hidden="1"/>
    <cellStyle name="Followed Hyperlink" xfId="4359" builtinId="9" hidden="1"/>
    <cellStyle name="Followed Hyperlink" xfId="4361" builtinId="9" hidden="1"/>
    <cellStyle name="Followed Hyperlink" xfId="4363" builtinId="9" hidden="1"/>
    <cellStyle name="Followed Hyperlink" xfId="4365" builtinId="9" hidden="1"/>
    <cellStyle name="Followed Hyperlink" xfId="4367" builtinId="9" hidden="1"/>
    <cellStyle name="Followed Hyperlink" xfId="4369" builtinId="9" hidden="1"/>
    <cellStyle name="Followed Hyperlink" xfId="4371" builtinId="9" hidden="1"/>
    <cellStyle name="Followed Hyperlink" xfId="4373" builtinId="9" hidden="1"/>
    <cellStyle name="Followed Hyperlink" xfId="4375" builtinId="9" hidden="1"/>
    <cellStyle name="Followed Hyperlink" xfId="4377" builtinId="9" hidden="1"/>
    <cellStyle name="Followed Hyperlink" xfId="4379" builtinId="9" hidden="1"/>
    <cellStyle name="Followed Hyperlink" xfId="4381" builtinId="9" hidden="1"/>
    <cellStyle name="Followed Hyperlink" xfId="4383" builtinId="9" hidden="1"/>
    <cellStyle name="Followed Hyperlink" xfId="4385" builtinId="9" hidden="1"/>
    <cellStyle name="Followed Hyperlink" xfId="4387" builtinId="9" hidden="1"/>
    <cellStyle name="Followed Hyperlink" xfId="4389" builtinId="9" hidden="1"/>
    <cellStyle name="Followed Hyperlink" xfId="4391" builtinId="9" hidden="1"/>
    <cellStyle name="Followed Hyperlink" xfId="4393" builtinId="9" hidden="1"/>
    <cellStyle name="Followed Hyperlink" xfId="4395" builtinId="9" hidden="1"/>
    <cellStyle name="Followed Hyperlink" xfId="4397" builtinId="9" hidden="1"/>
    <cellStyle name="Followed Hyperlink" xfId="4399" builtinId="9" hidden="1"/>
    <cellStyle name="Followed Hyperlink" xfId="4401" builtinId="9" hidden="1"/>
    <cellStyle name="Followed Hyperlink" xfId="4403" builtinId="9" hidden="1"/>
    <cellStyle name="Followed Hyperlink" xfId="4405" builtinId="9" hidden="1"/>
    <cellStyle name="Followed Hyperlink" xfId="4407" builtinId="9" hidden="1"/>
    <cellStyle name="Followed Hyperlink" xfId="4409" builtinId="9" hidden="1"/>
    <cellStyle name="Followed Hyperlink" xfId="4411" builtinId="9" hidden="1"/>
    <cellStyle name="Followed Hyperlink" xfId="4413" builtinId="9" hidden="1"/>
    <cellStyle name="Followed Hyperlink" xfId="4415" builtinId="9" hidden="1"/>
    <cellStyle name="Followed Hyperlink" xfId="4417" builtinId="9" hidden="1"/>
    <cellStyle name="Followed Hyperlink" xfId="4419" builtinId="9" hidden="1"/>
    <cellStyle name="Followed Hyperlink" xfId="4421" builtinId="9" hidden="1"/>
    <cellStyle name="Followed Hyperlink" xfId="4423" builtinId="9" hidden="1"/>
    <cellStyle name="Followed Hyperlink" xfId="4425" builtinId="9" hidden="1"/>
    <cellStyle name="Followed Hyperlink" xfId="4427" builtinId="9" hidden="1"/>
    <cellStyle name="Followed Hyperlink" xfId="4429" builtinId="9" hidden="1"/>
    <cellStyle name="Followed Hyperlink" xfId="4431" builtinId="9" hidden="1"/>
    <cellStyle name="Followed Hyperlink" xfId="4433" builtinId="9" hidden="1"/>
    <cellStyle name="Followed Hyperlink" xfId="4435" builtinId="9" hidden="1"/>
    <cellStyle name="Followed Hyperlink" xfId="4437" builtinId="9" hidden="1"/>
    <cellStyle name="Followed Hyperlink" xfId="4439" builtinId="9" hidden="1"/>
    <cellStyle name="Followed Hyperlink" xfId="4441" builtinId="9" hidden="1"/>
    <cellStyle name="Followed Hyperlink" xfId="4443" builtinId="9" hidden="1"/>
    <cellStyle name="Followed Hyperlink" xfId="4445" builtinId="9" hidden="1"/>
    <cellStyle name="Followed Hyperlink" xfId="4447" builtinId="9" hidden="1"/>
    <cellStyle name="Followed Hyperlink" xfId="4449" builtinId="9" hidden="1"/>
    <cellStyle name="Followed Hyperlink" xfId="4451" builtinId="9" hidden="1"/>
    <cellStyle name="Followed Hyperlink" xfId="4453" builtinId="9" hidden="1"/>
    <cellStyle name="Followed Hyperlink" xfId="4455" builtinId="9" hidden="1"/>
    <cellStyle name="Followed Hyperlink" xfId="4457" builtinId="9" hidden="1"/>
    <cellStyle name="Followed Hyperlink" xfId="4459" builtinId="9" hidden="1"/>
    <cellStyle name="Followed Hyperlink" xfId="4461" builtinId="9" hidden="1"/>
    <cellStyle name="Followed Hyperlink" xfId="4463" builtinId="9" hidden="1"/>
    <cellStyle name="Followed Hyperlink" xfId="4465" builtinId="9" hidden="1"/>
    <cellStyle name="Followed Hyperlink" xfId="4467" builtinId="9" hidden="1"/>
    <cellStyle name="Followed Hyperlink" xfId="4469" builtinId="9" hidden="1"/>
    <cellStyle name="Followed Hyperlink" xfId="4471" builtinId="9" hidden="1"/>
    <cellStyle name="Followed Hyperlink" xfId="4473" builtinId="9" hidden="1"/>
    <cellStyle name="Followed Hyperlink" xfId="4475" builtinId="9" hidden="1"/>
    <cellStyle name="Followed Hyperlink" xfId="4477" builtinId="9" hidden="1"/>
    <cellStyle name="Followed Hyperlink" xfId="4479" builtinId="9" hidden="1"/>
    <cellStyle name="Followed Hyperlink" xfId="4481" builtinId="9" hidden="1"/>
    <cellStyle name="Followed Hyperlink" xfId="4483" builtinId="9" hidden="1"/>
    <cellStyle name="Followed Hyperlink" xfId="4485" builtinId="9" hidden="1"/>
    <cellStyle name="Followed Hyperlink" xfId="4487" builtinId="9" hidden="1"/>
    <cellStyle name="Followed Hyperlink" xfId="4489" builtinId="9" hidden="1"/>
    <cellStyle name="Followed Hyperlink" xfId="4491" builtinId="9" hidden="1"/>
    <cellStyle name="Followed Hyperlink" xfId="4493" builtinId="9" hidden="1"/>
    <cellStyle name="Followed Hyperlink" xfId="4495" builtinId="9" hidden="1"/>
    <cellStyle name="Followed Hyperlink" xfId="4497" builtinId="9" hidden="1"/>
    <cellStyle name="Followed Hyperlink" xfId="4499" builtinId="9" hidden="1"/>
    <cellStyle name="Followed Hyperlink" xfId="4501" builtinId="9" hidden="1"/>
    <cellStyle name="Followed Hyperlink" xfId="4503" builtinId="9" hidden="1"/>
    <cellStyle name="Followed Hyperlink" xfId="4505" builtinId="9" hidden="1"/>
    <cellStyle name="Followed Hyperlink" xfId="4507" builtinId="9" hidden="1"/>
    <cellStyle name="Followed Hyperlink" xfId="4509" builtinId="9" hidden="1"/>
    <cellStyle name="Followed Hyperlink" xfId="4511" builtinId="9" hidden="1"/>
    <cellStyle name="Followed Hyperlink" xfId="4513" builtinId="9" hidden="1"/>
    <cellStyle name="Followed Hyperlink" xfId="4515" builtinId="9" hidden="1"/>
    <cellStyle name="Followed Hyperlink" xfId="4517" builtinId="9" hidden="1"/>
    <cellStyle name="Followed Hyperlink" xfId="4519" builtinId="9" hidden="1"/>
    <cellStyle name="Followed Hyperlink" xfId="4521" builtinId="9" hidden="1"/>
    <cellStyle name="Followed Hyperlink" xfId="4523" builtinId="9" hidden="1"/>
    <cellStyle name="Followed Hyperlink" xfId="4525" builtinId="9" hidden="1"/>
    <cellStyle name="Followed Hyperlink" xfId="4527" builtinId="9" hidden="1"/>
    <cellStyle name="Followed Hyperlink" xfId="4529" builtinId="9" hidden="1"/>
    <cellStyle name="Followed Hyperlink" xfId="4531" builtinId="9" hidden="1"/>
    <cellStyle name="Followed Hyperlink" xfId="4533" builtinId="9" hidden="1"/>
    <cellStyle name="Followed Hyperlink" xfId="4535" builtinId="9" hidden="1"/>
    <cellStyle name="Followed Hyperlink" xfId="4537" builtinId="9" hidden="1"/>
    <cellStyle name="Followed Hyperlink" xfId="4539" builtinId="9" hidden="1"/>
    <cellStyle name="Followed Hyperlink" xfId="4541" builtinId="9" hidden="1"/>
    <cellStyle name="Followed Hyperlink" xfId="4543" builtinId="9" hidden="1"/>
    <cellStyle name="Followed Hyperlink" xfId="4545" builtinId="9" hidden="1"/>
    <cellStyle name="Followed Hyperlink" xfId="4547" builtinId="9" hidden="1"/>
    <cellStyle name="Followed Hyperlink" xfId="4549" builtinId="9" hidden="1"/>
    <cellStyle name="Followed Hyperlink" xfId="4551" builtinId="9" hidden="1"/>
    <cellStyle name="Followed Hyperlink" xfId="4553" builtinId="9" hidden="1"/>
    <cellStyle name="Followed Hyperlink" xfId="4555" builtinId="9" hidden="1"/>
    <cellStyle name="Followed Hyperlink" xfId="4557" builtinId="9" hidden="1"/>
    <cellStyle name="Followed Hyperlink" xfId="4559" builtinId="9" hidden="1"/>
    <cellStyle name="Followed Hyperlink" xfId="4561" builtinId="9" hidden="1"/>
    <cellStyle name="Followed Hyperlink" xfId="4563" builtinId="9" hidden="1"/>
    <cellStyle name="Followed Hyperlink" xfId="4565" builtinId="9" hidden="1"/>
    <cellStyle name="Followed Hyperlink" xfId="4567" builtinId="9" hidden="1"/>
    <cellStyle name="Followed Hyperlink" xfId="4569" builtinId="9" hidden="1"/>
    <cellStyle name="Followed Hyperlink" xfId="4571" builtinId="9" hidden="1"/>
    <cellStyle name="Followed Hyperlink" xfId="4573" builtinId="9" hidden="1"/>
    <cellStyle name="Followed Hyperlink" xfId="4575" builtinId="9" hidden="1"/>
    <cellStyle name="Followed Hyperlink" xfId="4577" builtinId="9" hidden="1"/>
    <cellStyle name="Followed Hyperlink" xfId="4579" builtinId="9" hidden="1"/>
    <cellStyle name="Followed Hyperlink" xfId="4581" builtinId="9" hidden="1"/>
    <cellStyle name="Followed Hyperlink" xfId="4583" builtinId="9" hidden="1"/>
    <cellStyle name="Followed Hyperlink" xfId="4585" builtinId="9" hidden="1"/>
    <cellStyle name="Followed Hyperlink" xfId="4587" builtinId="9" hidden="1"/>
    <cellStyle name="Followed Hyperlink" xfId="4589" builtinId="9" hidden="1"/>
    <cellStyle name="Followed Hyperlink" xfId="4591" builtinId="9" hidden="1"/>
    <cellStyle name="Followed Hyperlink" xfId="4593" builtinId="9" hidden="1"/>
    <cellStyle name="Followed Hyperlink" xfId="4595" builtinId="9" hidden="1"/>
    <cellStyle name="Followed Hyperlink" xfId="4597" builtinId="9" hidden="1"/>
    <cellStyle name="Followed Hyperlink" xfId="4599" builtinId="9" hidden="1"/>
    <cellStyle name="Followed Hyperlink" xfId="4601" builtinId="9" hidden="1"/>
    <cellStyle name="Followed Hyperlink" xfId="4603" builtinId="9" hidden="1"/>
    <cellStyle name="Followed Hyperlink" xfId="4605" builtinId="9" hidden="1"/>
    <cellStyle name="Followed Hyperlink" xfId="4607" builtinId="9" hidden="1"/>
    <cellStyle name="Followed Hyperlink" xfId="4609" builtinId="9" hidden="1"/>
    <cellStyle name="Followed Hyperlink" xfId="4611" builtinId="9" hidden="1"/>
    <cellStyle name="Followed Hyperlink" xfId="4613" builtinId="9" hidden="1"/>
    <cellStyle name="Followed Hyperlink" xfId="4615" builtinId="9" hidden="1"/>
    <cellStyle name="Followed Hyperlink" xfId="4617" builtinId="9" hidden="1"/>
    <cellStyle name="Followed Hyperlink" xfId="4619" builtinId="9" hidden="1"/>
    <cellStyle name="Followed Hyperlink" xfId="4621" builtinId="9" hidden="1"/>
    <cellStyle name="Followed Hyperlink" xfId="4623" builtinId="9" hidden="1"/>
    <cellStyle name="Followed Hyperlink" xfId="4625" builtinId="9" hidden="1"/>
    <cellStyle name="Followed Hyperlink" xfId="4627" builtinId="9" hidden="1"/>
    <cellStyle name="Followed Hyperlink" xfId="4629" builtinId="9" hidden="1"/>
    <cellStyle name="Followed Hyperlink" xfId="4631" builtinId="9" hidden="1"/>
    <cellStyle name="Followed Hyperlink" xfId="4633" builtinId="9" hidden="1"/>
    <cellStyle name="Followed Hyperlink" xfId="4635" builtinId="9" hidden="1"/>
    <cellStyle name="Followed Hyperlink" xfId="4637" builtinId="9" hidden="1"/>
    <cellStyle name="Followed Hyperlink" xfId="4639" builtinId="9" hidden="1"/>
    <cellStyle name="Followed Hyperlink" xfId="4641" builtinId="9" hidden="1"/>
    <cellStyle name="Followed Hyperlink" xfId="4643" builtinId="9" hidden="1"/>
    <cellStyle name="Followed Hyperlink" xfId="4645" builtinId="9" hidden="1"/>
    <cellStyle name="Followed Hyperlink" xfId="4647" builtinId="9" hidden="1"/>
    <cellStyle name="Followed Hyperlink" xfId="4649" builtinId="9" hidden="1"/>
    <cellStyle name="Followed Hyperlink" xfId="4651" builtinId="9" hidden="1"/>
    <cellStyle name="Followed Hyperlink" xfId="4653" builtinId="9" hidden="1"/>
    <cellStyle name="Followed Hyperlink" xfId="4655" builtinId="9" hidden="1"/>
    <cellStyle name="Followed Hyperlink" xfId="4657" builtinId="9" hidden="1"/>
    <cellStyle name="Followed Hyperlink" xfId="4659" builtinId="9" hidden="1"/>
    <cellStyle name="Followed Hyperlink" xfId="4661" builtinId="9" hidden="1"/>
    <cellStyle name="Followed Hyperlink" xfId="4663" builtinId="9" hidden="1"/>
    <cellStyle name="Followed Hyperlink" xfId="4665" builtinId="9" hidden="1"/>
    <cellStyle name="Followed Hyperlink" xfId="4667" builtinId="9" hidden="1"/>
    <cellStyle name="Followed Hyperlink" xfId="4669" builtinId="9" hidden="1"/>
    <cellStyle name="Followed Hyperlink" xfId="4671" builtinId="9" hidden="1"/>
    <cellStyle name="Followed Hyperlink" xfId="4673" builtinId="9" hidden="1"/>
    <cellStyle name="Followed Hyperlink" xfId="4675" builtinId="9" hidden="1"/>
    <cellStyle name="Followed Hyperlink" xfId="4677" builtinId="9" hidden="1"/>
    <cellStyle name="Followed Hyperlink" xfId="4679" builtinId="9" hidden="1"/>
    <cellStyle name="Followed Hyperlink" xfId="4681" builtinId="9" hidden="1"/>
    <cellStyle name="Followed Hyperlink" xfId="4683" builtinId="9" hidden="1"/>
    <cellStyle name="Followed Hyperlink" xfId="4685" builtinId="9" hidden="1"/>
    <cellStyle name="Followed Hyperlink" xfId="4687" builtinId="9" hidden="1"/>
    <cellStyle name="Followed Hyperlink" xfId="4689" builtinId="9" hidden="1"/>
    <cellStyle name="Followed Hyperlink" xfId="4691" builtinId="9" hidden="1"/>
    <cellStyle name="Followed Hyperlink" xfId="4693" builtinId="9" hidden="1"/>
    <cellStyle name="Followed Hyperlink" xfId="4695" builtinId="9" hidden="1"/>
    <cellStyle name="Followed Hyperlink" xfId="4697" builtinId="9" hidden="1"/>
    <cellStyle name="Followed Hyperlink" xfId="4699" builtinId="9" hidden="1"/>
    <cellStyle name="Followed Hyperlink" xfId="4701" builtinId="9" hidden="1"/>
    <cellStyle name="Followed Hyperlink" xfId="4703" builtinId="9" hidden="1"/>
    <cellStyle name="Followed Hyperlink" xfId="4705" builtinId="9" hidden="1"/>
    <cellStyle name="Followed Hyperlink" xfId="4707" builtinId="9" hidden="1"/>
    <cellStyle name="Followed Hyperlink" xfId="4709" builtinId="9" hidden="1"/>
    <cellStyle name="Followed Hyperlink" xfId="4711" builtinId="9" hidden="1"/>
    <cellStyle name="Followed Hyperlink" xfId="4713" builtinId="9" hidden="1"/>
    <cellStyle name="Followed Hyperlink" xfId="4715" builtinId="9" hidden="1"/>
    <cellStyle name="Followed Hyperlink" xfId="4717" builtinId="9" hidden="1"/>
    <cellStyle name="Followed Hyperlink" xfId="4719" builtinId="9" hidden="1"/>
    <cellStyle name="Followed Hyperlink" xfId="4721" builtinId="9" hidden="1"/>
    <cellStyle name="Followed Hyperlink" xfId="4723" builtinId="9" hidden="1"/>
    <cellStyle name="Followed Hyperlink" xfId="4725" builtinId="9" hidden="1"/>
    <cellStyle name="Followed Hyperlink" xfId="4727" builtinId="9" hidden="1"/>
    <cellStyle name="Followed Hyperlink" xfId="4729" builtinId="9" hidden="1"/>
    <cellStyle name="Followed Hyperlink" xfId="4731" builtinId="9" hidden="1"/>
    <cellStyle name="Followed Hyperlink" xfId="4733" builtinId="9" hidden="1"/>
    <cellStyle name="Followed Hyperlink" xfId="4735" builtinId="9" hidden="1"/>
    <cellStyle name="Followed Hyperlink" xfId="4737" builtinId="9" hidden="1"/>
    <cellStyle name="Followed Hyperlink" xfId="4739" builtinId="9" hidden="1"/>
    <cellStyle name="Followed Hyperlink" xfId="4741" builtinId="9" hidden="1"/>
    <cellStyle name="Followed Hyperlink" xfId="4743" builtinId="9" hidden="1"/>
    <cellStyle name="Followed Hyperlink" xfId="4745" builtinId="9" hidden="1"/>
    <cellStyle name="Followed Hyperlink" xfId="4747" builtinId="9" hidden="1"/>
    <cellStyle name="Followed Hyperlink" xfId="4749" builtinId="9" hidden="1"/>
    <cellStyle name="Followed Hyperlink" xfId="4751" builtinId="9" hidden="1"/>
    <cellStyle name="Followed Hyperlink" xfId="4753" builtinId="9" hidden="1"/>
    <cellStyle name="Followed Hyperlink" xfId="4755" builtinId="9" hidden="1"/>
    <cellStyle name="Followed Hyperlink" xfId="4757" builtinId="9" hidden="1"/>
    <cellStyle name="Followed Hyperlink" xfId="4759" builtinId="9" hidden="1"/>
    <cellStyle name="Followed Hyperlink" xfId="4761" builtinId="9" hidden="1"/>
    <cellStyle name="Followed Hyperlink" xfId="4763" builtinId="9" hidden="1"/>
    <cellStyle name="Followed Hyperlink" xfId="4765" builtinId="9" hidden="1"/>
    <cellStyle name="Followed Hyperlink" xfId="4767" builtinId="9" hidden="1"/>
    <cellStyle name="Followed Hyperlink" xfId="4769" builtinId="9" hidden="1"/>
    <cellStyle name="Followed Hyperlink" xfId="4771" builtinId="9" hidden="1"/>
    <cellStyle name="Followed Hyperlink" xfId="4773" builtinId="9" hidden="1"/>
    <cellStyle name="Followed Hyperlink" xfId="4775" builtinId="9" hidden="1"/>
    <cellStyle name="Followed Hyperlink" xfId="4777" builtinId="9" hidden="1"/>
    <cellStyle name="Followed Hyperlink" xfId="4779" builtinId="9" hidden="1"/>
    <cellStyle name="Followed Hyperlink" xfId="4781" builtinId="9" hidden="1"/>
    <cellStyle name="Followed Hyperlink" xfId="4783" builtinId="9" hidden="1"/>
    <cellStyle name="Followed Hyperlink" xfId="4785" builtinId="9" hidden="1"/>
    <cellStyle name="Followed Hyperlink" xfId="4787" builtinId="9" hidden="1"/>
    <cellStyle name="Followed Hyperlink" xfId="4789" builtinId="9" hidden="1"/>
    <cellStyle name="Followed Hyperlink" xfId="4791" builtinId="9" hidden="1"/>
    <cellStyle name="Followed Hyperlink" xfId="4793" builtinId="9" hidden="1"/>
    <cellStyle name="Followed Hyperlink" xfId="4795" builtinId="9" hidden="1"/>
    <cellStyle name="Followed Hyperlink" xfId="4797" builtinId="9" hidden="1"/>
    <cellStyle name="Followed Hyperlink" xfId="4799" builtinId="9" hidden="1"/>
    <cellStyle name="Followed Hyperlink" xfId="4801" builtinId="9" hidden="1"/>
    <cellStyle name="Followed Hyperlink" xfId="4803" builtinId="9" hidden="1"/>
    <cellStyle name="Followed Hyperlink" xfId="4805" builtinId="9" hidden="1"/>
    <cellStyle name="Followed Hyperlink" xfId="4807" builtinId="9" hidden="1"/>
    <cellStyle name="Followed Hyperlink" xfId="4809" builtinId="9" hidden="1"/>
    <cellStyle name="Followed Hyperlink" xfId="4811" builtinId="9" hidden="1"/>
    <cellStyle name="Followed Hyperlink" xfId="4813" builtinId="9" hidden="1"/>
    <cellStyle name="Followed Hyperlink" xfId="4815" builtinId="9" hidden="1"/>
    <cellStyle name="Followed Hyperlink" xfId="4817" builtinId="9" hidden="1"/>
    <cellStyle name="Followed Hyperlink" xfId="4819" builtinId="9" hidden="1"/>
    <cellStyle name="Followed Hyperlink" xfId="4821" builtinId="9" hidden="1"/>
    <cellStyle name="Followed Hyperlink" xfId="4823" builtinId="9" hidden="1"/>
    <cellStyle name="Followed Hyperlink" xfId="4825" builtinId="9" hidden="1"/>
    <cellStyle name="Followed Hyperlink" xfId="4827" builtinId="9" hidden="1"/>
    <cellStyle name="Followed Hyperlink" xfId="4829" builtinId="9" hidden="1"/>
    <cellStyle name="Followed Hyperlink" xfId="4831" builtinId="9" hidden="1"/>
    <cellStyle name="Followed Hyperlink" xfId="4833" builtinId="9" hidden="1"/>
    <cellStyle name="Followed Hyperlink" xfId="4835" builtinId="9" hidden="1"/>
    <cellStyle name="Followed Hyperlink" xfId="4837" builtinId="9" hidden="1"/>
    <cellStyle name="Followed Hyperlink" xfId="4839" builtinId="9" hidden="1"/>
    <cellStyle name="Followed Hyperlink" xfId="4841" builtinId="9" hidden="1"/>
    <cellStyle name="Followed Hyperlink" xfId="4843" builtinId="9" hidden="1"/>
    <cellStyle name="Followed Hyperlink" xfId="4845" builtinId="9" hidden="1"/>
    <cellStyle name="Followed Hyperlink" xfId="4847" builtinId="9" hidden="1"/>
    <cellStyle name="Followed Hyperlink" xfId="4849" builtinId="9" hidden="1"/>
    <cellStyle name="Followed Hyperlink" xfId="4851" builtinId="9" hidden="1"/>
    <cellStyle name="Followed Hyperlink" xfId="4853" builtinId="9" hidden="1"/>
    <cellStyle name="Followed Hyperlink" xfId="4855" builtinId="9" hidden="1"/>
    <cellStyle name="Followed Hyperlink" xfId="4857" builtinId="9" hidden="1"/>
    <cellStyle name="Followed Hyperlink" xfId="4859" builtinId="9" hidden="1"/>
    <cellStyle name="Followed Hyperlink" xfId="4861" builtinId="9" hidden="1"/>
    <cellStyle name="Followed Hyperlink" xfId="4863" builtinId="9" hidden="1"/>
    <cellStyle name="Followed Hyperlink" xfId="4865" builtinId="9" hidden="1"/>
    <cellStyle name="Followed Hyperlink" xfId="4867" builtinId="9" hidden="1"/>
    <cellStyle name="Followed Hyperlink" xfId="4869" builtinId="9" hidden="1"/>
    <cellStyle name="Followed Hyperlink" xfId="4871" builtinId="9" hidden="1"/>
    <cellStyle name="Followed Hyperlink" xfId="4873" builtinId="9" hidden="1"/>
    <cellStyle name="Followed Hyperlink" xfId="4875" builtinId="9" hidden="1"/>
    <cellStyle name="Followed Hyperlink" xfId="4877" builtinId="9" hidden="1"/>
    <cellStyle name="Followed Hyperlink" xfId="4879" builtinId="9" hidden="1"/>
    <cellStyle name="Followed Hyperlink" xfId="4881" builtinId="9" hidden="1"/>
    <cellStyle name="Followed Hyperlink" xfId="4883" builtinId="9" hidden="1"/>
    <cellStyle name="Followed Hyperlink" xfId="4885" builtinId="9" hidden="1"/>
    <cellStyle name="Followed Hyperlink" xfId="4887" builtinId="9" hidden="1"/>
    <cellStyle name="Followed Hyperlink" xfId="4889" builtinId="9" hidden="1"/>
    <cellStyle name="Followed Hyperlink" xfId="4891" builtinId="9" hidden="1"/>
    <cellStyle name="Followed Hyperlink" xfId="4893" builtinId="9" hidden="1"/>
    <cellStyle name="Followed Hyperlink" xfId="4895" builtinId="9" hidden="1"/>
    <cellStyle name="Followed Hyperlink" xfId="4897" builtinId="9" hidden="1"/>
    <cellStyle name="Followed Hyperlink" xfId="4899" builtinId="9" hidden="1"/>
    <cellStyle name="Followed Hyperlink" xfId="4901" builtinId="9" hidden="1"/>
    <cellStyle name="Followed Hyperlink" xfId="4903" builtinId="9" hidden="1"/>
    <cellStyle name="Followed Hyperlink" xfId="4905" builtinId="9" hidden="1"/>
    <cellStyle name="Followed Hyperlink" xfId="4907" builtinId="9" hidden="1"/>
    <cellStyle name="Followed Hyperlink" xfId="4909" builtinId="9" hidden="1"/>
    <cellStyle name="Followed Hyperlink" xfId="4911" builtinId="9" hidden="1"/>
    <cellStyle name="Followed Hyperlink" xfId="4913" builtinId="9" hidden="1"/>
    <cellStyle name="Followed Hyperlink" xfId="4915" builtinId="9" hidden="1"/>
    <cellStyle name="Followed Hyperlink" xfId="4917" builtinId="9" hidden="1"/>
    <cellStyle name="Followed Hyperlink" xfId="4919" builtinId="9" hidden="1"/>
    <cellStyle name="Followed Hyperlink" xfId="4921" builtinId="9" hidden="1"/>
    <cellStyle name="Followed Hyperlink" xfId="4923" builtinId="9" hidden="1"/>
    <cellStyle name="Followed Hyperlink" xfId="4925" builtinId="9" hidden="1"/>
    <cellStyle name="Followed Hyperlink" xfId="4927" builtinId="9" hidden="1"/>
    <cellStyle name="Followed Hyperlink" xfId="4929" builtinId="9" hidden="1"/>
    <cellStyle name="Followed Hyperlink" xfId="4931" builtinId="9" hidden="1"/>
    <cellStyle name="Followed Hyperlink" xfId="4933" builtinId="9" hidden="1"/>
    <cellStyle name="Followed Hyperlink" xfId="4935" builtinId="9" hidden="1"/>
    <cellStyle name="Followed Hyperlink" xfId="4937" builtinId="9" hidden="1"/>
    <cellStyle name="Followed Hyperlink" xfId="4939" builtinId="9" hidden="1"/>
    <cellStyle name="Followed Hyperlink" xfId="4941" builtinId="9" hidden="1"/>
    <cellStyle name="Followed Hyperlink" xfId="4943" builtinId="9" hidden="1"/>
    <cellStyle name="Followed Hyperlink" xfId="4945" builtinId="9" hidden="1"/>
    <cellStyle name="Followed Hyperlink" xfId="4947" builtinId="9" hidden="1"/>
    <cellStyle name="Followed Hyperlink" xfId="4949" builtinId="9" hidden="1"/>
    <cellStyle name="Followed Hyperlink" xfId="4951" builtinId="9" hidden="1"/>
    <cellStyle name="Followed Hyperlink" xfId="4953" builtinId="9" hidden="1"/>
    <cellStyle name="Followed Hyperlink" xfId="4955" builtinId="9" hidden="1"/>
    <cellStyle name="Followed Hyperlink" xfId="4957" builtinId="9" hidden="1"/>
    <cellStyle name="Followed Hyperlink" xfId="4959" builtinId="9" hidden="1"/>
    <cellStyle name="Followed Hyperlink" xfId="4961" builtinId="9" hidden="1"/>
    <cellStyle name="Followed Hyperlink" xfId="4963" builtinId="9" hidden="1"/>
    <cellStyle name="Followed Hyperlink" xfId="4965" builtinId="9" hidden="1"/>
    <cellStyle name="Followed Hyperlink" xfId="4967" builtinId="9" hidden="1"/>
    <cellStyle name="Followed Hyperlink" xfId="4969" builtinId="9" hidden="1"/>
    <cellStyle name="Followed Hyperlink" xfId="4971" builtinId="9" hidden="1"/>
    <cellStyle name="Followed Hyperlink" xfId="4973" builtinId="9" hidden="1"/>
    <cellStyle name="Followed Hyperlink" xfId="4975" builtinId="9" hidden="1"/>
    <cellStyle name="Followed Hyperlink" xfId="4977" builtinId="9" hidden="1"/>
    <cellStyle name="Followed Hyperlink" xfId="4979" builtinId="9" hidden="1"/>
    <cellStyle name="Followed Hyperlink" xfId="4981" builtinId="9" hidden="1"/>
    <cellStyle name="Followed Hyperlink" xfId="4983" builtinId="9" hidden="1"/>
    <cellStyle name="Followed Hyperlink" xfId="4985" builtinId="9" hidden="1"/>
    <cellStyle name="Followed Hyperlink" xfId="4987" builtinId="9" hidden="1"/>
    <cellStyle name="Followed Hyperlink" xfId="4989" builtinId="9" hidden="1"/>
    <cellStyle name="Followed Hyperlink" xfId="4991" builtinId="9" hidden="1"/>
    <cellStyle name="Followed Hyperlink" xfId="4993" builtinId="9" hidden="1"/>
    <cellStyle name="Followed Hyperlink" xfId="4995" builtinId="9" hidden="1"/>
    <cellStyle name="Followed Hyperlink" xfId="4997" builtinId="9" hidden="1"/>
    <cellStyle name="Followed Hyperlink" xfId="4999" builtinId="9" hidden="1"/>
    <cellStyle name="Followed Hyperlink" xfId="5001" builtinId="9" hidden="1"/>
    <cellStyle name="Followed Hyperlink" xfId="5003" builtinId="9" hidden="1"/>
    <cellStyle name="Followed Hyperlink" xfId="5005" builtinId="9" hidden="1"/>
    <cellStyle name="Followed Hyperlink" xfId="5007" builtinId="9" hidden="1"/>
    <cellStyle name="Followed Hyperlink" xfId="5009" builtinId="9" hidden="1"/>
    <cellStyle name="Followed Hyperlink" xfId="5011" builtinId="9" hidden="1"/>
    <cellStyle name="Followed Hyperlink" xfId="5013" builtinId="9" hidden="1"/>
    <cellStyle name="Followed Hyperlink" xfId="5015" builtinId="9" hidden="1"/>
    <cellStyle name="Followed Hyperlink" xfId="5017" builtinId="9" hidden="1"/>
    <cellStyle name="Followed Hyperlink" xfId="5019" builtinId="9" hidden="1"/>
    <cellStyle name="Followed Hyperlink" xfId="5021" builtinId="9" hidden="1"/>
    <cellStyle name="Followed Hyperlink" xfId="5023" builtinId="9" hidden="1"/>
    <cellStyle name="Followed Hyperlink" xfId="5025" builtinId="9" hidden="1"/>
    <cellStyle name="Followed Hyperlink" xfId="5027" builtinId="9" hidden="1"/>
    <cellStyle name="Followed Hyperlink" xfId="5029" builtinId="9" hidden="1"/>
    <cellStyle name="Followed Hyperlink" xfId="5031" builtinId="9" hidden="1"/>
    <cellStyle name="Followed Hyperlink" xfId="5033" builtinId="9" hidden="1"/>
    <cellStyle name="Followed Hyperlink" xfId="5035" builtinId="9" hidden="1"/>
    <cellStyle name="Followed Hyperlink" xfId="5037" builtinId="9" hidden="1"/>
    <cellStyle name="Followed Hyperlink" xfId="5039" builtinId="9" hidden="1"/>
    <cellStyle name="Followed Hyperlink" xfId="5041" builtinId="9" hidden="1"/>
    <cellStyle name="Followed Hyperlink" xfId="5043" builtinId="9" hidden="1"/>
    <cellStyle name="Followed Hyperlink" xfId="5045" builtinId="9" hidden="1"/>
    <cellStyle name="Followed Hyperlink" xfId="5047" builtinId="9" hidden="1"/>
    <cellStyle name="Followed Hyperlink" xfId="5049" builtinId="9" hidden="1"/>
    <cellStyle name="Followed Hyperlink" xfId="5051" builtinId="9" hidden="1"/>
    <cellStyle name="Followed Hyperlink" xfId="5053" builtinId="9" hidden="1"/>
    <cellStyle name="Followed Hyperlink" xfId="5055" builtinId="9" hidden="1"/>
    <cellStyle name="Followed Hyperlink" xfId="5057" builtinId="9" hidden="1"/>
    <cellStyle name="Followed Hyperlink" xfId="5059" builtinId="9" hidden="1"/>
    <cellStyle name="Followed Hyperlink" xfId="5061" builtinId="9" hidden="1"/>
    <cellStyle name="Followed Hyperlink" xfId="5063" builtinId="9" hidden="1"/>
    <cellStyle name="Followed Hyperlink" xfId="5065" builtinId="9" hidden="1"/>
    <cellStyle name="Followed Hyperlink" xfId="5067" builtinId="9" hidden="1"/>
    <cellStyle name="Followed Hyperlink" xfId="5069" builtinId="9" hidden="1"/>
    <cellStyle name="Followed Hyperlink" xfId="5071" builtinId="9" hidden="1"/>
    <cellStyle name="Followed Hyperlink" xfId="5073" builtinId="9" hidden="1"/>
    <cellStyle name="Followed Hyperlink" xfId="5075" builtinId="9" hidden="1"/>
    <cellStyle name="Followed Hyperlink" xfId="5077" builtinId="9" hidden="1"/>
    <cellStyle name="Followed Hyperlink" xfId="5079" builtinId="9" hidden="1"/>
    <cellStyle name="Followed Hyperlink" xfId="5081" builtinId="9" hidden="1"/>
    <cellStyle name="Followed Hyperlink" xfId="5083" builtinId="9" hidden="1"/>
    <cellStyle name="Followed Hyperlink" xfId="5085" builtinId="9" hidden="1"/>
    <cellStyle name="Followed Hyperlink" xfId="5087" builtinId="9" hidden="1"/>
    <cellStyle name="Followed Hyperlink" xfId="5089" builtinId="9" hidden="1"/>
    <cellStyle name="Followed Hyperlink" xfId="5091" builtinId="9" hidden="1"/>
    <cellStyle name="Followed Hyperlink" xfId="5093" builtinId="9" hidden="1"/>
    <cellStyle name="Followed Hyperlink" xfId="5095" builtinId="9" hidden="1"/>
    <cellStyle name="Followed Hyperlink" xfId="5097" builtinId="9" hidden="1"/>
    <cellStyle name="Followed Hyperlink" xfId="5099" builtinId="9" hidden="1"/>
    <cellStyle name="Followed Hyperlink" xfId="5101" builtinId="9" hidden="1"/>
    <cellStyle name="Followed Hyperlink" xfId="5103" builtinId="9" hidden="1"/>
    <cellStyle name="Followed Hyperlink" xfId="5105" builtinId="9" hidden="1"/>
    <cellStyle name="Followed Hyperlink" xfId="5107" builtinId="9" hidden="1"/>
    <cellStyle name="Followed Hyperlink" xfId="5109" builtinId="9" hidden="1"/>
    <cellStyle name="Followed Hyperlink" xfId="5111" builtinId="9" hidden="1"/>
    <cellStyle name="Followed Hyperlink" xfId="5113" builtinId="9" hidden="1"/>
    <cellStyle name="Followed Hyperlink" xfId="5115" builtinId="9" hidden="1"/>
    <cellStyle name="Followed Hyperlink" xfId="5117" builtinId="9" hidden="1"/>
    <cellStyle name="Followed Hyperlink" xfId="5119" builtinId="9" hidden="1"/>
    <cellStyle name="Followed Hyperlink" xfId="5121" builtinId="9" hidden="1"/>
    <cellStyle name="Followed Hyperlink" xfId="5123" builtinId="9" hidden="1"/>
    <cellStyle name="Followed Hyperlink" xfId="5125" builtinId="9" hidden="1"/>
    <cellStyle name="Followed Hyperlink" xfId="5127" builtinId="9" hidden="1"/>
    <cellStyle name="Followed Hyperlink" xfId="5129" builtinId="9" hidden="1"/>
    <cellStyle name="Followed Hyperlink" xfId="5131" builtinId="9" hidden="1"/>
    <cellStyle name="Followed Hyperlink" xfId="5133" builtinId="9" hidden="1"/>
    <cellStyle name="Followed Hyperlink" xfId="5135" builtinId="9" hidden="1"/>
    <cellStyle name="Followed Hyperlink" xfId="5137" builtinId="9" hidden="1"/>
    <cellStyle name="Followed Hyperlink" xfId="5139" builtinId="9" hidden="1"/>
    <cellStyle name="Followed Hyperlink" xfId="5141" builtinId="9" hidden="1"/>
    <cellStyle name="Followed Hyperlink" xfId="5143" builtinId="9" hidden="1"/>
    <cellStyle name="Followed Hyperlink" xfId="5145" builtinId="9" hidden="1"/>
    <cellStyle name="Followed Hyperlink" xfId="5147" builtinId="9" hidden="1"/>
    <cellStyle name="Followed Hyperlink" xfId="5149" builtinId="9" hidden="1"/>
    <cellStyle name="Followed Hyperlink" xfId="5151" builtinId="9" hidden="1"/>
    <cellStyle name="Followed Hyperlink" xfId="5153" builtinId="9" hidden="1"/>
    <cellStyle name="Followed Hyperlink" xfId="5155" builtinId="9" hidden="1"/>
    <cellStyle name="Followed Hyperlink" xfId="5157" builtinId="9" hidden="1"/>
    <cellStyle name="Followed Hyperlink" xfId="5159" builtinId="9" hidden="1"/>
    <cellStyle name="Followed Hyperlink" xfId="5161" builtinId="9" hidden="1"/>
    <cellStyle name="Followed Hyperlink" xfId="5163" builtinId="9" hidden="1"/>
    <cellStyle name="Followed Hyperlink" xfId="5165" builtinId="9" hidden="1"/>
    <cellStyle name="Followed Hyperlink" xfId="5167" builtinId="9" hidden="1"/>
    <cellStyle name="Followed Hyperlink" xfId="5169" builtinId="9" hidden="1"/>
    <cellStyle name="Followed Hyperlink" xfId="5171" builtinId="9" hidden="1"/>
    <cellStyle name="Followed Hyperlink" xfId="5173" builtinId="9" hidden="1"/>
    <cellStyle name="Followed Hyperlink" xfId="5175" builtinId="9" hidden="1"/>
    <cellStyle name="Followed Hyperlink" xfId="5177" builtinId="9" hidden="1"/>
    <cellStyle name="Followed Hyperlink" xfId="5179" builtinId="9" hidden="1"/>
    <cellStyle name="Followed Hyperlink" xfId="5181" builtinId="9" hidden="1"/>
    <cellStyle name="Followed Hyperlink" xfId="5183" builtinId="9" hidden="1"/>
    <cellStyle name="Followed Hyperlink" xfId="5185" builtinId="9" hidden="1"/>
    <cellStyle name="Followed Hyperlink" xfId="5187" builtinId="9" hidden="1"/>
    <cellStyle name="Followed Hyperlink" xfId="5189" builtinId="9" hidden="1"/>
    <cellStyle name="Followed Hyperlink" xfId="5191" builtinId="9" hidden="1"/>
    <cellStyle name="Followed Hyperlink" xfId="5193" builtinId="9" hidden="1"/>
    <cellStyle name="Followed Hyperlink" xfId="5195" builtinId="9" hidden="1"/>
    <cellStyle name="Followed Hyperlink" xfId="5197" builtinId="9" hidden="1"/>
    <cellStyle name="Followed Hyperlink" xfId="5199" builtinId="9" hidden="1"/>
    <cellStyle name="Followed Hyperlink" xfId="5201" builtinId="9" hidden="1"/>
    <cellStyle name="Followed Hyperlink" xfId="5203" builtinId="9" hidden="1"/>
    <cellStyle name="Followed Hyperlink" xfId="5205" builtinId="9" hidden="1"/>
    <cellStyle name="Followed Hyperlink" xfId="5207" builtinId="9" hidden="1"/>
    <cellStyle name="Followed Hyperlink" xfId="5209" builtinId="9" hidden="1"/>
    <cellStyle name="Followed Hyperlink" xfId="5211" builtinId="9" hidden="1"/>
    <cellStyle name="Followed Hyperlink" xfId="5213" builtinId="9" hidden="1"/>
    <cellStyle name="Followed Hyperlink" xfId="5215" builtinId="9" hidden="1"/>
    <cellStyle name="Followed Hyperlink" xfId="5217" builtinId="9" hidden="1"/>
    <cellStyle name="Followed Hyperlink" xfId="5219" builtinId="9" hidden="1"/>
    <cellStyle name="Followed Hyperlink" xfId="5221" builtinId="9" hidden="1"/>
    <cellStyle name="Followed Hyperlink" xfId="5223" builtinId="9" hidden="1"/>
    <cellStyle name="Followed Hyperlink" xfId="5225" builtinId="9" hidden="1"/>
    <cellStyle name="Followed Hyperlink" xfId="5227" builtinId="9" hidden="1"/>
    <cellStyle name="Followed Hyperlink" xfId="5229" builtinId="9" hidden="1"/>
    <cellStyle name="Followed Hyperlink" xfId="5231" builtinId="9" hidden="1"/>
    <cellStyle name="Followed Hyperlink" xfId="5233" builtinId="9" hidden="1"/>
    <cellStyle name="Followed Hyperlink" xfId="5235" builtinId="9" hidden="1"/>
    <cellStyle name="Followed Hyperlink" xfId="5237" builtinId="9" hidden="1"/>
    <cellStyle name="Followed Hyperlink" xfId="5239" builtinId="9" hidden="1"/>
    <cellStyle name="Followed Hyperlink" xfId="5241" builtinId="9" hidden="1"/>
    <cellStyle name="Followed Hyperlink" xfId="5243" builtinId="9" hidden="1"/>
    <cellStyle name="Followed Hyperlink" xfId="5245" builtinId="9" hidden="1"/>
    <cellStyle name="Followed Hyperlink" xfId="5247" builtinId="9" hidden="1"/>
    <cellStyle name="Followed Hyperlink" xfId="5249" builtinId="9" hidden="1"/>
    <cellStyle name="Followed Hyperlink" xfId="5251" builtinId="9" hidden="1"/>
    <cellStyle name="Followed Hyperlink" xfId="5253" builtinId="9" hidden="1"/>
    <cellStyle name="Followed Hyperlink" xfId="5255" builtinId="9" hidden="1"/>
    <cellStyle name="Followed Hyperlink" xfId="5257" builtinId="9" hidden="1"/>
    <cellStyle name="Followed Hyperlink" xfId="5259" builtinId="9" hidden="1"/>
    <cellStyle name="Followed Hyperlink" xfId="5261" builtinId="9" hidden="1"/>
    <cellStyle name="Followed Hyperlink" xfId="5263" builtinId="9" hidden="1"/>
    <cellStyle name="Followed Hyperlink" xfId="5265" builtinId="9" hidden="1"/>
    <cellStyle name="Followed Hyperlink" xfId="5267" builtinId="9" hidden="1"/>
    <cellStyle name="Followed Hyperlink" xfId="5269" builtinId="9" hidden="1"/>
    <cellStyle name="Followed Hyperlink" xfId="5271" builtinId="9" hidden="1"/>
    <cellStyle name="Followed Hyperlink" xfId="5273" builtinId="9" hidden="1"/>
    <cellStyle name="Followed Hyperlink" xfId="5275" builtinId="9" hidden="1"/>
    <cellStyle name="Followed Hyperlink" xfId="5277" builtinId="9" hidden="1"/>
    <cellStyle name="Followed Hyperlink" xfId="5279" builtinId="9" hidden="1"/>
    <cellStyle name="Followed Hyperlink" xfId="5281" builtinId="9" hidden="1"/>
    <cellStyle name="Followed Hyperlink" xfId="5283" builtinId="9" hidden="1"/>
    <cellStyle name="Followed Hyperlink" xfId="5285" builtinId="9" hidden="1"/>
    <cellStyle name="Followed Hyperlink" xfId="5287" builtinId="9" hidden="1"/>
    <cellStyle name="Followed Hyperlink" xfId="5289" builtinId="9" hidden="1"/>
    <cellStyle name="Followed Hyperlink" xfId="5291" builtinId="9" hidden="1"/>
    <cellStyle name="Followed Hyperlink" xfId="5293" builtinId="9" hidden="1"/>
    <cellStyle name="Followed Hyperlink" xfId="5295" builtinId="9" hidden="1"/>
    <cellStyle name="Followed Hyperlink" xfId="5297" builtinId="9" hidden="1"/>
    <cellStyle name="Followed Hyperlink" xfId="5299" builtinId="9" hidden="1"/>
    <cellStyle name="Followed Hyperlink" xfId="5301" builtinId="9" hidden="1"/>
    <cellStyle name="Followed Hyperlink" xfId="5303" builtinId="9" hidden="1"/>
    <cellStyle name="Followed Hyperlink" xfId="5305" builtinId="9" hidden="1"/>
    <cellStyle name="Followed Hyperlink" xfId="5307" builtinId="9" hidden="1"/>
    <cellStyle name="Followed Hyperlink" xfId="5309" builtinId="9" hidden="1"/>
    <cellStyle name="Followed Hyperlink" xfId="5311" builtinId="9" hidden="1"/>
    <cellStyle name="Followed Hyperlink" xfId="5313" builtinId="9" hidden="1"/>
    <cellStyle name="Followed Hyperlink" xfId="5315" builtinId="9" hidden="1"/>
    <cellStyle name="Followed Hyperlink" xfId="5317" builtinId="9" hidden="1"/>
    <cellStyle name="Followed Hyperlink" xfId="5319" builtinId="9" hidden="1"/>
    <cellStyle name="Followed Hyperlink" xfId="5321" builtinId="9" hidden="1"/>
    <cellStyle name="Followed Hyperlink" xfId="5323" builtinId="9" hidden="1"/>
    <cellStyle name="Followed Hyperlink" xfId="5325" builtinId="9" hidden="1"/>
    <cellStyle name="Followed Hyperlink" xfId="5327" builtinId="9" hidden="1"/>
    <cellStyle name="Followed Hyperlink" xfId="5329" builtinId="9" hidden="1"/>
    <cellStyle name="Followed Hyperlink" xfId="5331" builtinId="9" hidden="1"/>
    <cellStyle name="Followed Hyperlink" xfId="5333" builtinId="9" hidden="1"/>
    <cellStyle name="Followed Hyperlink" xfId="5335" builtinId="9" hidden="1"/>
    <cellStyle name="Followed Hyperlink" xfId="5337" builtinId="9" hidden="1"/>
    <cellStyle name="Followed Hyperlink" xfId="5339" builtinId="9" hidden="1"/>
    <cellStyle name="Followed Hyperlink" xfId="5341" builtinId="9" hidden="1"/>
    <cellStyle name="Followed Hyperlink" xfId="5343" builtinId="9" hidden="1"/>
    <cellStyle name="Followed Hyperlink" xfId="5345" builtinId="9" hidden="1"/>
    <cellStyle name="Followed Hyperlink" xfId="5347" builtinId="9" hidden="1"/>
    <cellStyle name="Followed Hyperlink" xfId="5349" builtinId="9" hidden="1"/>
    <cellStyle name="Followed Hyperlink" xfId="5351" builtinId="9" hidden="1"/>
    <cellStyle name="Followed Hyperlink" xfId="5353" builtinId="9" hidden="1"/>
    <cellStyle name="Followed Hyperlink" xfId="5355" builtinId="9" hidden="1"/>
    <cellStyle name="Followed Hyperlink" xfId="5357" builtinId="9" hidden="1"/>
    <cellStyle name="Followed Hyperlink" xfId="5359" builtinId="9" hidden="1"/>
    <cellStyle name="Followed Hyperlink" xfId="5361" builtinId="9" hidden="1"/>
    <cellStyle name="Followed Hyperlink" xfId="5363" builtinId="9" hidden="1"/>
    <cellStyle name="Followed Hyperlink" xfId="5365" builtinId="9" hidden="1"/>
    <cellStyle name="Followed Hyperlink" xfId="5367" builtinId="9" hidden="1"/>
    <cellStyle name="Followed Hyperlink" xfId="5369" builtinId="9" hidden="1"/>
    <cellStyle name="Followed Hyperlink" xfId="5371" builtinId="9" hidden="1"/>
    <cellStyle name="Followed Hyperlink" xfId="5373" builtinId="9" hidden="1"/>
    <cellStyle name="Followed Hyperlink" xfId="5375" builtinId="9" hidden="1"/>
    <cellStyle name="Followed Hyperlink" xfId="5377" builtinId="9" hidden="1"/>
    <cellStyle name="Followed Hyperlink" xfId="5379" builtinId="9" hidden="1"/>
    <cellStyle name="Followed Hyperlink" xfId="5381" builtinId="9" hidden="1"/>
    <cellStyle name="Followed Hyperlink" xfId="5383" builtinId="9" hidden="1"/>
    <cellStyle name="Followed Hyperlink" xfId="5385" builtinId="9" hidden="1"/>
    <cellStyle name="Followed Hyperlink" xfId="5387" builtinId="9" hidden="1"/>
    <cellStyle name="Followed Hyperlink" xfId="5389" builtinId="9" hidden="1"/>
    <cellStyle name="Followed Hyperlink" xfId="5391" builtinId="9" hidden="1"/>
    <cellStyle name="Followed Hyperlink" xfId="5393" builtinId="9" hidden="1"/>
    <cellStyle name="Followed Hyperlink" xfId="5395" builtinId="9" hidden="1"/>
    <cellStyle name="Followed Hyperlink" xfId="5397" builtinId="9" hidden="1"/>
    <cellStyle name="Followed Hyperlink" xfId="5399" builtinId="9" hidden="1"/>
    <cellStyle name="Followed Hyperlink" xfId="5401" builtinId="9" hidden="1"/>
    <cellStyle name="Followed Hyperlink" xfId="5403" builtinId="9" hidden="1"/>
    <cellStyle name="Followed Hyperlink" xfId="5405" builtinId="9" hidden="1"/>
    <cellStyle name="Followed Hyperlink" xfId="5407" builtinId="9" hidden="1"/>
    <cellStyle name="Followed Hyperlink" xfId="5409" builtinId="9" hidden="1"/>
    <cellStyle name="Followed Hyperlink" xfId="5411" builtinId="9" hidden="1"/>
    <cellStyle name="Followed Hyperlink" xfId="5413" builtinId="9" hidden="1"/>
    <cellStyle name="Followed Hyperlink" xfId="5415" builtinId="9" hidden="1"/>
    <cellStyle name="Followed Hyperlink" xfId="5417" builtinId="9" hidden="1"/>
    <cellStyle name="Followed Hyperlink" xfId="5419" builtinId="9" hidden="1"/>
    <cellStyle name="Followed Hyperlink" xfId="5421" builtinId="9" hidden="1"/>
    <cellStyle name="Followed Hyperlink" xfId="5423" builtinId="9" hidden="1"/>
    <cellStyle name="Followed Hyperlink" xfId="5425" builtinId="9" hidden="1"/>
    <cellStyle name="Followed Hyperlink" xfId="5427" builtinId="9" hidden="1"/>
    <cellStyle name="Followed Hyperlink" xfId="5429" builtinId="9" hidden="1"/>
    <cellStyle name="Followed Hyperlink" xfId="5431" builtinId="9" hidden="1"/>
    <cellStyle name="Followed Hyperlink" xfId="5433" builtinId="9" hidden="1"/>
    <cellStyle name="Followed Hyperlink" xfId="5435" builtinId="9" hidden="1"/>
    <cellStyle name="Followed Hyperlink" xfId="5437" builtinId="9" hidden="1"/>
    <cellStyle name="Followed Hyperlink" xfId="5439" builtinId="9" hidden="1"/>
    <cellStyle name="Followed Hyperlink" xfId="5441" builtinId="9" hidden="1"/>
    <cellStyle name="Followed Hyperlink" xfId="5443" builtinId="9" hidden="1"/>
    <cellStyle name="Followed Hyperlink" xfId="5445" builtinId="9" hidden="1"/>
    <cellStyle name="Followed Hyperlink" xfId="5447" builtinId="9" hidden="1"/>
    <cellStyle name="Followed Hyperlink" xfId="5449" builtinId="9" hidden="1"/>
    <cellStyle name="Followed Hyperlink" xfId="5451" builtinId="9" hidden="1"/>
    <cellStyle name="Followed Hyperlink" xfId="5453" builtinId="9" hidden="1"/>
    <cellStyle name="Followed Hyperlink" xfId="5455" builtinId="9" hidden="1"/>
    <cellStyle name="Followed Hyperlink" xfId="5457" builtinId="9" hidden="1"/>
    <cellStyle name="Followed Hyperlink" xfId="5459" builtinId="9" hidden="1"/>
    <cellStyle name="Followed Hyperlink" xfId="5461" builtinId="9" hidden="1"/>
    <cellStyle name="Followed Hyperlink" xfId="5463" builtinId="9" hidden="1"/>
    <cellStyle name="Followed Hyperlink" xfId="5465" builtinId="9" hidden="1"/>
    <cellStyle name="Followed Hyperlink" xfId="5467" builtinId="9" hidden="1"/>
    <cellStyle name="Followed Hyperlink" xfId="5469" builtinId="9" hidden="1"/>
    <cellStyle name="Followed Hyperlink" xfId="5471" builtinId="9" hidden="1"/>
    <cellStyle name="Followed Hyperlink" xfId="5473" builtinId="9" hidden="1"/>
    <cellStyle name="Followed Hyperlink" xfId="5475" builtinId="9" hidden="1"/>
    <cellStyle name="Followed Hyperlink" xfId="5477" builtinId="9" hidden="1"/>
    <cellStyle name="Followed Hyperlink" xfId="5479" builtinId="9" hidden="1"/>
    <cellStyle name="Followed Hyperlink" xfId="5481" builtinId="9" hidden="1"/>
    <cellStyle name="Followed Hyperlink" xfId="5483" builtinId="9" hidden="1"/>
    <cellStyle name="Followed Hyperlink" xfId="5485" builtinId="9" hidden="1"/>
    <cellStyle name="Followed Hyperlink" xfId="5487" builtinId="9" hidden="1"/>
    <cellStyle name="Followed Hyperlink" xfId="5489" builtinId="9" hidden="1"/>
    <cellStyle name="Followed Hyperlink" xfId="5491" builtinId="9" hidden="1"/>
    <cellStyle name="Followed Hyperlink" xfId="5493" builtinId="9" hidden="1"/>
    <cellStyle name="Followed Hyperlink" xfId="5495" builtinId="9" hidden="1"/>
    <cellStyle name="Followed Hyperlink" xfId="5497" builtinId="9" hidden="1"/>
    <cellStyle name="Followed Hyperlink" xfId="5499" builtinId="9" hidden="1"/>
    <cellStyle name="Followed Hyperlink" xfId="5501" builtinId="9" hidden="1"/>
    <cellStyle name="Followed Hyperlink" xfId="5503" builtinId="9" hidden="1"/>
    <cellStyle name="Followed Hyperlink" xfId="5505" builtinId="9" hidden="1"/>
    <cellStyle name="Followed Hyperlink" xfId="5507" builtinId="9" hidden="1"/>
    <cellStyle name="Followed Hyperlink" xfId="5509" builtinId="9" hidden="1"/>
    <cellStyle name="Followed Hyperlink" xfId="5511" builtinId="9" hidden="1"/>
    <cellStyle name="Followed Hyperlink" xfId="5513" builtinId="9" hidden="1"/>
    <cellStyle name="Followed Hyperlink" xfId="5515" builtinId="9" hidden="1"/>
    <cellStyle name="Followed Hyperlink" xfId="5517" builtinId="9" hidden="1"/>
    <cellStyle name="Followed Hyperlink" xfId="5519" builtinId="9" hidden="1"/>
    <cellStyle name="Followed Hyperlink" xfId="5521" builtinId="9" hidden="1"/>
    <cellStyle name="Followed Hyperlink" xfId="5523" builtinId="9" hidden="1"/>
    <cellStyle name="Followed Hyperlink" xfId="5525" builtinId="9" hidden="1"/>
    <cellStyle name="Followed Hyperlink" xfId="5527" builtinId="9" hidden="1"/>
    <cellStyle name="Followed Hyperlink" xfId="5529" builtinId="9" hidden="1"/>
    <cellStyle name="Followed Hyperlink" xfId="5531" builtinId="9" hidden="1"/>
    <cellStyle name="Followed Hyperlink" xfId="5533" builtinId="9" hidden="1"/>
    <cellStyle name="Followed Hyperlink" xfId="5535" builtinId="9" hidden="1"/>
    <cellStyle name="Followed Hyperlink" xfId="5537" builtinId="9" hidden="1"/>
    <cellStyle name="Followed Hyperlink" xfId="5539" builtinId="9" hidden="1"/>
    <cellStyle name="Followed Hyperlink" xfId="5541" builtinId="9" hidden="1"/>
    <cellStyle name="Followed Hyperlink" xfId="5543" builtinId="9" hidden="1"/>
    <cellStyle name="Followed Hyperlink" xfId="5545" builtinId="9" hidden="1"/>
    <cellStyle name="Followed Hyperlink" xfId="5547" builtinId="9" hidden="1"/>
    <cellStyle name="Followed Hyperlink" xfId="5549" builtinId="9" hidden="1"/>
    <cellStyle name="Followed Hyperlink" xfId="5551" builtinId="9" hidden="1"/>
    <cellStyle name="Followed Hyperlink" xfId="5553" builtinId="9" hidden="1"/>
    <cellStyle name="Followed Hyperlink" xfId="5555" builtinId="9" hidden="1"/>
    <cellStyle name="Followed Hyperlink" xfId="5557" builtinId="9" hidden="1"/>
    <cellStyle name="Followed Hyperlink" xfId="5559" builtinId="9" hidden="1"/>
    <cellStyle name="Followed Hyperlink" xfId="5561" builtinId="9" hidden="1"/>
    <cellStyle name="Followed Hyperlink" xfId="5563" builtinId="9" hidden="1"/>
    <cellStyle name="Followed Hyperlink" xfId="5565" builtinId="9" hidden="1"/>
    <cellStyle name="Followed Hyperlink" xfId="5567" builtinId="9" hidden="1"/>
    <cellStyle name="Followed Hyperlink" xfId="5569" builtinId="9" hidden="1"/>
    <cellStyle name="Followed Hyperlink" xfId="5571" builtinId="9" hidden="1"/>
    <cellStyle name="Followed Hyperlink" xfId="5573" builtinId="9" hidden="1"/>
    <cellStyle name="Followed Hyperlink" xfId="5575" builtinId="9" hidden="1"/>
    <cellStyle name="Followed Hyperlink" xfId="5577" builtinId="9" hidden="1"/>
    <cellStyle name="Followed Hyperlink" xfId="5579" builtinId="9" hidden="1"/>
    <cellStyle name="Followed Hyperlink" xfId="5581" builtinId="9" hidden="1"/>
    <cellStyle name="Followed Hyperlink" xfId="5583" builtinId="9" hidden="1"/>
    <cellStyle name="Followed Hyperlink" xfId="5585" builtinId="9" hidden="1"/>
    <cellStyle name="Followed Hyperlink" xfId="5587" builtinId="9" hidden="1"/>
    <cellStyle name="Followed Hyperlink" xfId="5589" builtinId="9" hidden="1"/>
    <cellStyle name="Followed Hyperlink" xfId="5591" builtinId="9" hidden="1"/>
    <cellStyle name="Followed Hyperlink" xfId="5593" builtinId="9" hidden="1"/>
    <cellStyle name="Followed Hyperlink" xfId="5595" builtinId="9" hidden="1"/>
    <cellStyle name="Followed Hyperlink" xfId="5597" builtinId="9" hidden="1"/>
    <cellStyle name="Followed Hyperlink" xfId="5599" builtinId="9" hidden="1"/>
    <cellStyle name="Followed Hyperlink" xfId="5601" builtinId="9" hidden="1"/>
    <cellStyle name="Followed Hyperlink" xfId="5603" builtinId="9" hidden="1"/>
    <cellStyle name="Followed Hyperlink" xfId="5605" builtinId="9" hidden="1"/>
    <cellStyle name="Followed Hyperlink" xfId="5607" builtinId="9" hidden="1"/>
    <cellStyle name="Followed Hyperlink" xfId="5609" builtinId="9" hidden="1"/>
    <cellStyle name="Followed Hyperlink" xfId="5611" builtinId="9" hidden="1"/>
    <cellStyle name="Followed Hyperlink" xfId="5613" builtinId="9" hidden="1"/>
    <cellStyle name="Followed Hyperlink" xfId="5615" builtinId="9" hidden="1"/>
    <cellStyle name="Followed Hyperlink" xfId="5617" builtinId="9" hidden="1"/>
    <cellStyle name="Followed Hyperlink" xfId="5619" builtinId="9" hidden="1"/>
    <cellStyle name="Followed Hyperlink" xfId="5621" builtinId="9" hidden="1"/>
    <cellStyle name="Followed Hyperlink" xfId="5623" builtinId="9" hidden="1"/>
    <cellStyle name="Followed Hyperlink" xfId="5625" builtinId="9" hidden="1"/>
    <cellStyle name="Followed Hyperlink" xfId="5627" builtinId="9" hidden="1"/>
    <cellStyle name="Followed Hyperlink" xfId="5629" builtinId="9" hidden="1"/>
    <cellStyle name="Followed Hyperlink" xfId="5631" builtinId="9" hidden="1"/>
    <cellStyle name="Followed Hyperlink" xfId="5633" builtinId="9" hidden="1"/>
    <cellStyle name="Followed Hyperlink" xfId="5635" builtinId="9" hidden="1"/>
    <cellStyle name="Followed Hyperlink" xfId="5637" builtinId="9" hidden="1"/>
    <cellStyle name="Followed Hyperlink" xfId="5639" builtinId="9" hidden="1"/>
    <cellStyle name="Followed Hyperlink" xfId="5641" builtinId="9" hidden="1"/>
    <cellStyle name="Followed Hyperlink" xfId="5643" builtinId="9" hidden="1"/>
    <cellStyle name="Followed Hyperlink" xfId="5645" builtinId="9" hidden="1"/>
    <cellStyle name="Followed Hyperlink" xfId="5647" builtinId="9" hidden="1"/>
    <cellStyle name="Followed Hyperlink" xfId="5649" builtinId="9" hidden="1"/>
    <cellStyle name="Followed Hyperlink" xfId="5651" builtinId="9" hidden="1"/>
    <cellStyle name="Followed Hyperlink" xfId="5653" builtinId="9" hidden="1"/>
    <cellStyle name="Followed Hyperlink" xfId="5655" builtinId="9" hidden="1"/>
    <cellStyle name="Followed Hyperlink" xfId="5657" builtinId="9" hidden="1"/>
    <cellStyle name="Followed Hyperlink" xfId="5659" builtinId="9" hidden="1"/>
    <cellStyle name="Followed Hyperlink" xfId="5661" builtinId="9" hidden="1"/>
    <cellStyle name="Followed Hyperlink" xfId="5663" builtinId="9" hidden="1"/>
    <cellStyle name="Followed Hyperlink" xfId="5665" builtinId="9" hidden="1"/>
    <cellStyle name="Followed Hyperlink" xfId="5667" builtinId="9" hidden="1"/>
    <cellStyle name="Followed Hyperlink" xfId="5669" builtinId="9" hidden="1"/>
    <cellStyle name="Followed Hyperlink" xfId="5671" builtinId="9" hidden="1"/>
    <cellStyle name="Followed Hyperlink" xfId="5673" builtinId="9" hidden="1"/>
    <cellStyle name="Followed Hyperlink" xfId="5675" builtinId="9" hidden="1"/>
    <cellStyle name="Followed Hyperlink" xfId="5677" builtinId="9" hidden="1"/>
    <cellStyle name="Followed Hyperlink" xfId="5679" builtinId="9" hidden="1"/>
    <cellStyle name="Followed Hyperlink" xfId="5681" builtinId="9" hidden="1"/>
    <cellStyle name="Followed Hyperlink" xfId="5683" builtinId="9" hidden="1"/>
    <cellStyle name="Followed Hyperlink" xfId="5685" builtinId="9" hidden="1"/>
    <cellStyle name="Followed Hyperlink" xfId="5687" builtinId="9" hidden="1"/>
    <cellStyle name="Followed Hyperlink" xfId="5689" builtinId="9" hidden="1"/>
    <cellStyle name="Followed Hyperlink" xfId="5691" builtinId="9" hidden="1"/>
    <cellStyle name="Followed Hyperlink" xfId="5693" builtinId="9" hidden="1"/>
    <cellStyle name="Followed Hyperlink" xfId="5695" builtinId="9" hidden="1"/>
    <cellStyle name="Followed Hyperlink" xfId="5697" builtinId="9" hidden="1"/>
    <cellStyle name="Followed Hyperlink" xfId="5699" builtinId="9" hidden="1"/>
    <cellStyle name="Followed Hyperlink" xfId="5701" builtinId="9" hidden="1"/>
    <cellStyle name="Followed Hyperlink" xfId="5703" builtinId="9" hidden="1"/>
    <cellStyle name="Followed Hyperlink" xfId="5705" builtinId="9" hidden="1"/>
    <cellStyle name="Followed Hyperlink" xfId="5707" builtinId="9" hidden="1"/>
    <cellStyle name="Followed Hyperlink" xfId="5709" builtinId="9" hidden="1"/>
    <cellStyle name="Followed Hyperlink" xfId="5711" builtinId="9" hidden="1"/>
    <cellStyle name="Followed Hyperlink" xfId="5713" builtinId="9" hidden="1"/>
    <cellStyle name="Followed Hyperlink" xfId="5715" builtinId="9" hidden="1"/>
    <cellStyle name="Followed Hyperlink" xfId="5717" builtinId="9" hidden="1"/>
    <cellStyle name="Followed Hyperlink" xfId="5719" builtinId="9" hidden="1"/>
    <cellStyle name="Followed Hyperlink" xfId="5721" builtinId="9" hidden="1"/>
    <cellStyle name="Followed Hyperlink" xfId="5723" builtinId="9" hidden="1"/>
    <cellStyle name="Followed Hyperlink" xfId="5725" builtinId="9" hidden="1"/>
    <cellStyle name="Followed Hyperlink" xfId="5727" builtinId="9" hidden="1"/>
    <cellStyle name="Followed Hyperlink" xfId="5729" builtinId="9" hidden="1"/>
    <cellStyle name="Followed Hyperlink" xfId="5731" builtinId="9" hidden="1"/>
    <cellStyle name="Followed Hyperlink" xfId="5733" builtinId="9" hidden="1"/>
    <cellStyle name="Followed Hyperlink" xfId="5735" builtinId="9" hidden="1"/>
    <cellStyle name="Followed Hyperlink" xfId="5737" builtinId="9" hidden="1"/>
    <cellStyle name="Followed Hyperlink" xfId="5739" builtinId="9" hidden="1"/>
    <cellStyle name="Followed Hyperlink" xfId="5741" builtinId="9" hidden="1"/>
    <cellStyle name="Followed Hyperlink" xfId="5743" builtinId="9" hidden="1"/>
    <cellStyle name="Followed Hyperlink" xfId="5745" builtinId="9" hidden="1"/>
    <cellStyle name="Followed Hyperlink" xfId="5747" builtinId="9" hidden="1"/>
    <cellStyle name="Followed Hyperlink" xfId="5749" builtinId="9" hidden="1"/>
    <cellStyle name="Followed Hyperlink" xfId="5751" builtinId="9" hidden="1"/>
    <cellStyle name="Followed Hyperlink" xfId="5753" builtinId="9" hidden="1"/>
    <cellStyle name="Followed Hyperlink" xfId="5755" builtinId="9" hidden="1"/>
    <cellStyle name="Followed Hyperlink" xfId="5757" builtinId="9" hidden="1"/>
    <cellStyle name="Followed Hyperlink" xfId="5759" builtinId="9" hidden="1"/>
    <cellStyle name="Followed Hyperlink" xfId="5761" builtinId="9" hidden="1"/>
    <cellStyle name="Followed Hyperlink" xfId="5763" builtinId="9" hidden="1"/>
    <cellStyle name="Followed Hyperlink" xfId="5765" builtinId="9" hidden="1"/>
    <cellStyle name="Followed Hyperlink" xfId="5767" builtinId="9" hidden="1"/>
    <cellStyle name="Followed Hyperlink" xfId="5769" builtinId="9" hidden="1"/>
    <cellStyle name="Followed Hyperlink" xfId="5771" builtinId="9" hidden="1"/>
    <cellStyle name="Followed Hyperlink" xfId="5773" builtinId="9" hidden="1"/>
    <cellStyle name="Followed Hyperlink" xfId="5775" builtinId="9" hidden="1"/>
    <cellStyle name="Followed Hyperlink" xfId="5777" builtinId="9" hidden="1"/>
    <cellStyle name="Followed Hyperlink" xfId="5779" builtinId="9" hidden="1"/>
    <cellStyle name="Followed Hyperlink" xfId="5781" builtinId="9" hidden="1"/>
    <cellStyle name="Followed Hyperlink" xfId="5783" builtinId="9" hidden="1"/>
    <cellStyle name="Followed Hyperlink" xfId="5785" builtinId="9" hidden="1"/>
    <cellStyle name="Followed Hyperlink" xfId="5787" builtinId="9" hidden="1"/>
    <cellStyle name="Followed Hyperlink" xfId="5789" builtinId="9" hidden="1"/>
    <cellStyle name="Followed Hyperlink" xfId="5791" builtinId="9" hidden="1"/>
    <cellStyle name="Followed Hyperlink" xfId="5793" builtinId="9" hidden="1"/>
    <cellStyle name="Followed Hyperlink" xfId="5795" builtinId="9" hidden="1"/>
    <cellStyle name="Followed Hyperlink" xfId="5797" builtinId="9" hidden="1"/>
    <cellStyle name="Followed Hyperlink" xfId="5799" builtinId="9" hidden="1"/>
    <cellStyle name="Followed Hyperlink" xfId="5801" builtinId="9" hidden="1"/>
    <cellStyle name="Followed Hyperlink" xfId="5803" builtinId="9" hidden="1"/>
    <cellStyle name="Followed Hyperlink" xfId="5805" builtinId="9" hidden="1"/>
    <cellStyle name="Followed Hyperlink" xfId="5807" builtinId="9" hidden="1"/>
    <cellStyle name="Followed Hyperlink" xfId="5809" builtinId="9" hidden="1"/>
    <cellStyle name="Followed Hyperlink" xfId="5811" builtinId="9" hidden="1"/>
    <cellStyle name="Followed Hyperlink" xfId="5813" builtinId="9" hidden="1"/>
    <cellStyle name="Followed Hyperlink" xfId="5815" builtinId="9" hidden="1"/>
    <cellStyle name="Followed Hyperlink" xfId="5817" builtinId="9" hidden="1"/>
    <cellStyle name="Followed Hyperlink" xfId="5819" builtinId="9" hidden="1"/>
    <cellStyle name="Followed Hyperlink" xfId="5821" builtinId="9" hidden="1"/>
    <cellStyle name="Followed Hyperlink" xfId="5823" builtinId="9" hidden="1"/>
    <cellStyle name="Followed Hyperlink" xfId="5825" builtinId="9" hidden="1"/>
    <cellStyle name="Followed Hyperlink" xfId="5827" builtinId="9" hidden="1"/>
    <cellStyle name="Followed Hyperlink" xfId="5829" builtinId="9" hidden="1"/>
    <cellStyle name="Followed Hyperlink" xfId="5831" builtinId="9" hidden="1"/>
    <cellStyle name="Followed Hyperlink" xfId="5833" builtinId="9" hidden="1"/>
    <cellStyle name="Followed Hyperlink" xfId="5835" builtinId="9" hidden="1"/>
    <cellStyle name="Followed Hyperlink" xfId="5837" builtinId="9" hidden="1"/>
    <cellStyle name="Followed Hyperlink" xfId="5839" builtinId="9" hidden="1"/>
    <cellStyle name="Followed Hyperlink" xfId="5841" builtinId="9" hidden="1"/>
    <cellStyle name="Followed Hyperlink" xfId="5843" builtinId="9" hidden="1"/>
    <cellStyle name="Followed Hyperlink" xfId="5845" builtinId="9" hidden="1"/>
    <cellStyle name="Followed Hyperlink" xfId="5847" builtinId="9" hidden="1"/>
    <cellStyle name="Followed Hyperlink" xfId="5849" builtinId="9" hidden="1"/>
    <cellStyle name="Followed Hyperlink" xfId="5851" builtinId="9" hidden="1"/>
    <cellStyle name="Followed Hyperlink" xfId="5853" builtinId="9" hidden="1"/>
    <cellStyle name="Followed Hyperlink" xfId="5855" builtinId="9" hidden="1"/>
    <cellStyle name="Followed Hyperlink" xfId="5857" builtinId="9" hidden="1"/>
    <cellStyle name="Followed Hyperlink" xfId="5859" builtinId="9" hidden="1"/>
    <cellStyle name="Followed Hyperlink" xfId="5861" builtinId="9" hidden="1"/>
    <cellStyle name="Followed Hyperlink" xfId="5863" builtinId="9" hidden="1"/>
    <cellStyle name="Followed Hyperlink" xfId="5865" builtinId="9" hidden="1"/>
    <cellStyle name="Followed Hyperlink" xfId="5867" builtinId="9" hidden="1"/>
    <cellStyle name="Followed Hyperlink" xfId="5869" builtinId="9" hidden="1"/>
    <cellStyle name="Followed Hyperlink" xfId="5871" builtinId="9" hidden="1"/>
    <cellStyle name="Followed Hyperlink" xfId="5873" builtinId="9" hidden="1"/>
    <cellStyle name="Followed Hyperlink" xfId="5875" builtinId="9" hidden="1"/>
    <cellStyle name="Followed Hyperlink" xfId="5877" builtinId="9" hidden="1"/>
    <cellStyle name="Followed Hyperlink" xfId="5879" builtinId="9" hidden="1"/>
    <cellStyle name="Followed Hyperlink" xfId="5881" builtinId="9" hidden="1"/>
    <cellStyle name="Followed Hyperlink" xfId="5883" builtinId="9" hidden="1"/>
    <cellStyle name="Followed Hyperlink" xfId="5885" builtinId="9" hidden="1"/>
    <cellStyle name="Followed Hyperlink" xfId="5887" builtinId="9" hidden="1"/>
    <cellStyle name="Followed Hyperlink" xfId="5889" builtinId="9" hidden="1"/>
    <cellStyle name="Followed Hyperlink" xfId="5891" builtinId="9" hidden="1"/>
    <cellStyle name="Followed Hyperlink" xfId="5893" builtinId="9" hidden="1"/>
    <cellStyle name="Followed Hyperlink" xfId="5895" builtinId="9" hidden="1"/>
    <cellStyle name="Followed Hyperlink" xfId="5897" builtinId="9" hidden="1"/>
    <cellStyle name="Followed Hyperlink" xfId="5899" builtinId="9" hidden="1"/>
    <cellStyle name="Followed Hyperlink" xfId="5901" builtinId="9" hidden="1"/>
    <cellStyle name="Followed Hyperlink" xfId="5903" builtinId="9" hidden="1"/>
    <cellStyle name="Followed Hyperlink" xfId="5905" builtinId="9" hidden="1"/>
    <cellStyle name="Followed Hyperlink" xfId="5907" builtinId="9" hidden="1"/>
    <cellStyle name="Followed Hyperlink" xfId="5909" builtinId="9" hidden="1"/>
    <cellStyle name="Followed Hyperlink" xfId="5911" builtinId="9" hidden="1"/>
    <cellStyle name="Followed Hyperlink" xfId="5913" builtinId="9" hidden="1"/>
    <cellStyle name="Followed Hyperlink" xfId="5915" builtinId="9" hidden="1"/>
    <cellStyle name="Followed Hyperlink" xfId="5917" builtinId="9" hidden="1"/>
    <cellStyle name="Followed Hyperlink" xfId="5919" builtinId="9" hidden="1"/>
    <cellStyle name="Followed Hyperlink" xfId="5921" builtinId="9" hidden="1"/>
    <cellStyle name="Followed Hyperlink" xfId="5923" builtinId="9" hidden="1"/>
    <cellStyle name="Followed Hyperlink" xfId="5925" builtinId="9" hidden="1"/>
    <cellStyle name="Followed Hyperlink" xfId="5927" builtinId="9" hidden="1"/>
    <cellStyle name="Followed Hyperlink" xfId="5929" builtinId="9" hidden="1"/>
    <cellStyle name="Followed Hyperlink" xfId="5931" builtinId="9" hidden="1"/>
    <cellStyle name="Followed Hyperlink" xfId="5933" builtinId="9" hidden="1"/>
    <cellStyle name="Followed Hyperlink" xfId="5935" builtinId="9" hidden="1"/>
    <cellStyle name="Followed Hyperlink" xfId="5937" builtinId="9" hidden="1"/>
    <cellStyle name="Followed Hyperlink" xfId="5939" builtinId="9" hidden="1"/>
    <cellStyle name="Followed Hyperlink" xfId="5941" builtinId="9" hidden="1"/>
    <cellStyle name="Followed Hyperlink" xfId="5943" builtinId="9" hidden="1"/>
    <cellStyle name="Followed Hyperlink" xfId="5945" builtinId="9" hidden="1"/>
    <cellStyle name="Followed Hyperlink" xfId="5947" builtinId="9" hidden="1"/>
    <cellStyle name="Followed Hyperlink" xfId="5949" builtinId="9" hidden="1"/>
    <cellStyle name="Followed Hyperlink" xfId="5951" builtinId="9" hidden="1"/>
    <cellStyle name="Followed Hyperlink" xfId="5953" builtinId="9" hidden="1"/>
    <cellStyle name="Followed Hyperlink" xfId="5955" builtinId="9" hidden="1"/>
    <cellStyle name="Followed Hyperlink" xfId="5957" builtinId="9" hidden="1"/>
    <cellStyle name="Followed Hyperlink" xfId="5959" builtinId="9" hidden="1"/>
    <cellStyle name="Followed Hyperlink" xfId="5961" builtinId="9" hidden="1"/>
    <cellStyle name="Followed Hyperlink" xfId="5963" builtinId="9" hidden="1"/>
    <cellStyle name="Followed Hyperlink" xfId="5965" builtinId="9" hidden="1"/>
    <cellStyle name="Followed Hyperlink" xfId="5967" builtinId="9" hidden="1"/>
    <cellStyle name="Followed Hyperlink" xfId="5969" builtinId="9" hidden="1"/>
    <cellStyle name="Followed Hyperlink" xfId="5971" builtinId="9" hidden="1"/>
    <cellStyle name="Followed Hyperlink" xfId="5973" builtinId="9" hidden="1"/>
    <cellStyle name="Followed Hyperlink" xfId="5975" builtinId="9" hidden="1"/>
    <cellStyle name="Followed Hyperlink" xfId="5977" builtinId="9" hidden="1"/>
    <cellStyle name="Followed Hyperlink" xfId="5979" builtinId="9" hidden="1"/>
    <cellStyle name="Followed Hyperlink" xfId="5981" builtinId="9" hidden="1"/>
    <cellStyle name="Followed Hyperlink" xfId="5983" builtinId="9" hidden="1"/>
    <cellStyle name="Followed Hyperlink" xfId="5985" builtinId="9" hidden="1"/>
    <cellStyle name="Followed Hyperlink" xfId="5987" builtinId="9" hidden="1"/>
    <cellStyle name="Followed Hyperlink" xfId="5989" builtinId="9" hidden="1"/>
    <cellStyle name="Followed Hyperlink" xfId="5991" builtinId="9" hidden="1"/>
    <cellStyle name="Followed Hyperlink" xfId="5993" builtinId="9" hidden="1"/>
    <cellStyle name="Followed Hyperlink" xfId="5995" builtinId="9" hidden="1"/>
    <cellStyle name="Followed Hyperlink" xfId="5997" builtinId="9" hidden="1"/>
    <cellStyle name="Followed Hyperlink" xfId="5999" builtinId="9" hidden="1"/>
    <cellStyle name="Followed Hyperlink" xfId="6001" builtinId="9" hidden="1"/>
    <cellStyle name="Followed Hyperlink" xfId="6003" builtinId="9" hidden="1"/>
    <cellStyle name="Followed Hyperlink" xfId="6005" builtinId="9" hidden="1"/>
    <cellStyle name="Followed Hyperlink" xfId="6007" builtinId="9" hidden="1"/>
    <cellStyle name="Followed Hyperlink" xfId="6009" builtinId="9" hidden="1"/>
    <cellStyle name="Followed Hyperlink" xfId="6011" builtinId="9" hidden="1"/>
    <cellStyle name="Followed Hyperlink" xfId="6013" builtinId="9" hidden="1"/>
    <cellStyle name="Followed Hyperlink" xfId="6015" builtinId="9" hidden="1"/>
    <cellStyle name="Followed Hyperlink" xfId="6017" builtinId="9" hidden="1"/>
    <cellStyle name="Followed Hyperlink" xfId="6019" builtinId="9" hidden="1"/>
    <cellStyle name="Followed Hyperlink" xfId="6021" builtinId="9" hidden="1"/>
    <cellStyle name="Followed Hyperlink" xfId="6023" builtinId="9" hidden="1"/>
    <cellStyle name="Followed Hyperlink" xfId="6025" builtinId="9" hidden="1"/>
    <cellStyle name="Followed Hyperlink" xfId="6027" builtinId="9" hidden="1"/>
    <cellStyle name="Followed Hyperlink" xfId="6029" builtinId="9" hidden="1"/>
    <cellStyle name="Followed Hyperlink" xfId="6031" builtinId="9" hidden="1"/>
    <cellStyle name="Followed Hyperlink" xfId="6033" builtinId="9" hidden="1"/>
    <cellStyle name="Followed Hyperlink" xfId="6035" builtinId="9" hidden="1"/>
    <cellStyle name="Followed Hyperlink" xfId="6037" builtinId="9" hidden="1"/>
    <cellStyle name="Followed Hyperlink" xfId="6039" builtinId="9" hidden="1"/>
    <cellStyle name="Followed Hyperlink" xfId="6041" builtinId="9" hidden="1"/>
    <cellStyle name="Followed Hyperlink" xfId="6043" builtinId="9" hidden="1"/>
    <cellStyle name="Followed Hyperlink" xfId="6045" builtinId="9" hidden="1"/>
    <cellStyle name="Followed Hyperlink" xfId="6047" builtinId="9" hidden="1"/>
    <cellStyle name="Followed Hyperlink" xfId="6049" builtinId="9" hidden="1"/>
    <cellStyle name="Followed Hyperlink" xfId="6051" builtinId="9" hidden="1"/>
    <cellStyle name="Followed Hyperlink" xfId="6053" builtinId="9" hidden="1"/>
    <cellStyle name="Followed Hyperlink" xfId="6055" builtinId="9" hidden="1"/>
    <cellStyle name="Followed Hyperlink" xfId="6057" builtinId="9" hidden="1"/>
    <cellStyle name="Followed Hyperlink" xfId="6059" builtinId="9" hidden="1"/>
    <cellStyle name="Followed Hyperlink" xfId="6061" builtinId="9" hidden="1"/>
    <cellStyle name="Followed Hyperlink" xfId="6063" builtinId="9" hidden="1"/>
    <cellStyle name="Followed Hyperlink" xfId="6065" builtinId="9" hidden="1"/>
    <cellStyle name="Followed Hyperlink" xfId="6067" builtinId="9" hidden="1"/>
    <cellStyle name="Followed Hyperlink" xfId="6069" builtinId="9" hidden="1"/>
    <cellStyle name="Followed Hyperlink" xfId="6071" builtinId="9" hidden="1"/>
    <cellStyle name="Followed Hyperlink" xfId="6073" builtinId="9" hidden="1"/>
    <cellStyle name="Followed Hyperlink" xfId="6075" builtinId="9" hidden="1"/>
    <cellStyle name="Followed Hyperlink" xfId="6077" builtinId="9" hidden="1"/>
    <cellStyle name="Followed Hyperlink" xfId="6079" builtinId="9" hidden="1"/>
    <cellStyle name="Followed Hyperlink" xfId="6081" builtinId="9" hidden="1"/>
    <cellStyle name="Followed Hyperlink" xfId="6083" builtinId="9" hidden="1"/>
    <cellStyle name="Followed Hyperlink" xfId="6085" builtinId="9" hidden="1"/>
    <cellStyle name="Followed Hyperlink" xfId="6087" builtinId="9" hidden="1"/>
    <cellStyle name="Followed Hyperlink" xfId="6089" builtinId="9" hidden="1"/>
    <cellStyle name="Followed Hyperlink" xfId="6091" builtinId="9" hidden="1"/>
    <cellStyle name="Followed Hyperlink" xfId="6093" builtinId="9" hidden="1"/>
    <cellStyle name="Followed Hyperlink" xfId="6095" builtinId="9" hidden="1"/>
    <cellStyle name="Followed Hyperlink" xfId="6097" builtinId="9" hidden="1"/>
    <cellStyle name="Followed Hyperlink" xfId="6099" builtinId="9" hidden="1"/>
    <cellStyle name="Followed Hyperlink" xfId="6101" builtinId="9" hidden="1"/>
    <cellStyle name="Followed Hyperlink" xfId="6103" builtinId="9" hidden="1"/>
    <cellStyle name="Followed Hyperlink" xfId="6105" builtinId="9" hidden="1"/>
    <cellStyle name="Followed Hyperlink" xfId="6107" builtinId="9" hidden="1"/>
    <cellStyle name="Followed Hyperlink" xfId="6109" builtinId="9" hidden="1"/>
    <cellStyle name="Followed Hyperlink" xfId="6111" builtinId="9" hidden="1"/>
    <cellStyle name="Followed Hyperlink" xfId="6113" builtinId="9" hidden="1"/>
    <cellStyle name="Followed Hyperlink" xfId="6115" builtinId="9" hidden="1"/>
    <cellStyle name="Followed Hyperlink" xfId="6117" builtinId="9" hidden="1"/>
    <cellStyle name="Followed Hyperlink" xfId="6119" builtinId="9" hidden="1"/>
    <cellStyle name="Followed Hyperlink" xfId="6121" builtinId="9" hidden="1"/>
    <cellStyle name="Followed Hyperlink" xfId="6123" builtinId="9" hidden="1"/>
    <cellStyle name="Followed Hyperlink" xfId="6125" builtinId="9" hidden="1"/>
    <cellStyle name="Followed Hyperlink" xfId="6127" builtinId="9" hidden="1"/>
    <cellStyle name="Followed Hyperlink" xfId="6129" builtinId="9" hidden="1"/>
    <cellStyle name="Followed Hyperlink" xfId="6131" builtinId="9" hidden="1"/>
    <cellStyle name="Followed Hyperlink" xfId="6133" builtinId="9" hidden="1"/>
    <cellStyle name="Followed Hyperlink" xfId="6135" builtinId="9" hidden="1"/>
    <cellStyle name="Followed Hyperlink" xfId="6137" builtinId="9" hidden="1"/>
    <cellStyle name="Followed Hyperlink" xfId="6139" builtinId="9" hidden="1"/>
    <cellStyle name="Followed Hyperlink" xfId="6141" builtinId="9" hidden="1"/>
    <cellStyle name="Followed Hyperlink" xfId="6143" builtinId="9" hidden="1"/>
    <cellStyle name="Followed Hyperlink" xfId="6145" builtinId="9" hidden="1"/>
    <cellStyle name="Followed Hyperlink" xfId="6147" builtinId="9" hidden="1"/>
    <cellStyle name="Followed Hyperlink" xfId="6149" builtinId="9" hidden="1"/>
    <cellStyle name="Followed Hyperlink" xfId="6151" builtinId="9" hidden="1"/>
    <cellStyle name="Followed Hyperlink" xfId="6153" builtinId="9" hidden="1"/>
    <cellStyle name="Followed Hyperlink" xfId="6155" builtinId="9" hidden="1"/>
    <cellStyle name="Followed Hyperlink" xfId="6157" builtinId="9" hidden="1"/>
    <cellStyle name="Followed Hyperlink" xfId="6159" builtinId="9" hidden="1"/>
    <cellStyle name="Followed Hyperlink" xfId="6161" builtinId="9" hidden="1"/>
    <cellStyle name="Followed Hyperlink" xfId="6163" builtinId="9" hidden="1"/>
    <cellStyle name="Followed Hyperlink" xfId="6165" builtinId="9" hidden="1"/>
    <cellStyle name="Followed Hyperlink" xfId="6167" builtinId="9" hidden="1"/>
    <cellStyle name="Followed Hyperlink" xfId="6169" builtinId="9" hidden="1"/>
    <cellStyle name="Followed Hyperlink" xfId="6171" builtinId="9" hidden="1"/>
    <cellStyle name="Followed Hyperlink" xfId="6173" builtinId="9" hidden="1"/>
    <cellStyle name="Followed Hyperlink" xfId="6175" builtinId="9" hidden="1"/>
    <cellStyle name="Followed Hyperlink" xfId="6177" builtinId="9" hidden="1"/>
    <cellStyle name="Followed Hyperlink" xfId="6179" builtinId="9" hidden="1"/>
    <cellStyle name="Followed Hyperlink" xfId="6181" builtinId="9" hidden="1"/>
    <cellStyle name="Followed Hyperlink" xfId="6183" builtinId="9" hidden="1"/>
    <cellStyle name="Followed Hyperlink" xfId="6185" builtinId="9" hidden="1"/>
    <cellStyle name="Followed Hyperlink" xfId="6187" builtinId="9" hidden="1"/>
    <cellStyle name="Followed Hyperlink" xfId="6189" builtinId="9" hidden="1"/>
    <cellStyle name="Followed Hyperlink" xfId="6191" builtinId="9" hidden="1"/>
    <cellStyle name="Followed Hyperlink" xfId="6193" builtinId="9" hidden="1"/>
    <cellStyle name="Followed Hyperlink" xfId="6195" builtinId="9" hidden="1"/>
    <cellStyle name="Followed Hyperlink" xfId="6197" builtinId="9" hidden="1"/>
    <cellStyle name="Followed Hyperlink" xfId="6199" builtinId="9" hidden="1"/>
    <cellStyle name="Followed Hyperlink" xfId="6201" builtinId="9" hidden="1"/>
    <cellStyle name="Followed Hyperlink" xfId="6203" builtinId="9" hidden="1"/>
    <cellStyle name="Followed Hyperlink" xfId="6205" builtinId="9" hidden="1"/>
    <cellStyle name="Followed Hyperlink" xfId="6207" builtinId="9" hidden="1"/>
    <cellStyle name="Followed Hyperlink" xfId="6209" builtinId="9" hidden="1"/>
    <cellStyle name="Followed Hyperlink" xfId="6211" builtinId="9" hidden="1"/>
    <cellStyle name="Followed Hyperlink" xfId="6213" builtinId="9" hidden="1"/>
    <cellStyle name="Followed Hyperlink" xfId="6215" builtinId="9" hidden="1"/>
    <cellStyle name="Followed Hyperlink" xfId="6217" builtinId="9" hidden="1"/>
    <cellStyle name="Followed Hyperlink" xfId="6219" builtinId="9" hidden="1"/>
    <cellStyle name="Followed Hyperlink" xfId="6221" builtinId="9" hidden="1"/>
    <cellStyle name="Followed Hyperlink" xfId="6223" builtinId="9" hidden="1"/>
    <cellStyle name="Followed Hyperlink" xfId="6225" builtinId="9" hidden="1"/>
    <cellStyle name="Followed Hyperlink" xfId="6227" builtinId="9" hidden="1"/>
    <cellStyle name="Followed Hyperlink" xfId="6229" builtinId="9" hidden="1"/>
    <cellStyle name="Followed Hyperlink" xfId="6231" builtinId="9" hidden="1"/>
    <cellStyle name="Followed Hyperlink" xfId="6233" builtinId="9" hidden="1"/>
    <cellStyle name="Followed Hyperlink" xfId="6235" builtinId="9" hidden="1"/>
    <cellStyle name="Followed Hyperlink" xfId="6237" builtinId="9" hidden="1"/>
    <cellStyle name="Followed Hyperlink" xfId="6239" builtinId="9" hidden="1"/>
    <cellStyle name="Followed Hyperlink" xfId="6241" builtinId="9" hidden="1"/>
    <cellStyle name="Followed Hyperlink" xfId="6243" builtinId="9" hidden="1"/>
    <cellStyle name="Followed Hyperlink" xfId="6245" builtinId="9" hidden="1"/>
    <cellStyle name="Followed Hyperlink" xfId="6247" builtinId="9" hidden="1"/>
    <cellStyle name="Followed Hyperlink" xfId="6249" builtinId="9" hidden="1"/>
    <cellStyle name="Followed Hyperlink" xfId="6251" builtinId="9" hidden="1"/>
    <cellStyle name="Followed Hyperlink" xfId="6253" builtinId="9" hidden="1"/>
    <cellStyle name="Followed Hyperlink" xfId="6255" builtinId="9" hidden="1"/>
    <cellStyle name="Followed Hyperlink" xfId="6257" builtinId="9" hidden="1"/>
    <cellStyle name="Followed Hyperlink" xfId="6259" builtinId="9" hidden="1"/>
    <cellStyle name="Followed Hyperlink" xfId="6261" builtinId="9" hidden="1"/>
    <cellStyle name="Followed Hyperlink" xfId="6263" builtinId="9" hidden="1"/>
    <cellStyle name="Followed Hyperlink" xfId="6265" builtinId="9" hidden="1"/>
    <cellStyle name="Followed Hyperlink" xfId="6267" builtinId="9" hidden="1"/>
    <cellStyle name="Followed Hyperlink" xfId="6269" builtinId="9" hidden="1"/>
    <cellStyle name="Followed Hyperlink" xfId="6271" builtinId="9" hidden="1"/>
    <cellStyle name="Followed Hyperlink" xfId="6273" builtinId="9" hidden="1"/>
    <cellStyle name="Followed Hyperlink" xfId="6275" builtinId="9" hidden="1"/>
    <cellStyle name="Followed Hyperlink" xfId="6277" builtinId="9" hidden="1"/>
    <cellStyle name="Followed Hyperlink" xfId="6279" builtinId="9" hidden="1"/>
    <cellStyle name="Followed Hyperlink" xfId="6281" builtinId="9" hidden="1"/>
    <cellStyle name="Followed Hyperlink" xfId="6283" builtinId="9" hidden="1"/>
    <cellStyle name="Followed Hyperlink" xfId="6285" builtinId="9" hidden="1"/>
    <cellStyle name="Followed Hyperlink" xfId="6287" builtinId="9" hidden="1"/>
    <cellStyle name="Followed Hyperlink" xfId="6289" builtinId="9" hidden="1"/>
    <cellStyle name="Followed Hyperlink" xfId="6291" builtinId="9" hidden="1"/>
    <cellStyle name="Followed Hyperlink" xfId="6293" builtinId="9" hidden="1"/>
    <cellStyle name="Followed Hyperlink" xfId="6295" builtinId="9" hidden="1"/>
    <cellStyle name="Followed Hyperlink" xfId="6297" builtinId="9" hidden="1"/>
    <cellStyle name="Followed Hyperlink" xfId="6299" builtinId="9" hidden="1"/>
    <cellStyle name="Followed Hyperlink" xfId="6301" builtinId="9" hidden="1"/>
    <cellStyle name="Followed Hyperlink" xfId="6303" builtinId="9" hidden="1"/>
    <cellStyle name="Followed Hyperlink" xfId="6305" builtinId="9" hidden="1"/>
    <cellStyle name="Followed Hyperlink" xfId="6307" builtinId="9" hidden="1"/>
    <cellStyle name="Followed Hyperlink" xfId="6309" builtinId="9" hidden="1"/>
    <cellStyle name="Followed Hyperlink" xfId="6311" builtinId="9" hidden="1"/>
    <cellStyle name="Followed Hyperlink" xfId="6313" builtinId="9" hidden="1"/>
    <cellStyle name="Followed Hyperlink" xfId="6315" builtinId="9" hidden="1"/>
    <cellStyle name="Followed Hyperlink" xfId="6317" builtinId="9" hidden="1"/>
    <cellStyle name="Followed Hyperlink" xfId="6319" builtinId="9" hidden="1"/>
    <cellStyle name="Followed Hyperlink" xfId="6321" builtinId="9" hidden="1"/>
    <cellStyle name="Followed Hyperlink" xfId="6323" builtinId="9" hidden="1"/>
    <cellStyle name="Followed Hyperlink" xfId="6325" builtinId="9" hidden="1"/>
    <cellStyle name="Followed Hyperlink" xfId="6327" builtinId="9" hidden="1"/>
    <cellStyle name="Followed Hyperlink" xfId="6329" builtinId="9" hidden="1"/>
    <cellStyle name="Followed Hyperlink" xfId="6331" builtinId="9" hidden="1"/>
    <cellStyle name="Followed Hyperlink" xfId="6333" builtinId="9" hidden="1"/>
    <cellStyle name="Followed Hyperlink" xfId="6335" builtinId="9" hidden="1"/>
    <cellStyle name="Followed Hyperlink" xfId="6337" builtinId="9" hidden="1"/>
    <cellStyle name="Followed Hyperlink" xfId="6339" builtinId="9" hidden="1"/>
    <cellStyle name="Followed Hyperlink" xfId="6341" builtinId="9" hidden="1"/>
    <cellStyle name="Followed Hyperlink" xfId="6343" builtinId="9" hidden="1"/>
    <cellStyle name="Followed Hyperlink" xfId="6345" builtinId="9" hidden="1"/>
    <cellStyle name="Followed Hyperlink" xfId="6347" builtinId="9" hidden="1"/>
    <cellStyle name="Followed Hyperlink" xfId="6349" builtinId="9" hidden="1"/>
    <cellStyle name="Followed Hyperlink" xfId="6351" builtinId="9" hidden="1"/>
    <cellStyle name="Followed Hyperlink" xfId="6353" builtinId="9" hidden="1"/>
    <cellStyle name="Followed Hyperlink" xfId="6355" builtinId="9" hidden="1"/>
    <cellStyle name="Followed Hyperlink" xfId="6357" builtinId="9" hidden="1"/>
    <cellStyle name="Followed Hyperlink" xfId="6359" builtinId="9" hidden="1"/>
    <cellStyle name="Followed Hyperlink" xfId="6361" builtinId="9" hidden="1"/>
    <cellStyle name="Followed Hyperlink" xfId="6363" builtinId="9" hidden="1"/>
    <cellStyle name="Followed Hyperlink" xfId="6365" builtinId="9" hidden="1"/>
    <cellStyle name="Followed Hyperlink" xfId="6367" builtinId="9" hidden="1"/>
    <cellStyle name="Followed Hyperlink" xfId="6369" builtinId="9" hidden="1"/>
    <cellStyle name="Followed Hyperlink" xfId="6371" builtinId="9" hidden="1"/>
    <cellStyle name="Followed Hyperlink" xfId="6373" builtinId="9" hidden="1"/>
    <cellStyle name="Followed Hyperlink" xfId="6375" builtinId="9" hidden="1"/>
    <cellStyle name="Followed Hyperlink" xfId="6377" builtinId="9" hidden="1"/>
    <cellStyle name="Followed Hyperlink" xfId="6379" builtinId="9" hidden="1"/>
    <cellStyle name="Followed Hyperlink" xfId="6381" builtinId="9" hidden="1"/>
    <cellStyle name="Followed Hyperlink" xfId="6383" builtinId="9" hidden="1"/>
    <cellStyle name="Followed Hyperlink" xfId="6385" builtinId="9" hidden="1"/>
    <cellStyle name="Followed Hyperlink" xfId="6387" builtinId="9" hidden="1"/>
    <cellStyle name="Followed Hyperlink" xfId="6389" builtinId="9" hidden="1"/>
    <cellStyle name="Followed Hyperlink" xfId="6391" builtinId="9" hidden="1"/>
    <cellStyle name="Followed Hyperlink" xfId="6393" builtinId="9" hidden="1"/>
    <cellStyle name="Followed Hyperlink" xfId="6395" builtinId="9" hidden="1"/>
    <cellStyle name="Followed Hyperlink" xfId="6397" builtinId="9" hidden="1"/>
    <cellStyle name="Followed Hyperlink" xfId="6399" builtinId="9" hidden="1"/>
    <cellStyle name="Followed Hyperlink" xfId="6401" builtinId="9" hidden="1"/>
    <cellStyle name="Followed Hyperlink" xfId="6403" builtinId="9" hidden="1"/>
    <cellStyle name="Followed Hyperlink" xfId="6405" builtinId="9" hidden="1"/>
    <cellStyle name="Followed Hyperlink" xfId="6407" builtinId="9" hidden="1"/>
    <cellStyle name="Followed Hyperlink" xfId="6409" builtinId="9" hidden="1"/>
    <cellStyle name="Followed Hyperlink" xfId="6411" builtinId="9" hidden="1"/>
    <cellStyle name="Followed Hyperlink" xfId="6413" builtinId="9" hidden="1"/>
    <cellStyle name="Followed Hyperlink" xfId="6415" builtinId="9" hidden="1"/>
    <cellStyle name="Followed Hyperlink" xfId="6417" builtinId="9" hidden="1"/>
    <cellStyle name="Followed Hyperlink" xfId="6419" builtinId="9" hidden="1"/>
    <cellStyle name="Followed Hyperlink" xfId="6421" builtinId="9" hidden="1"/>
    <cellStyle name="Followed Hyperlink" xfId="6423" builtinId="9" hidden="1"/>
    <cellStyle name="Followed Hyperlink" xfId="6425" builtinId="9" hidden="1"/>
    <cellStyle name="Followed Hyperlink" xfId="6427" builtinId="9" hidden="1"/>
    <cellStyle name="Followed Hyperlink" xfId="6429" builtinId="9" hidden="1"/>
    <cellStyle name="Followed Hyperlink" xfId="6431" builtinId="9" hidden="1"/>
    <cellStyle name="Followed Hyperlink" xfId="6433" builtinId="9" hidden="1"/>
    <cellStyle name="Followed Hyperlink" xfId="6435" builtinId="9" hidden="1"/>
    <cellStyle name="Followed Hyperlink" xfId="6437" builtinId="9" hidden="1"/>
    <cellStyle name="Followed Hyperlink" xfId="6439" builtinId="9" hidden="1"/>
    <cellStyle name="Followed Hyperlink" xfId="6441" builtinId="9" hidden="1"/>
    <cellStyle name="Followed Hyperlink" xfId="6443" builtinId="9" hidden="1"/>
    <cellStyle name="Followed Hyperlink" xfId="6445" builtinId="9" hidden="1"/>
    <cellStyle name="Followed Hyperlink" xfId="6447" builtinId="9" hidden="1"/>
    <cellStyle name="Followed Hyperlink" xfId="6449" builtinId="9" hidden="1"/>
    <cellStyle name="Followed Hyperlink" xfId="6451" builtinId="9" hidden="1"/>
    <cellStyle name="Followed Hyperlink" xfId="6453" builtinId="9" hidden="1"/>
    <cellStyle name="Followed Hyperlink" xfId="6455" builtinId="9" hidden="1"/>
    <cellStyle name="Followed Hyperlink" xfId="6457" builtinId="9" hidden="1"/>
    <cellStyle name="Followed Hyperlink" xfId="6459" builtinId="9" hidden="1"/>
    <cellStyle name="Followed Hyperlink" xfId="6461" builtinId="9" hidden="1"/>
    <cellStyle name="Followed Hyperlink" xfId="6463" builtinId="9" hidden="1"/>
    <cellStyle name="Followed Hyperlink" xfId="6465" builtinId="9" hidden="1"/>
    <cellStyle name="Followed Hyperlink" xfId="6467" builtinId="9" hidden="1"/>
    <cellStyle name="Followed Hyperlink" xfId="6469" builtinId="9" hidden="1"/>
    <cellStyle name="Followed Hyperlink" xfId="6471" builtinId="9" hidden="1"/>
    <cellStyle name="Followed Hyperlink" xfId="6473" builtinId="9" hidden="1"/>
    <cellStyle name="Followed Hyperlink" xfId="6475" builtinId="9" hidden="1"/>
    <cellStyle name="Followed Hyperlink" xfId="6477" builtinId="9" hidden="1"/>
    <cellStyle name="Followed Hyperlink" xfId="6479" builtinId="9" hidden="1"/>
    <cellStyle name="Followed Hyperlink" xfId="6481" builtinId="9" hidden="1"/>
    <cellStyle name="Followed Hyperlink" xfId="6483" builtinId="9" hidden="1"/>
    <cellStyle name="Followed Hyperlink" xfId="6485" builtinId="9" hidden="1"/>
    <cellStyle name="Followed Hyperlink" xfId="6487" builtinId="9" hidden="1"/>
    <cellStyle name="Followed Hyperlink" xfId="6489" builtinId="9" hidden="1"/>
    <cellStyle name="Followed Hyperlink" xfId="6491" builtinId="9" hidden="1"/>
    <cellStyle name="Followed Hyperlink" xfId="6493" builtinId="9" hidden="1"/>
    <cellStyle name="Followed Hyperlink" xfId="6495" builtinId="9" hidden="1"/>
    <cellStyle name="Followed Hyperlink" xfId="6497" builtinId="9" hidden="1"/>
    <cellStyle name="Followed Hyperlink" xfId="6499" builtinId="9" hidden="1"/>
    <cellStyle name="Followed Hyperlink" xfId="6501" builtinId="9" hidden="1"/>
    <cellStyle name="Followed Hyperlink" xfId="6503" builtinId="9" hidden="1"/>
    <cellStyle name="Followed Hyperlink" xfId="6505" builtinId="9" hidden="1"/>
    <cellStyle name="Followed Hyperlink" xfId="6507" builtinId="9" hidden="1"/>
    <cellStyle name="Followed Hyperlink" xfId="6509" builtinId="9" hidden="1"/>
    <cellStyle name="Followed Hyperlink" xfId="6511" builtinId="9" hidden="1"/>
    <cellStyle name="Followed Hyperlink" xfId="6513" builtinId="9" hidden="1"/>
    <cellStyle name="Followed Hyperlink" xfId="6515" builtinId="9" hidden="1"/>
    <cellStyle name="Followed Hyperlink" xfId="6517" builtinId="9" hidden="1"/>
    <cellStyle name="Followed Hyperlink" xfId="6519" builtinId="9" hidden="1"/>
    <cellStyle name="Followed Hyperlink" xfId="6521" builtinId="9" hidden="1"/>
    <cellStyle name="Followed Hyperlink" xfId="6523" builtinId="9" hidden="1"/>
    <cellStyle name="Followed Hyperlink" xfId="6525" builtinId="9" hidden="1"/>
    <cellStyle name="Followed Hyperlink" xfId="6527" builtinId="9" hidden="1"/>
    <cellStyle name="Followed Hyperlink" xfId="6529" builtinId="9" hidden="1"/>
    <cellStyle name="Followed Hyperlink" xfId="6531" builtinId="9" hidden="1"/>
    <cellStyle name="Followed Hyperlink" xfId="6533" builtinId="9" hidden="1"/>
    <cellStyle name="Followed Hyperlink" xfId="6535" builtinId="9" hidden="1"/>
    <cellStyle name="Followed Hyperlink" xfId="6537" builtinId="9" hidden="1"/>
    <cellStyle name="Followed Hyperlink" xfId="6539" builtinId="9" hidden="1"/>
    <cellStyle name="Followed Hyperlink" xfId="6541" builtinId="9" hidden="1"/>
    <cellStyle name="Followed Hyperlink" xfId="6543" builtinId="9" hidden="1"/>
    <cellStyle name="Followed Hyperlink" xfId="6545" builtinId="9" hidden="1"/>
    <cellStyle name="Followed Hyperlink" xfId="6547" builtinId="9" hidden="1"/>
    <cellStyle name="Followed Hyperlink" xfId="6549" builtinId="9" hidden="1"/>
    <cellStyle name="Followed Hyperlink" xfId="6551" builtinId="9" hidden="1"/>
    <cellStyle name="Followed Hyperlink" xfId="6553" builtinId="9" hidden="1"/>
    <cellStyle name="Followed Hyperlink" xfId="6555" builtinId="9" hidden="1"/>
    <cellStyle name="Followed Hyperlink" xfId="6557" builtinId="9" hidden="1"/>
    <cellStyle name="Followed Hyperlink" xfId="6559" builtinId="9" hidden="1"/>
    <cellStyle name="Followed Hyperlink" xfId="6561" builtinId="9" hidden="1"/>
    <cellStyle name="Followed Hyperlink" xfId="6563" builtinId="9" hidden="1"/>
    <cellStyle name="Followed Hyperlink" xfId="6565" builtinId="9" hidden="1"/>
    <cellStyle name="Followed Hyperlink" xfId="6567" builtinId="9" hidden="1"/>
    <cellStyle name="Followed Hyperlink" xfId="6569" builtinId="9" hidden="1"/>
    <cellStyle name="Followed Hyperlink" xfId="6571" builtinId="9" hidden="1"/>
    <cellStyle name="Followed Hyperlink" xfId="6573" builtinId="9" hidden="1"/>
    <cellStyle name="Followed Hyperlink" xfId="6575" builtinId="9" hidden="1"/>
    <cellStyle name="Followed Hyperlink" xfId="6577" builtinId="9" hidden="1"/>
    <cellStyle name="Followed Hyperlink" xfId="6579" builtinId="9" hidden="1"/>
    <cellStyle name="Followed Hyperlink" xfId="6581" builtinId="9" hidden="1"/>
    <cellStyle name="Followed Hyperlink" xfId="6583" builtinId="9" hidden="1"/>
    <cellStyle name="Followed Hyperlink" xfId="6585" builtinId="9" hidden="1"/>
    <cellStyle name="Followed Hyperlink" xfId="6587" builtinId="9" hidden="1"/>
    <cellStyle name="Followed Hyperlink" xfId="6589" builtinId="9" hidden="1"/>
    <cellStyle name="Followed Hyperlink" xfId="6591" builtinId="9" hidden="1"/>
    <cellStyle name="Followed Hyperlink" xfId="6593" builtinId="9" hidden="1"/>
    <cellStyle name="Followed Hyperlink" xfId="6595" builtinId="9" hidden="1"/>
    <cellStyle name="Followed Hyperlink" xfId="6597" builtinId="9" hidden="1"/>
    <cellStyle name="Followed Hyperlink" xfId="6599" builtinId="9" hidden="1"/>
    <cellStyle name="Followed Hyperlink" xfId="6601" builtinId="9" hidden="1"/>
    <cellStyle name="Followed Hyperlink" xfId="6603" builtinId="9" hidden="1"/>
    <cellStyle name="Followed Hyperlink" xfId="6605" builtinId="9" hidden="1"/>
    <cellStyle name="Followed Hyperlink" xfId="6607" builtinId="9" hidden="1"/>
    <cellStyle name="Followed Hyperlink" xfId="6609" builtinId="9" hidden="1"/>
    <cellStyle name="Followed Hyperlink" xfId="6611" builtinId="9" hidden="1"/>
    <cellStyle name="Followed Hyperlink" xfId="6613" builtinId="9" hidden="1"/>
    <cellStyle name="Followed Hyperlink" xfId="6615" builtinId="9" hidden="1"/>
    <cellStyle name="Followed Hyperlink" xfId="6617" builtinId="9" hidden="1"/>
    <cellStyle name="Followed Hyperlink" xfId="6619" builtinId="9" hidden="1"/>
    <cellStyle name="Followed Hyperlink" xfId="6621" builtinId="9" hidden="1"/>
    <cellStyle name="Followed Hyperlink" xfId="6623" builtinId="9" hidden="1"/>
    <cellStyle name="Followed Hyperlink" xfId="6625" builtinId="9" hidden="1"/>
    <cellStyle name="Followed Hyperlink" xfId="6627" builtinId="9" hidden="1"/>
    <cellStyle name="Followed Hyperlink" xfId="6629" builtinId="9" hidden="1"/>
    <cellStyle name="Followed Hyperlink" xfId="6631" builtinId="9" hidden="1"/>
    <cellStyle name="Followed Hyperlink" xfId="6633" builtinId="9" hidden="1"/>
    <cellStyle name="Followed Hyperlink" xfId="6635" builtinId="9" hidden="1"/>
    <cellStyle name="Followed Hyperlink" xfId="6637" builtinId="9" hidden="1"/>
    <cellStyle name="Followed Hyperlink" xfId="6639" builtinId="9" hidden="1"/>
    <cellStyle name="Followed Hyperlink" xfId="6641" builtinId="9" hidden="1"/>
    <cellStyle name="Followed Hyperlink" xfId="6643" builtinId="9" hidden="1"/>
    <cellStyle name="Followed Hyperlink" xfId="6645" builtinId="9" hidden="1"/>
    <cellStyle name="Followed Hyperlink" xfId="6647" builtinId="9" hidden="1"/>
    <cellStyle name="Followed Hyperlink" xfId="6649" builtinId="9" hidden="1"/>
    <cellStyle name="Followed Hyperlink" xfId="6651" builtinId="9" hidden="1"/>
    <cellStyle name="Followed Hyperlink" xfId="6653" builtinId="9" hidden="1"/>
    <cellStyle name="Followed Hyperlink" xfId="6655" builtinId="9" hidden="1"/>
    <cellStyle name="Followed Hyperlink" xfId="6657" builtinId="9" hidden="1"/>
    <cellStyle name="Followed Hyperlink" xfId="6659" builtinId="9" hidden="1"/>
    <cellStyle name="Followed Hyperlink" xfId="6661" builtinId="9" hidden="1"/>
    <cellStyle name="Followed Hyperlink" xfId="6663" builtinId="9" hidden="1"/>
    <cellStyle name="Followed Hyperlink" xfId="6665" builtinId="9" hidden="1"/>
    <cellStyle name="Followed Hyperlink" xfId="6667" builtinId="9" hidden="1"/>
    <cellStyle name="Followed Hyperlink" xfId="6669" builtinId="9" hidden="1"/>
    <cellStyle name="Followed Hyperlink" xfId="6671" builtinId="9" hidden="1"/>
    <cellStyle name="Followed Hyperlink" xfId="6673" builtinId="9" hidden="1"/>
    <cellStyle name="Followed Hyperlink" xfId="6675" builtinId="9" hidden="1"/>
    <cellStyle name="Followed Hyperlink" xfId="6677" builtinId="9" hidden="1"/>
    <cellStyle name="Followed Hyperlink" xfId="6679" builtinId="9" hidden="1"/>
    <cellStyle name="Followed Hyperlink" xfId="6681" builtinId="9" hidden="1"/>
    <cellStyle name="Followed Hyperlink" xfId="6683" builtinId="9" hidden="1"/>
    <cellStyle name="Followed Hyperlink" xfId="6685" builtinId="9" hidden="1"/>
    <cellStyle name="Followed Hyperlink" xfId="6687" builtinId="9" hidden="1"/>
    <cellStyle name="Followed Hyperlink" xfId="6689" builtinId="9" hidden="1"/>
    <cellStyle name="Followed Hyperlink" xfId="6691" builtinId="9" hidden="1"/>
    <cellStyle name="Followed Hyperlink" xfId="6693" builtinId="9" hidden="1"/>
    <cellStyle name="Followed Hyperlink" xfId="6695" builtinId="9" hidden="1"/>
    <cellStyle name="Followed Hyperlink" xfId="6697" builtinId="9" hidden="1"/>
    <cellStyle name="Followed Hyperlink" xfId="6699" builtinId="9" hidden="1"/>
    <cellStyle name="Followed Hyperlink" xfId="6701" builtinId="9" hidden="1"/>
    <cellStyle name="Followed Hyperlink" xfId="6703" builtinId="9" hidden="1"/>
    <cellStyle name="Followed Hyperlink" xfId="6705" builtinId="9" hidden="1"/>
    <cellStyle name="Followed Hyperlink" xfId="6707" builtinId="9" hidden="1"/>
    <cellStyle name="Followed Hyperlink" xfId="6709" builtinId="9" hidden="1"/>
    <cellStyle name="Followed Hyperlink" xfId="6711" builtinId="9" hidden="1"/>
    <cellStyle name="Followed Hyperlink" xfId="6713" builtinId="9" hidden="1"/>
    <cellStyle name="Followed Hyperlink" xfId="6715" builtinId="9" hidden="1"/>
    <cellStyle name="Followed Hyperlink" xfId="6717" builtinId="9" hidden="1"/>
    <cellStyle name="Followed Hyperlink" xfId="6719" builtinId="9" hidden="1"/>
    <cellStyle name="Followed Hyperlink" xfId="6721" builtinId="9" hidden="1"/>
    <cellStyle name="Followed Hyperlink" xfId="6723" builtinId="9" hidden="1"/>
    <cellStyle name="Followed Hyperlink" xfId="6725" builtinId="9" hidden="1"/>
    <cellStyle name="Followed Hyperlink" xfId="6727" builtinId="9" hidden="1"/>
    <cellStyle name="Followed Hyperlink" xfId="6729" builtinId="9" hidden="1"/>
    <cellStyle name="Followed Hyperlink" xfId="6731" builtinId="9" hidden="1"/>
    <cellStyle name="Followed Hyperlink" xfId="6733" builtinId="9" hidden="1"/>
    <cellStyle name="Followed Hyperlink" xfId="6735" builtinId="9" hidden="1"/>
    <cellStyle name="Followed Hyperlink" xfId="6737" builtinId="9" hidden="1"/>
    <cellStyle name="Followed Hyperlink" xfId="6739" builtinId="9" hidden="1"/>
    <cellStyle name="Followed Hyperlink" xfId="6741" builtinId="9" hidden="1"/>
    <cellStyle name="Followed Hyperlink" xfId="6743" builtinId="9" hidden="1"/>
    <cellStyle name="Followed Hyperlink" xfId="6745" builtinId="9" hidden="1"/>
    <cellStyle name="Followed Hyperlink" xfId="6747" builtinId="9" hidden="1"/>
    <cellStyle name="Followed Hyperlink" xfId="6749" builtinId="9" hidden="1"/>
    <cellStyle name="Followed Hyperlink" xfId="6751" builtinId="9" hidden="1"/>
    <cellStyle name="Followed Hyperlink" xfId="6753" builtinId="9" hidden="1"/>
    <cellStyle name="Followed Hyperlink" xfId="6755" builtinId="9" hidden="1"/>
    <cellStyle name="Followed Hyperlink" xfId="6757" builtinId="9" hidden="1"/>
    <cellStyle name="Followed Hyperlink" xfId="6759" builtinId="9" hidden="1"/>
    <cellStyle name="Followed Hyperlink" xfId="6761" builtinId="9" hidden="1"/>
    <cellStyle name="Followed Hyperlink" xfId="6763" builtinId="9" hidden="1"/>
    <cellStyle name="Followed Hyperlink" xfId="6765" builtinId="9" hidden="1"/>
    <cellStyle name="Followed Hyperlink" xfId="6767" builtinId="9" hidden="1"/>
    <cellStyle name="Followed Hyperlink" xfId="6769" builtinId="9" hidden="1"/>
    <cellStyle name="Followed Hyperlink" xfId="6771" builtinId="9" hidden="1"/>
    <cellStyle name="Followed Hyperlink" xfId="6773" builtinId="9" hidden="1"/>
    <cellStyle name="Followed Hyperlink" xfId="6775" builtinId="9" hidden="1"/>
    <cellStyle name="Followed Hyperlink" xfId="6777" builtinId="9" hidden="1"/>
    <cellStyle name="Followed Hyperlink" xfId="6779" builtinId="9" hidden="1"/>
    <cellStyle name="Followed Hyperlink" xfId="6781" builtinId="9" hidden="1"/>
    <cellStyle name="Followed Hyperlink" xfId="6783" builtinId="9" hidden="1"/>
    <cellStyle name="Followed Hyperlink" xfId="6785" builtinId="9" hidden="1"/>
    <cellStyle name="Followed Hyperlink" xfId="6787" builtinId="9" hidden="1"/>
    <cellStyle name="Followed Hyperlink" xfId="6789" builtinId="9" hidden="1"/>
    <cellStyle name="Followed Hyperlink" xfId="6791" builtinId="9" hidden="1"/>
    <cellStyle name="Followed Hyperlink" xfId="6793" builtinId="9" hidden="1"/>
    <cellStyle name="Followed Hyperlink" xfId="6795" builtinId="9" hidden="1"/>
    <cellStyle name="Followed Hyperlink" xfId="6797" builtinId="9" hidden="1"/>
    <cellStyle name="Followed Hyperlink" xfId="6799" builtinId="9" hidden="1"/>
    <cellStyle name="Followed Hyperlink" xfId="6801" builtinId="9" hidden="1"/>
    <cellStyle name="Followed Hyperlink" xfId="6803" builtinId="9" hidden="1"/>
    <cellStyle name="Followed Hyperlink" xfId="6805" builtinId="9" hidden="1"/>
    <cellStyle name="Followed Hyperlink" xfId="6807" builtinId="9" hidden="1"/>
    <cellStyle name="Followed Hyperlink" xfId="6809" builtinId="9" hidden="1"/>
    <cellStyle name="Followed Hyperlink" xfId="6811" builtinId="9" hidden="1"/>
    <cellStyle name="Followed Hyperlink" xfId="6813" builtinId="9" hidden="1"/>
    <cellStyle name="Followed Hyperlink" xfId="6815" builtinId="9" hidden="1"/>
    <cellStyle name="Followed Hyperlink" xfId="6817" builtinId="9" hidden="1"/>
    <cellStyle name="Followed Hyperlink" xfId="6819" builtinId="9" hidden="1"/>
    <cellStyle name="Followed Hyperlink" xfId="6821" builtinId="9" hidden="1"/>
    <cellStyle name="Followed Hyperlink" xfId="6823" builtinId="9" hidden="1"/>
    <cellStyle name="Followed Hyperlink" xfId="6825" builtinId="9" hidden="1"/>
    <cellStyle name="Followed Hyperlink" xfId="6827" builtinId="9" hidden="1"/>
    <cellStyle name="Followed Hyperlink" xfId="6829" builtinId="9" hidden="1"/>
    <cellStyle name="Followed Hyperlink" xfId="6831" builtinId="9" hidden="1"/>
    <cellStyle name="Followed Hyperlink" xfId="6833" builtinId="9" hidden="1"/>
    <cellStyle name="Followed Hyperlink" xfId="6835" builtinId="9" hidden="1"/>
    <cellStyle name="Followed Hyperlink" xfId="6837" builtinId="9" hidden="1"/>
    <cellStyle name="Followed Hyperlink" xfId="6839" builtinId="9" hidden="1"/>
    <cellStyle name="Followed Hyperlink" xfId="6841" builtinId="9" hidden="1"/>
    <cellStyle name="Followed Hyperlink" xfId="6843" builtinId="9" hidden="1"/>
    <cellStyle name="Followed Hyperlink" xfId="6845" builtinId="9" hidden="1"/>
    <cellStyle name="Followed Hyperlink" xfId="6847" builtinId="9" hidden="1"/>
    <cellStyle name="Followed Hyperlink" xfId="6849" builtinId="9" hidden="1"/>
    <cellStyle name="Followed Hyperlink" xfId="6851" builtinId="9" hidden="1"/>
    <cellStyle name="Followed Hyperlink" xfId="6853" builtinId="9" hidden="1"/>
    <cellStyle name="Followed Hyperlink" xfId="6855" builtinId="9" hidden="1"/>
    <cellStyle name="Followed Hyperlink" xfId="6857" builtinId="9" hidden="1"/>
    <cellStyle name="Followed Hyperlink" xfId="6859" builtinId="9" hidden="1"/>
    <cellStyle name="Followed Hyperlink" xfId="6861" builtinId="9" hidden="1"/>
    <cellStyle name="Followed Hyperlink" xfId="6863" builtinId="9" hidden="1"/>
    <cellStyle name="Followed Hyperlink" xfId="6865" builtinId="9" hidden="1"/>
    <cellStyle name="Followed Hyperlink" xfId="6867" builtinId="9" hidden="1"/>
    <cellStyle name="Followed Hyperlink" xfId="6869" builtinId="9" hidden="1"/>
    <cellStyle name="Followed Hyperlink" xfId="6871" builtinId="9" hidden="1"/>
    <cellStyle name="Followed Hyperlink" xfId="6873" builtinId="9" hidden="1"/>
    <cellStyle name="Followed Hyperlink" xfId="6875" builtinId="9" hidden="1"/>
    <cellStyle name="Followed Hyperlink" xfId="6877" builtinId="9" hidden="1"/>
    <cellStyle name="Followed Hyperlink" xfId="6879" builtinId="9" hidden="1"/>
    <cellStyle name="Followed Hyperlink" xfId="6881" builtinId="9" hidden="1"/>
    <cellStyle name="Followed Hyperlink" xfId="6883" builtinId="9" hidden="1"/>
    <cellStyle name="Followed Hyperlink" xfId="6885" builtinId="9" hidden="1"/>
    <cellStyle name="Followed Hyperlink" xfId="6887" builtinId="9" hidden="1"/>
    <cellStyle name="Followed Hyperlink" xfId="6889" builtinId="9" hidden="1"/>
    <cellStyle name="Followed Hyperlink" xfId="6891" builtinId="9" hidden="1"/>
    <cellStyle name="Followed Hyperlink" xfId="6893" builtinId="9" hidden="1"/>
    <cellStyle name="Followed Hyperlink" xfId="6895" builtinId="9" hidden="1"/>
    <cellStyle name="Followed Hyperlink" xfId="6897" builtinId="9" hidden="1"/>
    <cellStyle name="Followed Hyperlink" xfId="6899" builtinId="9" hidden="1"/>
    <cellStyle name="Followed Hyperlink" xfId="6901" builtinId="9" hidden="1"/>
    <cellStyle name="Followed Hyperlink" xfId="6903" builtinId="9" hidden="1"/>
    <cellStyle name="Followed Hyperlink" xfId="6905" builtinId="9" hidden="1"/>
    <cellStyle name="Followed Hyperlink" xfId="6907" builtinId="9" hidden="1"/>
    <cellStyle name="Followed Hyperlink" xfId="6909" builtinId="9" hidden="1"/>
    <cellStyle name="Followed Hyperlink" xfId="6911" builtinId="9" hidden="1"/>
    <cellStyle name="Followed Hyperlink" xfId="6913" builtinId="9" hidden="1"/>
    <cellStyle name="Followed Hyperlink" xfId="6915" builtinId="9" hidden="1"/>
    <cellStyle name="Followed Hyperlink" xfId="6917" builtinId="9" hidden="1"/>
    <cellStyle name="Followed Hyperlink" xfId="6919" builtinId="9" hidden="1"/>
    <cellStyle name="Followed Hyperlink" xfId="6921" builtinId="9" hidden="1"/>
    <cellStyle name="Followed Hyperlink" xfId="6923" builtinId="9" hidden="1"/>
    <cellStyle name="Followed Hyperlink" xfId="6925" builtinId="9" hidden="1"/>
    <cellStyle name="Followed Hyperlink" xfId="6927" builtinId="9" hidden="1"/>
    <cellStyle name="Followed Hyperlink" xfId="6929" builtinId="9" hidden="1"/>
    <cellStyle name="Followed Hyperlink" xfId="6931" builtinId="9" hidden="1"/>
    <cellStyle name="Followed Hyperlink" xfId="6933" builtinId="9" hidden="1"/>
    <cellStyle name="Followed Hyperlink" xfId="6935" builtinId="9" hidden="1"/>
    <cellStyle name="Followed Hyperlink" xfId="6937" builtinId="9" hidden="1"/>
    <cellStyle name="Followed Hyperlink" xfId="6939" builtinId="9" hidden="1"/>
    <cellStyle name="Followed Hyperlink" xfId="6941" builtinId="9" hidden="1"/>
    <cellStyle name="Followed Hyperlink" xfId="6943" builtinId="9" hidden="1"/>
    <cellStyle name="Followed Hyperlink" xfId="6945" builtinId="9" hidden="1"/>
    <cellStyle name="Followed Hyperlink" xfId="6947" builtinId="9" hidden="1"/>
    <cellStyle name="Followed Hyperlink" xfId="6949" builtinId="9" hidden="1"/>
    <cellStyle name="Followed Hyperlink" xfId="6951" builtinId="9" hidden="1"/>
    <cellStyle name="Followed Hyperlink" xfId="6953" builtinId="9" hidden="1"/>
    <cellStyle name="Followed Hyperlink" xfId="6955" builtinId="9" hidden="1"/>
    <cellStyle name="Followed Hyperlink" xfId="6957" builtinId="9" hidden="1"/>
    <cellStyle name="Followed Hyperlink" xfId="6959" builtinId="9" hidden="1"/>
    <cellStyle name="Followed Hyperlink" xfId="6961" builtinId="9" hidden="1"/>
    <cellStyle name="Followed Hyperlink" xfId="6963" builtinId="9" hidden="1"/>
    <cellStyle name="Followed Hyperlink" xfId="6965" builtinId="9" hidden="1"/>
    <cellStyle name="Followed Hyperlink" xfId="6967" builtinId="9" hidden="1"/>
    <cellStyle name="Followed Hyperlink" xfId="6969" builtinId="9" hidden="1"/>
    <cellStyle name="Followed Hyperlink" xfId="6971" builtinId="9" hidden="1"/>
    <cellStyle name="Followed Hyperlink" xfId="6973" builtinId="9" hidden="1"/>
    <cellStyle name="Followed Hyperlink" xfId="6975" builtinId="9" hidden="1"/>
    <cellStyle name="Followed Hyperlink" xfId="6977" builtinId="9" hidden="1"/>
    <cellStyle name="Followed Hyperlink" xfId="6979" builtinId="9" hidden="1"/>
    <cellStyle name="Followed Hyperlink" xfId="6981" builtinId="9" hidden="1"/>
    <cellStyle name="Followed Hyperlink" xfId="6983" builtinId="9" hidden="1"/>
    <cellStyle name="Followed Hyperlink" xfId="6985" builtinId="9" hidden="1"/>
    <cellStyle name="Followed Hyperlink" xfId="6987" builtinId="9" hidden="1"/>
    <cellStyle name="Followed Hyperlink" xfId="6989" builtinId="9" hidden="1"/>
    <cellStyle name="Followed Hyperlink" xfId="6991" builtinId="9" hidden="1"/>
    <cellStyle name="Followed Hyperlink" xfId="6993" builtinId="9" hidden="1"/>
    <cellStyle name="Followed Hyperlink" xfId="6995" builtinId="9" hidden="1"/>
    <cellStyle name="Followed Hyperlink" xfId="6997" builtinId="9" hidden="1"/>
    <cellStyle name="Followed Hyperlink" xfId="6999" builtinId="9" hidden="1"/>
    <cellStyle name="Followed Hyperlink" xfId="7001" builtinId="9" hidden="1"/>
    <cellStyle name="Followed Hyperlink" xfId="7003" builtinId="9" hidden="1"/>
    <cellStyle name="Followed Hyperlink" xfId="7005" builtinId="9" hidden="1"/>
    <cellStyle name="Followed Hyperlink" xfId="7007" builtinId="9" hidden="1"/>
    <cellStyle name="Followed Hyperlink" xfId="7009" builtinId="9" hidden="1"/>
    <cellStyle name="Followed Hyperlink" xfId="7011" builtinId="9" hidden="1"/>
    <cellStyle name="Followed Hyperlink" xfId="7013" builtinId="9" hidden="1"/>
    <cellStyle name="Followed Hyperlink" xfId="7015" builtinId="9" hidden="1"/>
    <cellStyle name="Followed Hyperlink" xfId="7017" builtinId="9" hidden="1"/>
    <cellStyle name="Followed Hyperlink" xfId="7019" builtinId="9" hidden="1"/>
    <cellStyle name="Followed Hyperlink" xfId="7021" builtinId="9" hidden="1"/>
    <cellStyle name="Followed Hyperlink" xfId="7023" builtinId="9" hidden="1"/>
    <cellStyle name="Followed Hyperlink" xfId="7025" builtinId="9" hidden="1"/>
    <cellStyle name="Followed Hyperlink" xfId="7027" builtinId="9" hidden="1"/>
    <cellStyle name="Followed Hyperlink" xfId="7029" builtinId="9" hidden="1"/>
    <cellStyle name="Followed Hyperlink" xfId="7031" builtinId="9" hidden="1"/>
    <cellStyle name="Followed Hyperlink" xfId="7033" builtinId="9" hidden="1"/>
    <cellStyle name="Followed Hyperlink" xfId="7035" builtinId="9" hidden="1"/>
    <cellStyle name="Followed Hyperlink" xfId="7037" builtinId="9" hidden="1"/>
    <cellStyle name="Followed Hyperlink" xfId="7039" builtinId="9" hidden="1"/>
    <cellStyle name="Followed Hyperlink" xfId="7041" builtinId="9" hidden="1"/>
    <cellStyle name="Followed Hyperlink" xfId="7043" builtinId="9" hidden="1"/>
    <cellStyle name="Followed Hyperlink" xfId="7045" builtinId="9" hidden="1"/>
    <cellStyle name="Followed Hyperlink" xfId="7047" builtinId="9" hidden="1"/>
    <cellStyle name="Followed Hyperlink" xfId="7049" builtinId="9" hidden="1"/>
    <cellStyle name="Followed Hyperlink" xfId="7051" builtinId="9" hidden="1"/>
    <cellStyle name="Followed Hyperlink" xfId="7053" builtinId="9" hidden="1"/>
    <cellStyle name="Followed Hyperlink" xfId="7055" builtinId="9" hidden="1"/>
    <cellStyle name="Followed Hyperlink" xfId="7057" builtinId="9" hidden="1"/>
    <cellStyle name="Followed Hyperlink" xfId="7059" builtinId="9" hidden="1"/>
    <cellStyle name="Followed Hyperlink" xfId="7061" builtinId="9" hidden="1"/>
    <cellStyle name="Followed Hyperlink" xfId="7063" builtinId="9" hidden="1"/>
    <cellStyle name="Followed Hyperlink" xfId="7065" builtinId="9" hidden="1"/>
    <cellStyle name="Followed Hyperlink" xfId="7067" builtinId="9" hidden="1"/>
    <cellStyle name="Followed Hyperlink" xfId="7069" builtinId="9" hidden="1"/>
    <cellStyle name="Followed Hyperlink" xfId="7071" builtinId="9" hidden="1"/>
    <cellStyle name="Followed Hyperlink" xfId="7073" builtinId="9" hidden="1"/>
    <cellStyle name="Followed Hyperlink" xfId="7075" builtinId="9" hidden="1"/>
    <cellStyle name="Followed Hyperlink" xfId="7077" builtinId="9" hidden="1"/>
    <cellStyle name="Followed Hyperlink" xfId="7079" builtinId="9" hidden="1"/>
    <cellStyle name="Followed Hyperlink" xfId="7081" builtinId="9" hidden="1"/>
    <cellStyle name="Followed Hyperlink" xfId="7083" builtinId="9" hidden="1"/>
    <cellStyle name="Followed Hyperlink" xfId="7085" builtinId="9" hidden="1"/>
    <cellStyle name="Followed Hyperlink" xfId="7087" builtinId="9" hidden="1"/>
    <cellStyle name="Followed Hyperlink" xfId="7089" builtinId="9" hidden="1"/>
    <cellStyle name="Followed Hyperlink" xfId="7091" builtinId="9" hidden="1"/>
    <cellStyle name="Followed Hyperlink" xfId="7093" builtinId="9" hidden="1"/>
    <cellStyle name="Followed Hyperlink" xfId="7095" builtinId="9" hidden="1"/>
    <cellStyle name="Followed Hyperlink" xfId="7097" builtinId="9" hidden="1"/>
    <cellStyle name="Followed Hyperlink" xfId="7099" builtinId="9" hidden="1"/>
    <cellStyle name="Followed Hyperlink" xfId="7101" builtinId="9" hidden="1"/>
    <cellStyle name="Followed Hyperlink" xfId="7103" builtinId="9" hidden="1"/>
    <cellStyle name="Followed Hyperlink" xfId="7105" builtinId="9" hidden="1"/>
    <cellStyle name="Followed Hyperlink" xfId="7107" builtinId="9" hidden="1"/>
    <cellStyle name="Followed Hyperlink" xfId="7109" builtinId="9" hidden="1"/>
    <cellStyle name="Followed Hyperlink" xfId="7111" builtinId="9" hidden="1"/>
    <cellStyle name="Followed Hyperlink" xfId="7113" builtinId="9" hidden="1"/>
    <cellStyle name="Followed Hyperlink" xfId="7115" builtinId="9" hidden="1"/>
    <cellStyle name="Followed Hyperlink" xfId="7117" builtinId="9" hidden="1"/>
    <cellStyle name="Followed Hyperlink" xfId="7119" builtinId="9" hidden="1"/>
    <cellStyle name="Followed Hyperlink" xfId="7121" builtinId="9" hidden="1"/>
    <cellStyle name="Followed Hyperlink" xfId="7123" builtinId="9" hidden="1"/>
    <cellStyle name="Followed Hyperlink" xfId="7125" builtinId="9" hidden="1"/>
    <cellStyle name="Followed Hyperlink" xfId="7127" builtinId="9" hidden="1"/>
    <cellStyle name="Followed Hyperlink" xfId="7129" builtinId="9" hidden="1"/>
    <cellStyle name="Followed Hyperlink" xfId="7131" builtinId="9" hidden="1"/>
    <cellStyle name="Followed Hyperlink" xfId="7133" builtinId="9" hidden="1"/>
    <cellStyle name="Followed Hyperlink" xfId="7135" builtinId="9" hidden="1"/>
    <cellStyle name="Followed Hyperlink" xfId="7137" builtinId="9" hidden="1"/>
    <cellStyle name="Followed Hyperlink" xfId="7139" builtinId="9" hidden="1"/>
    <cellStyle name="Followed Hyperlink" xfId="7141" builtinId="9" hidden="1"/>
    <cellStyle name="Followed Hyperlink" xfId="7143" builtinId="9" hidden="1"/>
    <cellStyle name="Followed Hyperlink" xfId="7145" builtinId="9" hidden="1"/>
    <cellStyle name="Followed Hyperlink" xfId="7147" builtinId="9" hidden="1"/>
    <cellStyle name="Followed Hyperlink" xfId="7149" builtinId="9" hidden="1"/>
    <cellStyle name="Followed Hyperlink" xfId="7151" builtinId="9" hidden="1"/>
    <cellStyle name="Followed Hyperlink" xfId="7153" builtinId="9" hidden="1"/>
    <cellStyle name="Followed Hyperlink" xfId="7155" builtinId="9" hidden="1"/>
    <cellStyle name="Followed Hyperlink" xfId="7157" builtinId="9" hidden="1"/>
    <cellStyle name="Followed Hyperlink" xfId="7159" builtinId="9" hidden="1"/>
    <cellStyle name="Followed Hyperlink" xfId="7161" builtinId="9" hidden="1"/>
    <cellStyle name="Followed Hyperlink" xfId="7163" builtinId="9" hidden="1"/>
    <cellStyle name="Followed Hyperlink" xfId="7165" builtinId="9" hidden="1"/>
    <cellStyle name="Followed Hyperlink" xfId="7167" builtinId="9" hidden="1"/>
    <cellStyle name="Followed Hyperlink" xfId="7169" builtinId="9" hidden="1"/>
    <cellStyle name="Followed Hyperlink" xfId="7171" builtinId="9" hidden="1"/>
    <cellStyle name="Followed Hyperlink" xfId="7173" builtinId="9" hidden="1"/>
    <cellStyle name="Followed Hyperlink" xfId="7175" builtinId="9" hidden="1"/>
    <cellStyle name="Followed Hyperlink" xfId="7177" builtinId="9" hidden="1"/>
    <cellStyle name="Followed Hyperlink" xfId="7179" builtinId="9" hidden="1"/>
    <cellStyle name="Followed Hyperlink" xfId="7181" builtinId="9" hidden="1"/>
    <cellStyle name="Followed Hyperlink" xfId="7183" builtinId="9" hidden="1"/>
    <cellStyle name="Followed Hyperlink" xfId="7185" builtinId="9" hidden="1"/>
    <cellStyle name="Followed Hyperlink" xfId="7187" builtinId="9" hidden="1"/>
    <cellStyle name="Followed Hyperlink" xfId="7189" builtinId="9" hidden="1"/>
    <cellStyle name="Followed Hyperlink" xfId="7191" builtinId="9" hidden="1"/>
    <cellStyle name="Followed Hyperlink" xfId="7193" builtinId="9" hidden="1"/>
    <cellStyle name="Followed Hyperlink" xfId="7195" builtinId="9" hidden="1"/>
    <cellStyle name="Followed Hyperlink" xfId="7197" builtinId="9" hidden="1"/>
    <cellStyle name="Followed Hyperlink" xfId="7199" builtinId="9" hidden="1"/>
    <cellStyle name="Followed Hyperlink" xfId="7201" builtinId="9" hidden="1"/>
    <cellStyle name="Followed Hyperlink" xfId="7203" builtinId="9" hidden="1"/>
    <cellStyle name="Followed Hyperlink" xfId="7205" builtinId="9" hidden="1"/>
    <cellStyle name="Followed Hyperlink" xfId="7207" builtinId="9" hidden="1"/>
    <cellStyle name="Followed Hyperlink" xfId="7209" builtinId="9" hidden="1"/>
    <cellStyle name="Followed Hyperlink" xfId="7211" builtinId="9" hidden="1"/>
    <cellStyle name="Followed Hyperlink" xfId="7213" builtinId="9" hidden="1"/>
    <cellStyle name="Followed Hyperlink" xfId="7215" builtinId="9" hidden="1"/>
    <cellStyle name="Followed Hyperlink" xfId="7217" builtinId="9" hidden="1"/>
    <cellStyle name="Followed Hyperlink" xfId="7219" builtinId="9" hidden="1"/>
    <cellStyle name="Followed Hyperlink" xfId="7221" builtinId="9" hidden="1"/>
    <cellStyle name="Followed Hyperlink" xfId="7223" builtinId="9" hidden="1"/>
    <cellStyle name="Followed Hyperlink" xfId="7225" builtinId="9" hidden="1"/>
    <cellStyle name="Followed Hyperlink" xfId="7227" builtinId="9" hidden="1"/>
    <cellStyle name="Followed Hyperlink" xfId="7229" builtinId="9" hidden="1"/>
    <cellStyle name="Followed Hyperlink" xfId="7231" builtinId="9" hidden="1"/>
    <cellStyle name="Followed Hyperlink" xfId="7233" builtinId="9" hidden="1"/>
    <cellStyle name="Followed Hyperlink" xfId="7235" builtinId="9" hidden="1"/>
    <cellStyle name="Followed Hyperlink" xfId="7237" builtinId="9" hidden="1"/>
    <cellStyle name="Followed Hyperlink" xfId="7239" builtinId="9" hidden="1"/>
    <cellStyle name="Followed Hyperlink" xfId="7241" builtinId="9" hidden="1"/>
    <cellStyle name="Followed Hyperlink" xfId="7243" builtinId="9" hidden="1"/>
    <cellStyle name="Followed Hyperlink" xfId="7245" builtinId="9" hidden="1"/>
    <cellStyle name="Followed Hyperlink" xfId="7247" builtinId="9" hidden="1"/>
    <cellStyle name="Followed Hyperlink" xfId="7249" builtinId="9" hidden="1"/>
    <cellStyle name="Followed Hyperlink" xfId="7251" builtinId="9" hidden="1"/>
    <cellStyle name="Followed Hyperlink" xfId="7253" builtinId="9" hidden="1"/>
    <cellStyle name="Followed Hyperlink" xfId="7255" builtinId="9" hidden="1"/>
    <cellStyle name="Followed Hyperlink" xfId="7257" builtinId="9" hidden="1"/>
    <cellStyle name="Followed Hyperlink" xfId="7259" builtinId="9" hidden="1"/>
    <cellStyle name="Followed Hyperlink" xfId="7261" builtinId="9" hidden="1"/>
    <cellStyle name="Followed Hyperlink" xfId="7263" builtinId="9" hidden="1"/>
    <cellStyle name="Followed Hyperlink" xfId="7265" builtinId="9" hidden="1"/>
    <cellStyle name="Followed Hyperlink" xfId="7267" builtinId="9" hidden="1"/>
    <cellStyle name="Followed Hyperlink" xfId="7269" builtinId="9" hidden="1"/>
    <cellStyle name="Followed Hyperlink" xfId="7271" builtinId="9" hidden="1"/>
    <cellStyle name="Followed Hyperlink" xfId="7273" builtinId="9" hidden="1"/>
    <cellStyle name="Followed Hyperlink" xfId="7275" builtinId="9" hidden="1"/>
    <cellStyle name="Followed Hyperlink" xfId="7277" builtinId="9" hidden="1"/>
    <cellStyle name="Followed Hyperlink" xfId="7279" builtinId="9" hidden="1"/>
    <cellStyle name="Followed Hyperlink" xfId="7281" builtinId="9" hidden="1"/>
    <cellStyle name="Followed Hyperlink" xfId="7283" builtinId="9" hidden="1"/>
    <cellStyle name="Followed Hyperlink" xfId="7285" builtinId="9" hidden="1"/>
    <cellStyle name="Followed Hyperlink" xfId="7287" builtinId="9" hidden="1"/>
    <cellStyle name="Followed Hyperlink" xfId="7289" builtinId="9" hidden="1"/>
    <cellStyle name="Followed Hyperlink" xfId="7291" builtinId="9" hidden="1"/>
    <cellStyle name="Followed Hyperlink" xfId="7293" builtinId="9" hidden="1"/>
    <cellStyle name="Followed Hyperlink" xfId="7295" builtinId="9" hidden="1"/>
    <cellStyle name="Followed Hyperlink" xfId="7297" builtinId="9" hidden="1"/>
    <cellStyle name="Followed Hyperlink" xfId="7299" builtinId="9" hidden="1"/>
    <cellStyle name="Followed Hyperlink" xfId="7301" builtinId="9" hidden="1"/>
    <cellStyle name="Followed Hyperlink" xfId="7303" builtinId="9" hidden="1"/>
    <cellStyle name="Followed Hyperlink" xfId="7305" builtinId="9" hidden="1"/>
    <cellStyle name="Followed Hyperlink" xfId="7307" builtinId="9" hidden="1"/>
    <cellStyle name="Followed Hyperlink" xfId="7309" builtinId="9" hidden="1"/>
    <cellStyle name="Followed Hyperlink" xfId="7311" builtinId="9" hidden="1"/>
    <cellStyle name="Followed Hyperlink" xfId="7313" builtinId="9" hidden="1"/>
    <cellStyle name="Followed Hyperlink" xfId="7315" builtinId="9" hidden="1"/>
    <cellStyle name="Followed Hyperlink" xfId="7317" builtinId="9" hidden="1"/>
    <cellStyle name="Followed Hyperlink" xfId="7319" builtinId="9" hidden="1"/>
    <cellStyle name="Followed Hyperlink" xfId="7321" builtinId="9" hidden="1"/>
    <cellStyle name="Followed Hyperlink" xfId="7323" builtinId="9" hidden="1"/>
    <cellStyle name="Followed Hyperlink" xfId="7325" builtinId="9" hidden="1"/>
    <cellStyle name="Followed Hyperlink" xfId="7327" builtinId="9" hidden="1"/>
    <cellStyle name="Followed Hyperlink" xfId="7329" builtinId="9" hidden="1"/>
    <cellStyle name="Followed Hyperlink" xfId="7331" builtinId="9" hidden="1"/>
    <cellStyle name="Followed Hyperlink" xfId="7333" builtinId="9" hidden="1"/>
    <cellStyle name="Followed Hyperlink" xfId="7335" builtinId="9" hidden="1"/>
    <cellStyle name="Followed Hyperlink" xfId="7337" builtinId="9" hidden="1"/>
    <cellStyle name="Followed Hyperlink" xfId="7339" builtinId="9" hidden="1"/>
    <cellStyle name="Followed Hyperlink" xfId="7341" builtinId="9" hidden="1"/>
    <cellStyle name="Followed Hyperlink" xfId="7343" builtinId="9" hidden="1"/>
    <cellStyle name="Followed Hyperlink" xfId="7345" builtinId="9" hidden="1"/>
    <cellStyle name="Followed Hyperlink" xfId="7347" builtinId="9" hidden="1"/>
    <cellStyle name="Followed Hyperlink" xfId="7349" builtinId="9" hidden="1"/>
    <cellStyle name="Followed Hyperlink" xfId="7351" builtinId="9" hidden="1"/>
    <cellStyle name="Followed Hyperlink" xfId="7353" builtinId="9" hidden="1"/>
    <cellStyle name="Followed Hyperlink" xfId="7355" builtinId="9" hidden="1"/>
    <cellStyle name="Followed Hyperlink" xfId="7357" builtinId="9" hidden="1"/>
    <cellStyle name="Followed Hyperlink" xfId="7359" builtinId="9" hidden="1"/>
    <cellStyle name="Followed Hyperlink" xfId="7361" builtinId="9" hidden="1"/>
    <cellStyle name="Followed Hyperlink" xfId="7363" builtinId="9" hidden="1"/>
    <cellStyle name="Followed Hyperlink" xfId="7365" builtinId="9" hidden="1"/>
    <cellStyle name="Followed Hyperlink" xfId="7367" builtinId="9" hidden="1"/>
    <cellStyle name="Followed Hyperlink" xfId="7369" builtinId="9" hidden="1"/>
    <cellStyle name="Followed Hyperlink" xfId="7371" builtinId="9" hidden="1"/>
    <cellStyle name="Followed Hyperlink" xfId="7373" builtinId="9" hidden="1"/>
    <cellStyle name="Followed Hyperlink" xfId="7375" builtinId="9" hidden="1"/>
    <cellStyle name="Followed Hyperlink" xfId="7377" builtinId="9" hidden="1"/>
    <cellStyle name="Followed Hyperlink" xfId="7379" builtinId="9" hidden="1"/>
    <cellStyle name="Followed Hyperlink" xfId="7381" builtinId="9" hidden="1"/>
    <cellStyle name="Followed Hyperlink" xfId="7383" builtinId="9" hidden="1"/>
    <cellStyle name="Followed Hyperlink" xfId="7385" builtinId="9" hidden="1"/>
    <cellStyle name="Followed Hyperlink" xfId="7387" builtinId="9" hidden="1"/>
    <cellStyle name="Followed Hyperlink" xfId="7389" builtinId="9" hidden="1"/>
    <cellStyle name="Followed Hyperlink" xfId="7391" builtinId="9" hidden="1"/>
    <cellStyle name="Followed Hyperlink" xfId="7393" builtinId="9" hidden="1"/>
    <cellStyle name="Followed Hyperlink" xfId="7395" builtinId="9" hidden="1"/>
    <cellStyle name="Followed Hyperlink" xfId="7397" builtinId="9" hidden="1"/>
    <cellStyle name="Followed Hyperlink" xfId="7399" builtinId="9" hidden="1"/>
    <cellStyle name="Followed Hyperlink" xfId="7401" builtinId="9" hidden="1"/>
    <cellStyle name="Followed Hyperlink" xfId="7403" builtinId="9" hidden="1"/>
    <cellStyle name="Followed Hyperlink" xfId="7405" builtinId="9" hidden="1"/>
    <cellStyle name="Followed Hyperlink" xfId="7407" builtinId="9" hidden="1"/>
    <cellStyle name="Followed Hyperlink" xfId="7409" builtinId="9" hidden="1"/>
    <cellStyle name="Followed Hyperlink" xfId="7411" builtinId="9" hidden="1"/>
    <cellStyle name="Followed Hyperlink" xfId="7413" builtinId="9" hidden="1"/>
    <cellStyle name="Followed Hyperlink" xfId="7415" builtinId="9" hidden="1"/>
    <cellStyle name="Followed Hyperlink" xfId="7417" builtinId="9" hidden="1"/>
    <cellStyle name="Followed Hyperlink" xfId="7419" builtinId="9" hidden="1"/>
    <cellStyle name="Followed Hyperlink" xfId="7421" builtinId="9" hidden="1"/>
    <cellStyle name="Followed Hyperlink" xfId="7423" builtinId="9" hidden="1"/>
    <cellStyle name="Followed Hyperlink" xfId="7425" builtinId="9" hidden="1"/>
    <cellStyle name="Followed Hyperlink" xfId="7427" builtinId="9" hidden="1"/>
    <cellStyle name="Followed Hyperlink" xfId="7429" builtinId="9" hidden="1"/>
    <cellStyle name="Followed Hyperlink" xfId="7431" builtinId="9" hidden="1"/>
    <cellStyle name="Followed Hyperlink" xfId="7433" builtinId="9" hidden="1"/>
    <cellStyle name="Followed Hyperlink" xfId="7435" builtinId="9" hidden="1"/>
    <cellStyle name="Followed Hyperlink" xfId="7437" builtinId="9" hidden="1"/>
    <cellStyle name="Followed Hyperlink" xfId="7439" builtinId="9" hidden="1"/>
    <cellStyle name="Followed Hyperlink" xfId="7441" builtinId="9" hidden="1"/>
    <cellStyle name="Followed Hyperlink" xfId="7443" builtinId="9" hidden="1"/>
    <cellStyle name="Followed Hyperlink" xfId="7445" builtinId="9" hidden="1"/>
    <cellStyle name="Followed Hyperlink" xfId="7447" builtinId="9" hidden="1"/>
    <cellStyle name="Followed Hyperlink" xfId="7449" builtinId="9" hidden="1"/>
    <cellStyle name="Followed Hyperlink" xfId="7451" builtinId="9" hidden="1"/>
    <cellStyle name="Followed Hyperlink" xfId="7453" builtinId="9" hidden="1"/>
    <cellStyle name="Followed Hyperlink" xfId="7455" builtinId="9" hidden="1"/>
    <cellStyle name="Followed Hyperlink" xfId="7457" builtinId="9" hidden="1"/>
    <cellStyle name="Followed Hyperlink" xfId="7459" builtinId="9" hidden="1"/>
    <cellStyle name="Followed Hyperlink" xfId="7461" builtinId="9" hidden="1"/>
    <cellStyle name="Followed Hyperlink" xfId="7463" builtinId="9" hidden="1"/>
    <cellStyle name="Followed Hyperlink" xfId="7465" builtinId="9" hidden="1"/>
    <cellStyle name="Followed Hyperlink" xfId="7467" builtinId="9" hidden="1"/>
    <cellStyle name="Followed Hyperlink" xfId="7469" builtinId="9" hidden="1"/>
    <cellStyle name="Followed Hyperlink" xfId="7471" builtinId="9" hidden="1"/>
    <cellStyle name="Followed Hyperlink" xfId="7473" builtinId="9" hidden="1"/>
    <cellStyle name="Followed Hyperlink" xfId="7475" builtinId="9" hidden="1"/>
    <cellStyle name="Followed Hyperlink" xfId="7477" builtinId="9" hidden="1"/>
    <cellStyle name="Followed Hyperlink" xfId="7479" builtinId="9" hidden="1"/>
    <cellStyle name="Followed Hyperlink" xfId="7481" builtinId="9" hidden="1"/>
    <cellStyle name="Followed Hyperlink" xfId="7483" builtinId="9" hidden="1"/>
    <cellStyle name="Followed Hyperlink" xfId="7485" builtinId="9" hidden="1"/>
    <cellStyle name="Followed Hyperlink" xfId="7487" builtinId="9" hidden="1"/>
    <cellStyle name="Followed Hyperlink" xfId="7489" builtinId="9" hidden="1"/>
    <cellStyle name="Followed Hyperlink" xfId="7491" builtinId="9" hidden="1"/>
    <cellStyle name="Followed Hyperlink" xfId="7493" builtinId="9" hidden="1"/>
    <cellStyle name="Followed Hyperlink" xfId="7495" builtinId="9" hidden="1"/>
    <cellStyle name="Followed Hyperlink" xfId="7497" builtinId="9" hidden="1"/>
    <cellStyle name="Followed Hyperlink" xfId="7499" builtinId="9" hidden="1"/>
    <cellStyle name="Followed Hyperlink" xfId="7501" builtinId="9" hidden="1"/>
    <cellStyle name="Followed Hyperlink" xfId="7503" builtinId="9" hidden="1"/>
    <cellStyle name="Followed Hyperlink" xfId="7505" builtinId="9" hidden="1"/>
    <cellStyle name="Followed Hyperlink" xfId="7507" builtinId="9" hidden="1"/>
    <cellStyle name="Followed Hyperlink" xfId="7509" builtinId="9" hidden="1"/>
    <cellStyle name="Followed Hyperlink" xfId="7511" builtinId="9" hidden="1"/>
    <cellStyle name="Followed Hyperlink" xfId="7513" builtinId="9" hidden="1"/>
    <cellStyle name="Followed Hyperlink" xfId="7515" builtinId="9" hidden="1"/>
    <cellStyle name="Followed Hyperlink" xfId="7517" builtinId="9" hidden="1"/>
    <cellStyle name="Followed Hyperlink" xfId="7519" builtinId="9" hidden="1"/>
    <cellStyle name="Followed Hyperlink" xfId="7521" builtinId="9" hidden="1"/>
    <cellStyle name="Followed Hyperlink" xfId="7523" builtinId="9" hidden="1"/>
    <cellStyle name="Followed Hyperlink" xfId="7525" builtinId="9" hidden="1"/>
    <cellStyle name="Followed Hyperlink" xfId="7527" builtinId="9" hidden="1"/>
    <cellStyle name="Followed Hyperlink" xfId="7529" builtinId="9" hidden="1"/>
    <cellStyle name="Followed Hyperlink" xfId="7531" builtinId="9" hidden="1"/>
    <cellStyle name="Followed Hyperlink" xfId="7533" builtinId="9" hidden="1"/>
    <cellStyle name="Followed Hyperlink" xfId="7535" builtinId="9" hidden="1"/>
    <cellStyle name="Followed Hyperlink" xfId="7537" builtinId="9" hidden="1"/>
    <cellStyle name="Followed Hyperlink" xfId="7539" builtinId="9" hidden="1"/>
    <cellStyle name="Followed Hyperlink" xfId="7541" builtinId="9" hidden="1"/>
    <cellStyle name="Followed Hyperlink" xfId="7543" builtinId="9" hidden="1"/>
    <cellStyle name="Followed Hyperlink" xfId="7545" builtinId="9" hidden="1"/>
    <cellStyle name="Followed Hyperlink" xfId="7547" builtinId="9" hidden="1"/>
    <cellStyle name="Followed Hyperlink" xfId="7549" builtinId="9" hidden="1"/>
    <cellStyle name="Followed Hyperlink" xfId="7551" builtinId="9" hidden="1"/>
    <cellStyle name="Followed Hyperlink" xfId="7553" builtinId="9" hidden="1"/>
    <cellStyle name="Followed Hyperlink" xfId="7555" builtinId="9" hidden="1"/>
    <cellStyle name="Followed Hyperlink" xfId="7557" builtinId="9" hidden="1"/>
    <cellStyle name="Followed Hyperlink" xfId="7559" builtinId="9" hidden="1"/>
    <cellStyle name="Followed Hyperlink" xfId="7561" builtinId="9" hidden="1"/>
    <cellStyle name="Followed Hyperlink" xfId="7563" builtinId="9" hidden="1"/>
    <cellStyle name="Followed Hyperlink" xfId="7565" builtinId="9" hidden="1"/>
    <cellStyle name="Followed Hyperlink" xfId="7567" builtinId="9" hidden="1"/>
    <cellStyle name="Followed Hyperlink" xfId="7569" builtinId="9" hidden="1"/>
    <cellStyle name="Followed Hyperlink" xfId="7571" builtinId="9" hidden="1"/>
    <cellStyle name="Followed Hyperlink" xfId="7573" builtinId="9" hidden="1"/>
    <cellStyle name="Followed Hyperlink" xfId="7575" builtinId="9" hidden="1"/>
    <cellStyle name="Followed Hyperlink" xfId="7577" builtinId="9" hidden="1"/>
    <cellStyle name="Followed Hyperlink" xfId="7579" builtinId="9" hidden="1"/>
    <cellStyle name="Followed Hyperlink" xfId="7581" builtinId="9" hidden="1"/>
    <cellStyle name="Followed Hyperlink" xfId="7583" builtinId="9" hidden="1"/>
    <cellStyle name="Followed Hyperlink" xfId="7585" builtinId="9" hidden="1"/>
    <cellStyle name="Followed Hyperlink" xfId="7587" builtinId="9" hidden="1"/>
    <cellStyle name="Followed Hyperlink" xfId="7589" builtinId="9" hidden="1"/>
    <cellStyle name="Followed Hyperlink" xfId="7591" builtinId="9" hidden="1"/>
    <cellStyle name="Followed Hyperlink" xfId="7593" builtinId="9" hidden="1"/>
    <cellStyle name="Followed Hyperlink" xfId="7595" builtinId="9" hidden="1"/>
    <cellStyle name="Followed Hyperlink" xfId="7597" builtinId="9" hidden="1"/>
    <cellStyle name="Followed Hyperlink" xfId="7599" builtinId="9" hidden="1"/>
    <cellStyle name="Followed Hyperlink" xfId="7601" builtinId="9" hidden="1"/>
    <cellStyle name="Followed Hyperlink" xfId="7603" builtinId="9" hidden="1"/>
    <cellStyle name="Followed Hyperlink" xfId="7605" builtinId="9" hidden="1"/>
    <cellStyle name="Followed Hyperlink" xfId="7607" builtinId="9" hidden="1"/>
    <cellStyle name="Followed Hyperlink" xfId="7609" builtinId="9" hidden="1"/>
    <cellStyle name="Followed Hyperlink" xfId="7611" builtinId="9" hidden="1"/>
    <cellStyle name="Followed Hyperlink" xfId="7613" builtinId="9" hidden="1"/>
    <cellStyle name="Followed Hyperlink" xfId="7615" builtinId="9" hidden="1"/>
    <cellStyle name="Followed Hyperlink" xfId="7617" builtinId="9" hidden="1"/>
    <cellStyle name="Followed Hyperlink" xfId="7619" builtinId="9" hidden="1"/>
    <cellStyle name="Followed Hyperlink" xfId="7621" builtinId="9" hidden="1"/>
    <cellStyle name="Followed Hyperlink" xfId="7623" builtinId="9" hidden="1"/>
    <cellStyle name="Followed Hyperlink" xfId="7625" builtinId="9" hidden="1"/>
    <cellStyle name="Followed Hyperlink" xfId="7627" builtinId="9" hidden="1"/>
    <cellStyle name="Followed Hyperlink" xfId="7629" builtinId="9" hidden="1"/>
    <cellStyle name="Followed Hyperlink" xfId="7631" builtinId="9" hidden="1"/>
    <cellStyle name="Followed Hyperlink" xfId="7633" builtinId="9" hidden="1"/>
    <cellStyle name="Followed Hyperlink" xfId="7635" builtinId="9" hidden="1"/>
    <cellStyle name="Followed Hyperlink" xfId="7637" builtinId="9" hidden="1"/>
    <cellStyle name="Followed Hyperlink" xfId="7639" builtinId="9" hidden="1"/>
    <cellStyle name="Followed Hyperlink" xfId="7641" builtinId="9" hidden="1"/>
    <cellStyle name="Followed Hyperlink" xfId="7643" builtinId="9" hidden="1"/>
    <cellStyle name="Followed Hyperlink" xfId="7645" builtinId="9" hidden="1"/>
    <cellStyle name="Followed Hyperlink" xfId="7647" builtinId="9" hidden="1"/>
    <cellStyle name="Followed Hyperlink" xfId="7649" builtinId="9" hidden="1"/>
    <cellStyle name="Followed Hyperlink" xfId="7651" builtinId="9" hidden="1"/>
    <cellStyle name="Followed Hyperlink" xfId="7653" builtinId="9" hidden="1"/>
    <cellStyle name="Followed Hyperlink" xfId="7655" builtinId="9" hidden="1"/>
    <cellStyle name="Followed Hyperlink" xfId="7657" builtinId="9" hidden="1"/>
    <cellStyle name="Followed Hyperlink" xfId="7659" builtinId="9" hidden="1"/>
    <cellStyle name="Followed Hyperlink" xfId="7661" builtinId="9" hidden="1"/>
    <cellStyle name="Followed Hyperlink" xfId="7663" builtinId="9" hidden="1"/>
    <cellStyle name="Followed Hyperlink" xfId="7665" builtinId="9" hidden="1"/>
    <cellStyle name="Followed Hyperlink" xfId="7667" builtinId="9" hidden="1"/>
    <cellStyle name="Followed Hyperlink" xfId="7669" builtinId="9" hidden="1"/>
    <cellStyle name="Followed Hyperlink" xfId="7671" builtinId="9" hidden="1"/>
    <cellStyle name="Followed Hyperlink" xfId="7673" builtinId="9" hidden="1"/>
    <cellStyle name="Followed Hyperlink" xfId="7675" builtinId="9" hidden="1"/>
    <cellStyle name="Followed Hyperlink" xfId="7677" builtinId="9" hidden="1"/>
    <cellStyle name="Followed Hyperlink" xfId="7679" builtinId="9" hidden="1"/>
    <cellStyle name="Followed Hyperlink" xfId="7681" builtinId="9" hidden="1"/>
    <cellStyle name="Followed Hyperlink" xfId="7683" builtinId="9" hidden="1"/>
    <cellStyle name="Followed Hyperlink" xfId="7685" builtinId="9" hidden="1"/>
    <cellStyle name="Followed Hyperlink" xfId="7687" builtinId="9" hidden="1"/>
    <cellStyle name="Followed Hyperlink" xfId="7689" builtinId="9" hidden="1"/>
    <cellStyle name="Followed Hyperlink" xfId="7691" builtinId="9" hidden="1"/>
    <cellStyle name="Followed Hyperlink" xfId="7693" builtinId="9" hidden="1"/>
    <cellStyle name="Followed Hyperlink" xfId="7695" builtinId="9" hidden="1"/>
    <cellStyle name="Followed Hyperlink" xfId="7697" builtinId="9" hidden="1"/>
    <cellStyle name="Followed Hyperlink" xfId="7699" builtinId="9" hidden="1"/>
    <cellStyle name="Followed Hyperlink" xfId="7701" builtinId="9" hidden="1"/>
    <cellStyle name="Followed Hyperlink" xfId="7703" builtinId="9" hidden="1"/>
    <cellStyle name="Followed Hyperlink" xfId="7705" builtinId="9" hidden="1"/>
    <cellStyle name="Followed Hyperlink" xfId="7707" builtinId="9" hidden="1"/>
    <cellStyle name="Followed Hyperlink" xfId="7709" builtinId="9" hidden="1"/>
    <cellStyle name="Followed Hyperlink" xfId="7711" builtinId="9" hidden="1"/>
    <cellStyle name="Followed Hyperlink" xfId="7713" builtinId="9" hidden="1"/>
    <cellStyle name="Followed Hyperlink" xfId="7715" builtinId="9" hidden="1"/>
    <cellStyle name="Followed Hyperlink" xfId="7717" builtinId="9" hidden="1"/>
    <cellStyle name="Followed Hyperlink" xfId="7719" builtinId="9" hidden="1"/>
    <cellStyle name="Followed Hyperlink" xfId="7721" builtinId="9" hidden="1"/>
    <cellStyle name="Followed Hyperlink" xfId="7723" builtinId="9" hidden="1"/>
    <cellStyle name="Followed Hyperlink" xfId="7725" builtinId="9" hidden="1"/>
    <cellStyle name="Followed Hyperlink" xfId="7727" builtinId="9" hidden="1"/>
    <cellStyle name="Followed Hyperlink" xfId="7729" builtinId="9" hidden="1"/>
    <cellStyle name="Followed Hyperlink" xfId="7731" builtinId="9" hidden="1"/>
    <cellStyle name="Followed Hyperlink" xfId="7733" builtinId="9" hidden="1"/>
    <cellStyle name="Followed Hyperlink" xfId="7735" builtinId="9" hidden="1"/>
    <cellStyle name="Followed Hyperlink" xfId="7737" builtinId="9" hidden="1"/>
    <cellStyle name="Followed Hyperlink" xfId="7739" builtinId="9" hidden="1"/>
    <cellStyle name="Followed Hyperlink" xfId="7741" builtinId="9" hidden="1"/>
    <cellStyle name="Followed Hyperlink" xfId="7743" builtinId="9" hidden="1"/>
    <cellStyle name="Followed Hyperlink" xfId="7745" builtinId="9" hidden="1"/>
    <cellStyle name="Followed Hyperlink" xfId="7747" builtinId="9" hidden="1"/>
    <cellStyle name="Followed Hyperlink" xfId="7749" builtinId="9" hidden="1"/>
    <cellStyle name="Followed Hyperlink" xfId="7751" builtinId="9" hidden="1"/>
    <cellStyle name="Followed Hyperlink" xfId="7753" builtinId="9" hidden="1"/>
    <cellStyle name="Followed Hyperlink" xfId="7755" builtinId="9" hidden="1"/>
    <cellStyle name="Followed Hyperlink" xfId="7757" builtinId="9" hidden="1"/>
    <cellStyle name="Followed Hyperlink" xfId="7759" builtinId="9" hidden="1"/>
    <cellStyle name="Followed Hyperlink" xfId="7761" builtinId="9" hidden="1"/>
    <cellStyle name="Followed Hyperlink" xfId="7763" builtinId="9" hidden="1"/>
    <cellStyle name="Followed Hyperlink" xfId="7765" builtinId="9" hidden="1"/>
    <cellStyle name="Followed Hyperlink" xfId="7767" builtinId="9" hidden="1"/>
    <cellStyle name="Followed Hyperlink" xfId="7769" builtinId="9" hidden="1"/>
    <cellStyle name="Followed Hyperlink" xfId="7771" builtinId="9" hidden="1"/>
    <cellStyle name="Followed Hyperlink" xfId="7773" builtinId="9" hidden="1"/>
    <cellStyle name="Followed Hyperlink" xfId="7775" builtinId="9" hidden="1"/>
    <cellStyle name="Followed Hyperlink" xfId="7777" builtinId="9" hidden="1"/>
    <cellStyle name="Followed Hyperlink" xfId="7779" builtinId="9" hidden="1"/>
    <cellStyle name="Followed Hyperlink" xfId="7781" builtinId="9" hidden="1"/>
    <cellStyle name="Followed Hyperlink" xfId="7783" builtinId="9" hidden="1"/>
    <cellStyle name="Followed Hyperlink" xfId="7785" builtinId="9" hidden="1"/>
    <cellStyle name="Followed Hyperlink" xfId="7787" builtinId="9" hidden="1"/>
    <cellStyle name="Followed Hyperlink" xfId="7789" builtinId="9" hidden="1"/>
    <cellStyle name="Followed Hyperlink" xfId="7791" builtinId="9" hidden="1"/>
    <cellStyle name="Followed Hyperlink" xfId="7793" builtinId="9" hidden="1"/>
    <cellStyle name="Followed Hyperlink" xfId="7795" builtinId="9" hidden="1"/>
    <cellStyle name="Followed Hyperlink" xfId="7797" builtinId="9" hidden="1"/>
    <cellStyle name="Followed Hyperlink" xfId="7799" builtinId="9" hidden="1"/>
    <cellStyle name="Followed Hyperlink" xfId="7801" builtinId="9" hidden="1"/>
    <cellStyle name="Followed Hyperlink" xfId="7803" builtinId="9" hidden="1"/>
    <cellStyle name="Followed Hyperlink" xfId="7805" builtinId="9" hidden="1"/>
    <cellStyle name="Followed Hyperlink" xfId="7807" builtinId="9" hidden="1"/>
    <cellStyle name="Followed Hyperlink" xfId="7809" builtinId="9" hidden="1"/>
    <cellStyle name="Followed Hyperlink" xfId="7811" builtinId="9" hidden="1"/>
    <cellStyle name="Followed Hyperlink" xfId="7813" builtinId="9" hidden="1"/>
    <cellStyle name="Followed Hyperlink" xfId="7815" builtinId="9" hidden="1"/>
    <cellStyle name="Followed Hyperlink" xfId="7817" builtinId="9" hidden="1"/>
    <cellStyle name="Followed Hyperlink" xfId="7819" builtinId="9" hidden="1"/>
    <cellStyle name="Followed Hyperlink" xfId="7821" builtinId="9" hidden="1"/>
    <cellStyle name="Followed Hyperlink" xfId="7823" builtinId="9" hidden="1"/>
    <cellStyle name="Followed Hyperlink" xfId="7825" builtinId="9" hidden="1"/>
    <cellStyle name="Followed Hyperlink" xfId="7827" builtinId="9" hidden="1"/>
    <cellStyle name="Followed Hyperlink" xfId="7829" builtinId="9" hidden="1"/>
    <cellStyle name="Followed Hyperlink" xfId="7831" builtinId="9" hidden="1"/>
    <cellStyle name="Followed Hyperlink" xfId="7833" builtinId="9" hidden="1"/>
    <cellStyle name="Followed Hyperlink" xfId="7835" builtinId="9" hidden="1"/>
    <cellStyle name="Followed Hyperlink" xfId="7837" builtinId="9" hidden="1"/>
    <cellStyle name="Followed Hyperlink" xfId="7839" builtinId="9" hidden="1"/>
    <cellStyle name="Followed Hyperlink" xfId="7841" builtinId="9" hidden="1"/>
    <cellStyle name="Followed Hyperlink" xfId="7843" builtinId="9" hidden="1"/>
    <cellStyle name="Followed Hyperlink" xfId="7845" builtinId="9" hidden="1"/>
    <cellStyle name="Followed Hyperlink" xfId="7847" builtinId="9" hidden="1"/>
    <cellStyle name="Followed Hyperlink" xfId="7849" builtinId="9" hidden="1"/>
    <cellStyle name="Followed Hyperlink" xfId="7851" builtinId="9" hidden="1"/>
    <cellStyle name="Followed Hyperlink" xfId="7853" builtinId="9" hidden="1"/>
    <cellStyle name="Followed Hyperlink" xfId="7855" builtinId="9" hidden="1"/>
    <cellStyle name="Followed Hyperlink" xfId="7857" builtinId="9" hidden="1"/>
    <cellStyle name="Followed Hyperlink" xfId="7859" builtinId="9" hidden="1"/>
    <cellStyle name="Followed Hyperlink" xfId="7861" builtinId="9" hidden="1"/>
    <cellStyle name="Followed Hyperlink" xfId="7863" builtinId="9" hidden="1"/>
    <cellStyle name="Followed Hyperlink" xfId="7865" builtinId="9" hidden="1"/>
    <cellStyle name="Followed Hyperlink" xfId="7867" builtinId="9" hidden="1"/>
    <cellStyle name="Followed Hyperlink" xfId="7869" builtinId="9" hidden="1"/>
    <cellStyle name="Followed Hyperlink" xfId="7871" builtinId="9" hidden="1"/>
    <cellStyle name="Followed Hyperlink" xfId="7873" builtinId="9" hidden="1"/>
    <cellStyle name="Followed Hyperlink" xfId="7875" builtinId="9" hidden="1"/>
    <cellStyle name="Followed Hyperlink" xfId="7877" builtinId="9" hidden="1"/>
    <cellStyle name="Followed Hyperlink" xfId="7879" builtinId="9" hidden="1"/>
    <cellStyle name="Followed Hyperlink" xfId="7881" builtinId="9" hidden="1"/>
    <cellStyle name="Followed Hyperlink" xfId="7883" builtinId="9" hidden="1"/>
    <cellStyle name="Followed Hyperlink" xfId="7885" builtinId="9" hidden="1"/>
    <cellStyle name="Followed Hyperlink" xfId="7887" builtinId="9" hidden="1"/>
    <cellStyle name="Followed Hyperlink" xfId="7889" builtinId="9" hidden="1"/>
    <cellStyle name="Followed Hyperlink" xfId="7891" builtinId="9" hidden="1"/>
    <cellStyle name="Followed Hyperlink" xfId="7893" builtinId="9" hidden="1"/>
    <cellStyle name="Followed Hyperlink" xfId="7895" builtinId="9" hidden="1"/>
    <cellStyle name="Followed Hyperlink" xfId="7897" builtinId="9" hidden="1"/>
    <cellStyle name="Followed Hyperlink" xfId="7899" builtinId="9" hidden="1"/>
    <cellStyle name="Followed Hyperlink" xfId="7901" builtinId="9" hidden="1"/>
    <cellStyle name="Followed Hyperlink" xfId="7903" builtinId="9" hidden="1"/>
    <cellStyle name="Followed Hyperlink" xfId="7905" builtinId="9" hidden="1"/>
    <cellStyle name="Followed Hyperlink" xfId="7907" builtinId="9" hidden="1"/>
    <cellStyle name="Followed Hyperlink" xfId="7909" builtinId="9" hidden="1"/>
    <cellStyle name="Followed Hyperlink" xfId="7911" builtinId="9" hidden="1"/>
    <cellStyle name="Followed Hyperlink" xfId="7913" builtinId="9" hidden="1"/>
    <cellStyle name="Followed Hyperlink" xfId="7915" builtinId="9" hidden="1"/>
    <cellStyle name="Followed Hyperlink" xfId="7917" builtinId="9" hidden="1"/>
    <cellStyle name="Followed Hyperlink" xfId="7919" builtinId="9" hidden="1"/>
    <cellStyle name="Followed Hyperlink" xfId="7921" builtinId="9" hidden="1"/>
    <cellStyle name="Followed Hyperlink" xfId="7923" builtinId="9" hidden="1"/>
    <cellStyle name="Followed Hyperlink" xfId="7925" builtinId="9" hidden="1"/>
    <cellStyle name="Followed Hyperlink" xfId="7927" builtinId="9" hidden="1"/>
    <cellStyle name="Followed Hyperlink" xfId="7929" builtinId="9" hidden="1"/>
    <cellStyle name="Followed Hyperlink" xfId="7931" builtinId="9" hidden="1"/>
    <cellStyle name="Followed Hyperlink" xfId="7933" builtinId="9" hidden="1"/>
    <cellStyle name="Followed Hyperlink" xfId="7935" builtinId="9" hidden="1"/>
    <cellStyle name="Followed Hyperlink" xfId="7937" builtinId="9" hidden="1"/>
    <cellStyle name="Followed Hyperlink" xfId="7939" builtinId="9" hidden="1"/>
    <cellStyle name="Followed Hyperlink" xfId="7941" builtinId="9" hidden="1"/>
    <cellStyle name="Followed Hyperlink" xfId="7943" builtinId="9" hidden="1"/>
    <cellStyle name="Followed Hyperlink" xfId="7945" builtinId="9" hidden="1"/>
    <cellStyle name="Followed Hyperlink" xfId="7947" builtinId="9" hidden="1"/>
    <cellStyle name="Followed Hyperlink" xfId="7949" builtinId="9" hidden="1"/>
    <cellStyle name="Followed Hyperlink" xfId="7951" builtinId="9" hidden="1"/>
    <cellStyle name="Followed Hyperlink" xfId="7953" builtinId="9" hidden="1"/>
    <cellStyle name="Followed Hyperlink" xfId="7955" builtinId="9" hidden="1"/>
    <cellStyle name="Followed Hyperlink" xfId="7957" builtinId="9" hidden="1"/>
    <cellStyle name="Followed Hyperlink" xfId="7959" builtinId="9" hidden="1"/>
    <cellStyle name="Followed Hyperlink" xfId="7961" builtinId="9" hidden="1"/>
    <cellStyle name="Followed Hyperlink" xfId="7963" builtinId="9" hidden="1"/>
    <cellStyle name="Followed Hyperlink" xfId="7965" builtinId="9" hidden="1"/>
    <cellStyle name="Followed Hyperlink" xfId="7967" builtinId="9" hidden="1"/>
    <cellStyle name="Followed Hyperlink" xfId="7969" builtinId="9" hidden="1"/>
    <cellStyle name="Followed Hyperlink" xfId="7971" builtinId="9" hidden="1"/>
    <cellStyle name="Followed Hyperlink" xfId="7973" builtinId="9" hidden="1"/>
    <cellStyle name="Followed Hyperlink" xfId="7975" builtinId="9" hidden="1"/>
    <cellStyle name="Followed Hyperlink" xfId="7977" builtinId="9" hidden="1"/>
    <cellStyle name="Followed Hyperlink" xfId="7979" builtinId="9" hidden="1"/>
    <cellStyle name="Followed Hyperlink" xfId="7981" builtinId="9" hidden="1"/>
    <cellStyle name="Followed Hyperlink" xfId="7983" builtinId="9" hidden="1"/>
    <cellStyle name="Followed Hyperlink" xfId="7985" builtinId="9" hidden="1"/>
    <cellStyle name="Followed Hyperlink" xfId="7987" builtinId="9" hidden="1"/>
    <cellStyle name="Followed Hyperlink" xfId="7989" builtinId="9" hidden="1"/>
    <cellStyle name="Followed Hyperlink" xfId="7991" builtinId="9" hidden="1"/>
    <cellStyle name="Followed Hyperlink" xfId="7993" builtinId="9" hidden="1"/>
    <cellStyle name="Followed Hyperlink" xfId="7995" builtinId="9" hidden="1"/>
    <cellStyle name="Followed Hyperlink" xfId="7997" builtinId="9" hidden="1"/>
    <cellStyle name="Followed Hyperlink" xfId="7999" builtinId="9" hidden="1"/>
    <cellStyle name="Followed Hyperlink" xfId="8001" builtinId="9" hidden="1"/>
    <cellStyle name="Followed Hyperlink" xfId="8003" builtinId="9" hidden="1"/>
    <cellStyle name="Followed Hyperlink" xfId="8005" builtinId="9" hidden="1"/>
    <cellStyle name="Followed Hyperlink" xfId="8007" builtinId="9" hidden="1"/>
    <cellStyle name="Followed Hyperlink" xfId="8009" builtinId="9" hidden="1"/>
    <cellStyle name="Followed Hyperlink" xfId="8011" builtinId="9" hidden="1"/>
    <cellStyle name="Followed Hyperlink" xfId="8013" builtinId="9" hidden="1"/>
    <cellStyle name="Followed Hyperlink" xfId="8015" builtinId="9" hidden="1"/>
    <cellStyle name="Followed Hyperlink" xfId="8017" builtinId="9" hidden="1"/>
    <cellStyle name="Followed Hyperlink" xfId="8019" builtinId="9" hidden="1"/>
    <cellStyle name="Followed Hyperlink" xfId="8021" builtinId="9" hidden="1"/>
    <cellStyle name="Followed Hyperlink" xfId="8023" builtinId="9" hidden="1"/>
    <cellStyle name="Followed Hyperlink" xfId="8025" builtinId="9" hidden="1"/>
    <cellStyle name="Followed Hyperlink" xfId="8027" builtinId="9" hidden="1"/>
    <cellStyle name="Followed Hyperlink" xfId="8029" builtinId="9" hidden="1"/>
    <cellStyle name="Followed Hyperlink" xfId="8031" builtinId="9" hidden="1"/>
    <cellStyle name="Followed Hyperlink" xfId="8033" builtinId="9" hidden="1"/>
    <cellStyle name="Followed Hyperlink" xfId="8035" builtinId="9" hidden="1"/>
    <cellStyle name="Followed Hyperlink" xfId="8037" builtinId="9" hidden="1"/>
    <cellStyle name="Followed Hyperlink" xfId="8039" builtinId="9" hidden="1"/>
    <cellStyle name="Followed Hyperlink" xfId="8041" builtinId="9" hidden="1"/>
    <cellStyle name="Followed Hyperlink" xfId="8043" builtinId="9" hidden="1"/>
    <cellStyle name="Followed Hyperlink" xfId="8045" builtinId="9" hidden="1"/>
    <cellStyle name="Followed Hyperlink" xfId="8047" builtinId="9" hidden="1"/>
    <cellStyle name="Followed Hyperlink" xfId="8049" builtinId="9" hidden="1"/>
    <cellStyle name="Followed Hyperlink" xfId="8051" builtinId="9" hidden="1"/>
    <cellStyle name="Followed Hyperlink" xfId="8053" builtinId="9" hidden="1"/>
    <cellStyle name="Followed Hyperlink" xfId="8055" builtinId="9" hidden="1"/>
    <cellStyle name="Followed Hyperlink" xfId="8057" builtinId="9" hidden="1"/>
    <cellStyle name="Followed Hyperlink" xfId="8059" builtinId="9" hidden="1"/>
    <cellStyle name="Followed Hyperlink" xfId="8061" builtinId="9" hidden="1"/>
    <cellStyle name="Followed Hyperlink" xfId="8063" builtinId="9" hidden="1"/>
    <cellStyle name="Followed Hyperlink" xfId="8065" builtinId="9" hidden="1"/>
    <cellStyle name="Followed Hyperlink" xfId="8067" builtinId="9" hidden="1"/>
    <cellStyle name="Followed Hyperlink" xfId="8069" builtinId="9" hidden="1"/>
    <cellStyle name="Followed Hyperlink" xfId="8071" builtinId="9" hidden="1"/>
    <cellStyle name="Followed Hyperlink" xfId="8073" builtinId="9" hidden="1"/>
    <cellStyle name="Followed Hyperlink" xfId="8075" builtinId="9" hidden="1"/>
    <cellStyle name="Followed Hyperlink" xfId="8077" builtinId="9" hidden="1"/>
    <cellStyle name="Followed Hyperlink" xfId="8079" builtinId="9" hidden="1"/>
    <cellStyle name="Followed Hyperlink" xfId="8081" builtinId="9" hidden="1"/>
    <cellStyle name="Followed Hyperlink" xfId="8083" builtinId="9" hidden="1"/>
    <cellStyle name="Followed Hyperlink" xfId="8085" builtinId="9" hidden="1"/>
    <cellStyle name="Followed Hyperlink" xfId="8087" builtinId="9" hidden="1"/>
    <cellStyle name="Followed Hyperlink" xfId="8089" builtinId="9" hidden="1"/>
    <cellStyle name="Followed Hyperlink" xfId="8091" builtinId="9" hidden="1"/>
    <cellStyle name="Followed Hyperlink" xfId="8093" builtinId="9" hidden="1"/>
    <cellStyle name="Followed Hyperlink" xfId="8095" builtinId="9" hidden="1"/>
    <cellStyle name="Followed Hyperlink" xfId="8097" builtinId="9" hidden="1"/>
    <cellStyle name="Followed Hyperlink" xfId="8099" builtinId="9" hidden="1"/>
    <cellStyle name="Followed Hyperlink" xfId="8101" builtinId="9" hidden="1"/>
    <cellStyle name="Followed Hyperlink" xfId="8103" builtinId="9" hidden="1"/>
    <cellStyle name="Followed Hyperlink" xfId="8105" builtinId="9" hidden="1"/>
    <cellStyle name="Followed Hyperlink" xfId="8107" builtinId="9" hidden="1"/>
    <cellStyle name="Followed Hyperlink" xfId="8109" builtinId="9" hidden="1"/>
    <cellStyle name="Followed Hyperlink" xfId="8111" builtinId="9" hidden="1"/>
    <cellStyle name="Followed Hyperlink" xfId="8113" builtinId="9" hidden="1"/>
    <cellStyle name="Followed Hyperlink" xfId="8115" builtinId="9" hidden="1"/>
    <cellStyle name="Followed Hyperlink" xfId="8117" builtinId="9" hidden="1"/>
    <cellStyle name="Followed Hyperlink" xfId="8119" builtinId="9" hidden="1"/>
    <cellStyle name="Followed Hyperlink" xfId="8121" builtinId="9" hidden="1"/>
    <cellStyle name="Followed Hyperlink" xfId="8123" builtinId="9" hidden="1"/>
    <cellStyle name="Followed Hyperlink" xfId="8125" builtinId="9" hidden="1"/>
    <cellStyle name="Followed Hyperlink" xfId="8127" builtinId="9" hidden="1"/>
    <cellStyle name="Followed Hyperlink" xfId="8129" builtinId="9" hidden="1"/>
    <cellStyle name="Followed Hyperlink" xfId="8131" builtinId="9" hidden="1"/>
    <cellStyle name="Followed Hyperlink" xfId="8133" builtinId="9" hidden="1"/>
    <cellStyle name="Followed Hyperlink" xfId="8135" builtinId="9" hidden="1"/>
    <cellStyle name="Followed Hyperlink" xfId="8137" builtinId="9" hidden="1"/>
    <cellStyle name="Followed Hyperlink" xfId="8139" builtinId="9" hidden="1"/>
    <cellStyle name="Followed Hyperlink" xfId="8141" builtinId="9" hidden="1"/>
    <cellStyle name="Followed Hyperlink" xfId="8143" builtinId="9" hidden="1"/>
    <cellStyle name="Followed Hyperlink" xfId="8145" builtinId="9" hidden="1"/>
    <cellStyle name="Followed Hyperlink" xfId="8147" builtinId="9" hidden="1"/>
    <cellStyle name="Followed Hyperlink" xfId="8149" builtinId="9" hidden="1"/>
    <cellStyle name="Followed Hyperlink" xfId="8151" builtinId="9" hidden="1"/>
    <cellStyle name="Followed Hyperlink" xfId="8153" builtinId="9" hidden="1"/>
    <cellStyle name="Followed Hyperlink" xfId="8155" builtinId="9" hidden="1"/>
    <cellStyle name="Followed Hyperlink" xfId="8157" builtinId="9" hidden="1"/>
    <cellStyle name="Followed Hyperlink" xfId="8159" builtinId="9" hidden="1"/>
    <cellStyle name="Followed Hyperlink" xfId="8161" builtinId="9" hidden="1"/>
    <cellStyle name="Followed Hyperlink" xfId="8163" builtinId="9" hidden="1"/>
    <cellStyle name="Followed Hyperlink" xfId="8165" builtinId="9" hidden="1"/>
    <cellStyle name="Followed Hyperlink" xfId="8167" builtinId="9" hidden="1"/>
    <cellStyle name="Followed Hyperlink" xfId="8169" builtinId="9" hidden="1"/>
    <cellStyle name="Followed Hyperlink" xfId="8171" builtinId="9" hidden="1"/>
    <cellStyle name="Followed Hyperlink" xfId="8173" builtinId="9" hidden="1"/>
    <cellStyle name="Followed Hyperlink" xfId="8175" builtinId="9" hidden="1"/>
    <cellStyle name="Followed Hyperlink" xfId="8177" builtinId="9" hidden="1"/>
    <cellStyle name="Followed Hyperlink" xfId="8179" builtinId="9" hidden="1"/>
    <cellStyle name="Followed Hyperlink" xfId="8181" builtinId="9" hidden="1"/>
    <cellStyle name="Followed Hyperlink" xfId="8183" builtinId="9" hidden="1"/>
    <cellStyle name="Followed Hyperlink" xfId="8185" builtinId="9" hidden="1"/>
    <cellStyle name="Followed Hyperlink" xfId="8187" builtinId="9" hidden="1"/>
    <cellStyle name="Followed Hyperlink" xfId="8189" builtinId="9" hidden="1"/>
    <cellStyle name="Followed Hyperlink" xfId="8191" builtinId="9" hidden="1"/>
    <cellStyle name="Followed Hyperlink" xfId="8193" builtinId="9" hidden="1"/>
    <cellStyle name="Followed Hyperlink" xfId="8195" builtinId="9" hidden="1"/>
    <cellStyle name="Followed Hyperlink" xfId="8197" builtinId="9" hidden="1"/>
    <cellStyle name="Followed Hyperlink" xfId="8199" builtinId="9" hidden="1"/>
    <cellStyle name="Followed Hyperlink" xfId="8201" builtinId="9" hidden="1"/>
    <cellStyle name="Followed Hyperlink" xfId="8203" builtinId="9" hidden="1"/>
    <cellStyle name="Followed Hyperlink" xfId="8205" builtinId="9" hidden="1"/>
    <cellStyle name="Followed Hyperlink" xfId="8207" builtinId="9" hidden="1"/>
    <cellStyle name="Followed Hyperlink" xfId="8209" builtinId="9" hidden="1"/>
    <cellStyle name="Followed Hyperlink" xfId="8211" builtinId="9" hidden="1"/>
    <cellStyle name="Followed Hyperlink" xfId="8213" builtinId="9" hidden="1"/>
    <cellStyle name="Followed Hyperlink" xfId="8215" builtinId="9" hidden="1"/>
    <cellStyle name="Followed Hyperlink" xfId="8217" builtinId="9" hidden="1"/>
    <cellStyle name="Followed Hyperlink" xfId="8219" builtinId="9" hidden="1"/>
    <cellStyle name="Followed Hyperlink" xfId="8221" builtinId="9" hidden="1"/>
    <cellStyle name="Followed Hyperlink" xfId="8223" builtinId="9" hidden="1"/>
    <cellStyle name="Followed Hyperlink" xfId="8225" builtinId="9" hidden="1"/>
    <cellStyle name="Followed Hyperlink" xfId="8227" builtinId="9" hidden="1"/>
    <cellStyle name="Followed Hyperlink" xfId="8229" builtinId="9" hidden="1"/>
    <cellStyle name="Followed Hyperlink" xfId="8231" builtinId="9" hidden="1"/>
    <cellStyle name="Followed Hyperlink" xfId="8233" builtinId="9" hidden="1"/>
    <cellStyle name="Followed Hyperlink" xfId="8235" builtinId="9" hidden="1"/>
    <cellStyle name="Followed Hyperlink" xfId="8237" builtinId="9" hidden="1"/>
    <cellStyle name="Followed Hyperlink" xfId="8239" builtinId="9" hidden="1"/>
    <cellStyle name="Followed Hyperlink" xfId="8241" builtinId="9" hidden="1"/>
    <cellStyle name="Followed Hyperlink" xfId="8243" builtinId="9" hidden="1"/>
    <cellStyle name="Followed Hyperlink" xfId="8245" builtinId="9" hidden="1"/>
    <cellStyle name="Followed Hyperlink" xfId="8247" builtinId="9" hidden="1"/>
    <cellStyle name="Followed Hyperlink" xfId="8249" builtinId="9" hidden="1"/>
    <cellStyle name="Followed Hyperlink" xfId="8251" builtinId="9" hidden="1"/>
    <cellStyle name="Followed Hyperlink" xfId="8253" builtinId="9" hidden="1"/>
    <cellStyle name="Followed Hyperlink" xfId="8255" builtinId="9" hidden="1"/>
    <cellStyle name="Followed Hyperlink" xfId="8257" builtinId="9" hidden="1"/>
    <cellStyle name="Followed Hyperlink" xfId="8259" builtinId="9" hidden="1"/>
    <cellStyle name="Followed Hyperlink" xfId="8261" builtinId="9" hidden="1"/>
    <cellStyle name="Followed Hyperlink" xfId="8263" builtinId="9" hidden="1"/>
    <cellStyle name="Followed Hyperlink" xfId="8265" builtinId="9" hidden="1"/>
    <cellStyle name="Followed Hyperlink" xfId="8267" builtinId="9" hidden="1"/>
    <cellStyle name="Followed Hyperlink" xfId="8269" builtinId="9" hidden="1"/>
    <cellStyle name="Followed Hyperlink" xfId="8271" builtinId="9" hidden="1"/>
    <cellStyle name="Followed Hyperlink" xfId="8273" builtinId="9" hidden="1"/>
    <cellStyle name="Followed Hyperlink" xfId="8275" builtinId="9" hidden="1"/>
    <cellStyle name="Followed Hyperlink" xfId="8277" builtinId="9" hidden="1"/>
    <cellStyle name="Followed Hyperlink" xfId="8279" builtinId="9" hidden="1"/>
    <cellStyle name="Followed Hyperlink" xfId="8281" builtinId="9" hidden="1"/>
    <cellStyle name="Followed Hyperlink" xfId="8283" builtinId="9" hidden="1"/>
    <cellStyle name="Followed Hyperlink" xfId="8285" builtinId="9" hidden="1"/>
    <cellStyle name="Followed Hyperlink" xfId="8287" builtinId="9" hidden="1"/>
    <cellStyle name="Followed Hyperlink" xfId="8289" builtinId="9" hidden="1"/>
    <cellStyle name="Followed Hyperlink" xfId="8291" builtinId="9" hidden="1"/>
    <cellStyle name="Followed Hyperlink" xfId="8293" builtinId="9" hidden="1"/>
    <cellStyle name="Followed Hyperlink" xfId="8295" builtinId="9" hidden="1"/>
    <cellStyle name="Followed Hyperlink" xfId="8297" builtinId="9" hidden="1"/>
    <cellStyle name="Followed Hyperlink" xfId="8299" builtinId="9" hidden="1"/>
    <cellStyle name="Followed Hyperlink" xfId="8301" builtinId="9" hidden="1"/>
    <cellStyle name="Followed Hyperlink" xfId="8303" builtinId="9" hidden="1"/>
    <cellStyle name="Followed Hyperlink" xfId="8305" builtinId="9" hidden="1"/>
    <cellStyle name="Followed Hyperlink" xfId="8307" builtinId="9" hidden="1"/>
    <cellStyle name="Followed Hyperlink" xfId="8309" builtinId="9" hidden="1"/>
    <cellStyle name="Followed Hyperlink" xfId="8311" builtinId="9" hidden="1"/>
    <cellStyle name="Followed Hyperlink" xfId="8313" builtinId="9" hidden="1"/>
    <cellStyle name="Followed Hyperlink" xfId="8315" builtinId="9" hidden="1"/>
    <cellStyle name="Followed Hyperlink" xfId="8317" builtinId="9" hidden="1"/>
    <cellStyle name="Followed Hyperlink" xfId="8319" builtinId="9" hidden="1"/>
    <cellStyle name="Followed Hyperlink" xfId="8321" builtinId="9" hidden="1"/>
    <cellStyle name="Followed Hyperlink" xfId="8323" builtinId="9" hidden="1"/>
    <cellStyle name="Followed Hyperlink" xfId="8325" builtinId="9" hidden="1"/>
    <cellStyle name="Followed Hyperlink" xfId="8327" builtinId="9" hidden="1"/>
    <cellStyle name="Followed Hyperlink" xfId="8329" builtinId="9" hidden="1"/>
    <cellStyle name="Followed Hyperlink" xfId="8331" builtinId="9" hidden="1"/>
    <cellStyle name="Followed Hyperlink" xfId="8333" builtinId="9" hidden="1"/>
    <cellStyle name="Followed Hyperlink" xfId="8335" builtinId="9" hidden="1"/>
    <cellStyle name="Followed Hyperlink" xfId="8337" builtinId="9" hidden="1"/>
    <cellStyle name="Followed Hyperlink" xfId="8339" builtinId="9" hidden="1"/>
    <cellStyle name="Followed Hyperlink" xfId="8341" builtinId="9" hidden="1"/>
    <cellStyle name="Followed Hyperlink" xfId="8343" builtinId="9" hidden="1"/>
    <cellStyle name="Followed Hyperlink" xfId="8345" builtinId="9" hidden="1"/>
    <cellStyle name="Followed Hyperlink" xfId="8347" builtinId="9" hidden="1"/>
    <cellStyle name="Followed Hyperlink" xfId="8349" builtinId="9" hidden="1"/>
    <cellStyle name="Followed Hyperlink" xfId="8351" builtinId="9" hidden="1"/>
    <cellStyle name="Followed Hyperlink" xfId="8353" builtinId="9" hidden="1"/>
    <cellStyle name="Followed Hyperlink" xfId="8355" builtinId="9" hidden="1"/>
    <cellStyle name="Followed Hyperlink" xfId="8357" builtinId="9" hidden="1"/>
    <cellStyle name="Followed Hyperlink" xfId="8359" builtinId="9" hidden="1"/>
    <cellStyle name="Followed Hyperlink" xfId="8361" builtinId="9" hidden="1"/>
    <cellStyle name="Followed Hyperlink" xfId="8363" builtinId="9" hidden="1"/>
    <cellStyle name="Followed Hyperlink" xfId="8365" builtinId="9" hidden="1"/>
    <cellStyle name="Followed Hyperlink" xfId="8367" builtinId="9" hidden="1"/>
    <cellStyle name="Followed Hyperlink" xfId="8369" builtinId="9" hidden="1"/>
    <cellStyle name="Followed Hyperlink" xfId="8371" builtinId="9" hidden="1"/>
    <cellStyle name="Followed Hyperlink" xfId="8373" builtinId="9" hidden="1"/>
    <cellStyle name="Followed Hyperlink" xfId="8375" builtinId="9" hidden="1"/>
    <cellStyle name="Followed Hyperlink" xfId="8377" builtinId="9" hidden="1"/>
    <cellStyle name="Followed Hyperlink" xfId="8379" builtinId="9" hidden="1"/>
    <cellStyle name="Followed Hyperlink" xfId="8381" builtinId="9" hidden="1"/>
    <cellStyle name="Followed Hyperlink" xfId="8383" builtinId="9" hidden="1"/>
    <cellStyle name="Followed Hyperlink" xfId="8385" builtinId="9" hidden="1"/>
    <cellStyle name="Followed Hyperlink" xfId="8387" builtinId="9" hidden="1"/>
    <cellStyle name="Followed Hyperlink" xfId="8389" builtinId="9" hidden="1"/>
    <cellStyle name="Followed Hyperlink" xfId="8391" builtinId="9" hidden="1"/>
    <cellStyle name="Followed Hyperlink" xfId="8393" builtinId="9" hidden="1"/>
    <cellStyle name="Followed Hyperlink" xfId="8395" builtinId="9" hidden="1"/>
    <cellStyle name="Followed Hyperlink" xfId="8397" builtinId="9" hidden="1"/>
    <cellStyle name="Followed Hyperlink" xfId="8399" builtinId="9" hidden="1"/>
    <cellStyle name="Followed Hyperlink" xfId="8401" builtinId="9" hidden="1"/>
    <cellStyle name="Followed Hyperlink" xfId="8403" builtinId="9" hidden="1"/>
    <cellStyle name="Followed Hyperlink" xfId="8405" builtinId="9" hidden="1"/>
    <cellStyle name="Followed Hyperlink" xfId="8407" builtinId="9" hidden="1"/>
    <cellStyle name="Followed Hyperlink" xfId="8409" builtinId="9" hidden="1"/>
    <cellStyle name="Followed Hyperlink" xfId="8411" builtinId="9" hidden="1"/>
    <cellStyle name="Followed Hyperlink" xfId="8413" builtinId="9" hidden="1"/>
    <cellStyle name="Followed Hyperlink" xfId="8415" builtinId="9" hidden="1"/>
    <cellStyle name="Followed Hyperlink" xfId="8417" builtinId="9" hidden="1"/>
    <cellStyle name="Followed Hyperlink" xfId="8419" builtinId="9" hidden="1"/>
    <cellStyle name="Followed Hyperlink" xfId="8421" builtinId="9" hidden="1"/>
    <cellStyle name="Followed Hyperlink" xfId="8423" builtinId="9" hidden="1"/>
    <cellStyle name="Followed Hyperlink" xfId="8425" builtinId="9" hidden="1"/>
    <cellStyle name="Followed Hyperlink" xfId="8427" builtinId="9" hidden="1"/>
    <cellStyle name="Followed Hyperlink" xfId="8429" builtinId="9" hidden="1"/>
    <cellStyle name="Followed Hyperlink" xfId="8431" builtinId="9" hidden="1"/>
    <cellStyle name="Followed Hyperlink" xfId="8433" builtinId="9" hidden="1"/>
    <cellStyle name="Followed Hyperlink" xfId="8435" builtinId="9" hidden="1"/>
    <cellStyle name="Followed Hyperlink" xfId="8437" builtinId="9" hidden="1"/>
    <cellStyle name="Followed Hyperlink" xfId="8439" builtinId="9" hidden="1"/>
    <cellStyle name="Followed Hyperlink" xfId="8441" builtinId="9" hidden="1"/>
    <cellStyle name="Followed Hyperlink" xfId="8443" builtinId="9" hidden="1"/>
    <cellStyle name="Followed Hyperlink" xfId="8445" builtinId="9" hidden="1"/>
    <cellStyle name="Followed Hyperlink" xfId="8447" builtinId="9" hidden="1"/>
    <cellStyle name="Followed Hyperlink" xfId="8449" builtinId="9" hidden="1"/>
    <cellStyle name="Followed Hyperlink" xfId="8451" builtinId="9" hidden="1"/>
    <cellStyle name="Followed Hyperlink" xfId="8453" builtinId="9" hidden="1"/>
    <cellStyle name="Followed Hyperlink" xfId="8455" builtinId="9" hidden="1"/>
    <cellStyle name="Followed Hyperlink" xfId="8457" builtinId="9" hidden="1"/>
    <cellStyle name="Followed Hyperlink" xfId="8459" builtinId="9" hidden="1"/>
    <cellStyle name="Followed Hyperlink" xfId="8461" builtinId="9" hidden="1"/>
    <cellStyle name="Followed Hyperlink" xfId="8463" builtinId="9" hidden="1"/>
    <cellStyle name="Followed Hyperlink" xfId="8465" builtinId="9" hidden="1"/>
    <cellStyle name="Followed Hyperlink" xfId="8467" builtinId="9" hidden="1"/>
    <cellStyle name="Followed Hyperlink" xfId="8469" builtinId="9" hidden="1"/>
    <cellStyle name="Followed Hyperlink" xfId="8471" builtinId="9" hidden="1"/>
    <cellStyle name="Followed Hyperlink" xfId="8473" builtinId="9" hidden="1"/>
    <cellStyle name="Followed Hyperlink" xfId="8475" builtinId="9" hidden="1"/>
    <cellStyle name="Followed Hyperlink" xfId="8477" builtinId="9" hidden="1"/>
    <cellStyle name="Followed Hyperlink" xfId="8479" builtinId="9" hidden="1"/>
    <cellStyle name="Followed Hyperlink" xfId="8481" builtinId="9" hidden="1"/>
    <cellStyle name="Followed Hyperlink" xfId="8483" builtinId="9" hidden="1"/>
    <cellStyle name="Followed Hyperlink" xfId="8485" builtinId="9" hidden="1"/>
    <cellStyle name="Followed Hyperlink" xfId="8487" builtinId="9" hidden="1"/>
    <cellStyle name="Followed Hyperlink" xfId="8489" builtinId="9" hidden="1"/>
    <cellStyle name="Followed Hyperlink" xfId="8491" builtinId="9" hidden="1"/>
    <cellStyle name="Followed Hyperlink" xfId="8493" builtinId="9" hidden="1"/>
    <cellStyle name="Followed Hyperlink" xfId="8495" builtinId="9" hidden="1"/>
    <cellStyle name="Followed Hyperlink" xfId="8497" builtinId="9" hidden="1"/>
    <cellStyle name="Followed Hyperlink" xfId="8499" builtinId="9" hidden="1"/>
    <cellStyle name="Followed Hyperlink" xfId="8501" builtinId="9" hidden="1"/>
    <cellStyle name="Followed Hyperlink" xfId="8503" builtinId="9" hidden="1"/>
    <cellStyle name="Followed Hyperlink" xfId="8505" builtinId="9" hidden="1"/>
    <cellStyle name="Followed Hyperlink" xfId="8507" builtinId="9" hidden="1"/>
    <cellStyle name="Followed Hyperlink" xfId="8509" builtinId="9" hidden="1"/>
    <cellStyle name="Followed Hyperlink" xfId="8511" builtinId="9" hidden="1"/>
    <cellStyle name="Followed Hyperlink" xfId="8513" builtinId="9" hidden="1"/>
    <cellStyle name="Followed Hyperlink" xfId="8515" builtinId="9" hidden="1"/>
    <cellStyle name="Followed Hyperlink" xfId="8517" builtinId="9" hidden="1"/>
    <cellStyle name="Followed Hyperlink" xfId="8519" builtinId="9" hidden="1"/>
    <cellStyle name="Followed Hyperlink" xfId="8521" builtinId="9" hidden="1"/>
    <cellStyle name="Followed Hyperlink" xfId="8523" builtinId="9" hidden="1"/>
    <cellStyle name="Followed Hyperlink" xfId="8525" builtinId="9" hidden="1"/>
    <cellStyle name="Followed Hyperlink" xfId="8527" builtinId="9" hidden="1"/>
    <cellStyle name="Followed Hyperlink" xfId="8529" builtinId="9" hidden="1"/>
    <cellStyle name="Followed Hyperlink" xfId="8531" builtinId="9" hidden="1"/>
    <cellStyle name="Followed Hyperlink" xfId="8533" builtinId="9" hidden="1"/>
    <cellStyle name="Followed Hyperlink" xfId="8535" builtinId="9" hidden="1"/>
    <cellStyle name="Followed Hyperlink" xfId="8537" builtinId="9" hidden="1"/>
    <cellStyle name="Followed Hyperlink" xfId="8539" builtinId="9" hidden="1"/>
    <cellStyle name="Followed Hyperlink" xfId="8541" builtinId="9" hidden="1"/>
    <cellStyle name="Followed Hyperlink" xfId="8543" builtinId="9" hidden="1"/>
    <cellStyle name="Followed Hyperlink" xfId="8545" builtinId="9" hidden="1"/>
    <cellStyle name="Followed Hyperlink" xfId="8547" builtinId="9" hidden="1"/>
    <cellStyle name="Followed Hyperlink" xfId="8549" builtinId="9" hidden="1"/>
    <cellStyle name="Followed Hyperlink" xfId="8551" builtinId="9" hidden="1"/>
    <cellStyle name="Followed Hyperlink" xfId="8553" builtinId="9" hidden="1"/>
    <cellStyle name="Followed Hyperlink" xfId="8555" builtinId="9" hidden="1"/>
    <cellStyle name="Followed Hyperlink" xfId="8557" builtinId="9" hidden="1"/>
    <cellStyle name="Followed Hyperlink" xfId="8559" builtinId="9" hidden="1"/>
    <cellStyle name="Followed Hyperlink" xfId="8561" builtinId="9" hidden="1"/>
    <cellStyle name="Followed Hyperlink" xfId="8563" builtinId="9" hidden="1"/>
    <cellStyle name="Followed Hyperlink" xfId="8565" builtinId="9" hidden="1"/>
    <cellStyle name="Followed Hyperlink" xfId="8567" builtinId="9" hidden="1"/>
    <cellStyle name="Followed Hyperlink" xfId="8569" builtinId="9" hidden="1"/>
    <cellStyle name="Followed Hyperlink" xfId="8571" builtinId="9" hidden="1"/>
    <cellStyle name="Followed Hyperlink" xfId="8573" builtinId="9" hidden="1"/>
    <cellStyle name="Followed Hyperlink" xfId="8575" builtinId="9" hidden="1"/>
    <cellStyle name="Followed Hyperlink" xfId="8577" builtinId="9" hidden="1"/>
    <cellStyle name="Followed Hyperlink" xfId="8579" builtinId="9" hidden="1"/>
    <cellStyle name="Followed Hyperlink" xfId="8581" builtinId="9" hidden="1"/>
    <cellStyle name="Followed Hyperlink" xfId="8583" builtinId="9" hidden="1"/>
    <cellStyle name="Followed Hyperlink" xfId="8585" builtinId="9" hidden="1"/>
    <cellStyle name="Followed Hyperlink" xfId="8587" builtinId="9" hidden="1"/>
    <cellStyle name="Followed Hyperlink" xfId="8589" builtinId="9" hidden="1"/>
    <cellStyle name="Followed Hyperlink" xfId="8591" builtinId="9" hidden="1"/>
    <cellStyle name="Followed Hyperlink" xfId="8593" builtinId="9" hidden="1"/>
    <cellStyle name="Followed Hyperlink" xfId="8595" builtinId="9" hidden="1"/>
    <cellStyle name="Followed Hyperlink" xfId="8597" builtinId="9" hidden="1"/>
    <cellStyle name="Followed Hyperlink" xfId="8599" builtinId="9" hidden="1"/>
    <cellStyle name="Followed Hyperlink" xfId="8601" builtinId="9" hidden="1"/>
    <cellStyle name="Followed Hyperlink" xfId="8603" builtinId="9" hidden="1"/>
    <cellStyle name="Followed Hyperlink" xfId="8605" builtinId="9" hidden="1"/>
    <cellStyle name="Followed Hyperlink" xfId="8607" builtinId="9" hidden="1"/>
    <cellStyle name="Followed Hyperlink" xfId="8609" builtinId="9" hidden="1"/>
    <cellStyle name="Followed Hyperlink" xfId="8611" builtinId="9" hidden="1"/>
    <cellStyle name="Followed Hyperlink" xfId="8613" builtinId="9" hidden="1"/>
    <cellStyle name="Followed Hyperlink" xfId="8615" builtinId="9" hidden="1"/>
    <cellStyle name="Followed Hyperlink" xfId="8617" builtinId="9" hidden="1"/>
    <cellStyle name="Followed Hyperlink" xfId="8619" builtinId="9" hidden="1"/>
    <cellStyle name="Followed Hyperlink" xfId="8621" builtinId="9" hidden="1"/>
    <cellStyle name="Followed Hyperlink" xfId="8623" builtinId="9" hidden="1"/>
    <cellStyle name="Followed Hyperlink" xfId="8625" builtinId="9" hidden="1"/>
    <cellStyle name="Followed Hyperlink" xfId="8627" builtinId="9" hidden="1"/>
    <cellStyle name="Followed Hyperlink" xfId="8629" builtinId="9" hidden="1"/>
    <cellStyle name="Followed Hyperlink" xfId="8631" builtinId="9" hidden="1"/>
    <cellStyle name="Followed Hyperlink" xfId="8633" builtinId="9" hidden="1"/>
    <cellStyle name="Followed Hyperlink" xfId="8635" builtinId="9" hidden="1"/>
    <cellStyle name="Followed Hyperlink" xfId="8637" builtinId="9" hidden="1"/>
    <cellStyle name="Followed Hyperlink" xfId="8639" builtinId="9" hidden="1"/>
    <cellStyle name="Followed Hyperlink" xfId="8641" builtinId="9" hidden="1"/>
    <cellStyle name="Followed Hyperlink" xfId="8643" builtinId="9" hidden="1"/>
    <cellStyle name="Followed Hyperlink" xfId="8645" builtinId="9" hidden="1"/>
    <cellStyle name="Followed Hyperlink" xfId="8647" builtinId="9" hidden="1"/>
    <cellStyle name="Followed Hyperlink" xfId="8649" builtinId="9" hidden="1"/>
    <cellStyle name="Followed Hyperlink" xfId="8651" builtinId="9" hidden="1"/>
    <cellStyle name="Followed Hyperlink" xfId="8653" builtinId="9" hidden="1"/>
    <cellStyle name="Followed Hyperlink" xfId="8655" builtinId="9" hidden="1"/>
    <cellStyle name="Followed Hyperlink" xfId="8657" builtinId="9" hidden="1"/>
    <cellStyle name="Followed Hyperlink" xfId="8659" builtinId="9" hidden="1"/>
    <cellStyle name="Followed Hyperlink" xfId="8661" builtinId="9" hidden="1"/>
    <cellStyle name="Followed Hyperlink" xfId="8663" builtinId="9" hidden="1"/>
    <cellStyle name="Followed Hyperlink" xfId="8665" builtinId="9" hidden="1"/>
    <cellStyle name="Followed Hyperlink" xfId="8667" builtinId="9" hidden="1"/>
    <cellStyle name="Followed Hyperlink" xfId="8669" builtinId="9" hidden="1"/>
    <cellStyle name="Followed Hyperlink" xfId="8671" builtinId="9" hidden="1"/>
    <cellStyle name="Followed Hyperlink" xfId="8673" builtinId="9" hidden="1"/>
    <cellStyle name="Followed Hyperlink" xfId="8675" builtinId="9" hidden="1"/>
    <cellStyle name="Followed Hyperlink" xfId="8677" builtinId="9" hidden="1"/>
    <cellStyle name="Followed Hyperlink" xfId="8679" builtinId="9" hidden="1"/>
    <cellStyle name="Followed Hyperlink" xfId="8681" builtinId="9" hidden="1"/>
    <cellStyle name="Followed Hyperlink" xfId="8683" builtinId="9" hidden="1"/>
    <cellStyle name="Followed Hyperlink" xfId="8685" builtinId="9" hidden="1"/>
    <cellStyle name="Followed Hyperlink" xfId="8687" builtinId="9" hidden="1"/>
    <cellStyle name="Followed Hyperlink" xfId="8689" builtinId="9" hidden="1"/>
    <cellStyle name="Followed Hyperlink" xfId="8691" builtinId="9" hidden="1"/>
    <cellStyle name="Followed Hyperlink" xfId="8693" builtinId="9" hidden="1"/>
    <cellStyle name="Followed Hyperlink" xfId="8695" builtinId="9" hidden="1"/>
    <cellStyle name="Followed Hyperlink" xfId="8697" builtinId="9" hidden="1"/>
    <cellStyle name="Followed Hyperlink" xfId="8699" builtinId="9" hidden="1"/>
    <cellStyle name="Followed Hyperlink" xfId="8701" builtinId="9" hidden="1"/>
    <cellStyle name="Followed Hyperlink" xfId="8703" builtinId="9" hidden="1"/>
    <cellStyle name="Followed Hyperlink" xfId="8705" builtinId="9" hidden="1"/>
    <cellStyle name="Followed Hyperlink" xfId="8707" builtinId="9" hidden="1"/>
    <cellStyle name="Followed Hyperlink" xfId="8709" builtinId="9" hidden="1"/>
    <cellStyle name="Followed Hyperlink" xfId="8711" builtinId="9" hidden="1"/>
    <cellStyle name="Followed Hyperlink" xfId="8713" builtinId="9" hidden="1"/>
    <cellStyle name="Followed Hyperlink" xfId="8715" builtinId="9" hidden="1"/>
    <cellStyle name="Followed Hyperlink" xfId="8717" builtinId="9" hidden="1"/>
    <cellStyle name="Followed Hyperlink" xfId="8719" builtinId="9" hidden="1"/>
    <cellStyle name="Followed Hyperlink" xfId="8721" builtinId="9" hidden="1"/>
    <cellStyle name="Followed Hyperlink" xfId="8723" builtinId="9" hidden="1"/>
    <cellStyle name="Followed Hyperlink" xfId="8725" builtinId="9" hidden="1"/>
    <cellStyle name="Followed Hyperlink" xfId="8727" builtinId="9" hidden="1"/>
    <cellStyle name="Followed Hyperlink" xfId="8729" builtinId="9" hidden="1"/>
    <cellStyle name="Followed Hyperlink" xfId="8731" builtinId="9" hidden="1"/>
    <cellStyle name="Followed Hyperlink" xfId="8733" builtinId="9" hidden="1"/>
    <cellStyle name="Followed Hyperlink" xfId="8735" builtinId="9" hidden="1"/>
    <cellStyle name="Followed Hyperlink" xfId="8737" builtinId="9" hidden="1"/>
    <cellStyle name="Followed Hyperlink" xfId="8739" builtinId="9" hidden="1"/>
    <cellStyle name="Followed Hyperlink" xfId="8741" builtinId="9" hidden="1"/>
    <cellStyle name="Followed Hyperlink" xfId="8743" builtinId="9" hidden="1"/>
    <cellStyle name="Followed Hyperlink" xfId="8745" builtinId="9" hidden="1"/>
    <cellStyle name="Followed Hyperlink" xfId="8747" builtinId="9" hidden="1"/>
    <cellStyle name="Followed Hyperlink" xfId="8749" builtinId="9" hidden="1"/>
    <cellStyle name="Followed Hyperlink" xfId="8751" builtinId="9" hidden="1"/>
    <cellStyle name="Followed Hyperlink" xfId="8753" builtinId="9" hidden="1"/>
    <cellStyle name="Followed Hyperlink" xfId="8755" builtinId="9" hidden="1"/>
    <cellStyle name="Followed Hyperlink" xfId="8757" builtinId="9" hidden="1"/>
    <cellStyle name="Followed Hyperlink" xfId="8759" builtinId="9" hidden="1"/>
    <cellStyle name="Followed Hyperlink" xfId="8761" builtinId="9" hidden="1"/>
    <cellStyle name="Followed Hyperlink" xfId="8763" builtinId="9" hidden="1"/>
    <cellStyle name="Followed Hyperlink" xfId="8765" builtinId="9" hidden="1"/>
    <cellStyle name="Followed Hyperlink" xfId="8767" builtinId="9" hidden="1"/>
    <cellStyle name="Followed Hyperlink" xfId="8769" builtinId="9" hidden="1"/>
    <cellStyle name="Followed Hyperlink" xfId="8771" builtinId="9" hidden="1"/>
    <cellStyle name="Followed Hyperlink" xfId="8773" builtinId="9" hidden="1"/>
    <cellStyle name="Followed Hyperlink" xfId="8775" builtinId="9" hidden="1"/>
    <cellStyle name="Followed Hyperlink" xfId="8777" builtinId="9" hidden="1"/>
    <cellStyle name="Followed Hyperlink" xfId="8779" builtinId="9" hidden="1"/>
    <cellStyle name="Followed Hyperlink" xfId="8781" builtinId="9" hidden="1"/>
    <cellStyle name="Followed Hyperlink" xfId="8783" builtinId="9" hidden="1"/>
    <cellStyle name="Followed Hyperlink" xfId="8785" builtinId="9" hidden="1"/>
    <cellStyle name="Followed Hyperlink" xfId="8787" builtinId="9" hidden="1"/>
    <cellStyle name="Followed Hyperlink" xfId="8789" builtinId="9" hidden="1"/>
    <cellStyle name="Followed Hyperlink" xfId="8791" builtinId="9" hidden="1"/>
    <cellStyle name="Followed Hyperlink" xfId="8793" builtinId="9" hidden="1"/>
    <cellStyle name="Followed Hyperlink" xfId="8795" builtinId="9" hidden="1"/>
    <cellStyle name="Followed Hyperlink" xfId="8797" builtinId="9" hidden="1"/>
    <cellStyle name="Followed Hyperlink" xfId="8799" builtinId="9" hidden="1"/>
    <cellStyle name="Followed Hyperlink" xfId="8801" builtinId="9" hidden="1"/>
    <cellStyle name="Followed Hyperlink" xfId="8803" builtinId="9" hidden="1"/>
    <cellStyle name="Followed Hyperlink" xfId="8805" builtinId="9" hidden="1"/>
    <cellStyle name="Followed Hyperlink" xfId="8807" builtinId="9" hidden="1"/>
    <cellStyle name="Followed Hyperlink" xfId="8809" builtinId="9" hidden="1"/>
    <cellStyle name="Followed Hyperlink" xfId="8811" builtinId="9" hidden="1"/>
    <cellStyle name="Followed Hyperlink" xfId="8813" builtinId="9" hidden="1"/>
    <cellStyle name="Followed Hyperlink" xfId="8815" builtinId="9" hidden="1"/>
    <cellStyle name="Followed Hyperlink" xfId="8817" builtinId="9" hidden="1"/>
    <cellStyle name="Followed Hyperlink" xfId="8819" builtinId="9" hidden="1"/>
    <cellStyle name="Followed Hyperlink" xfId="8821" builtinId="9" hidden="1"/>
    <cellStyle name="Followed Hyperlink" xfId="8823" builtinId="9" hidden="1"/>
    <cellStyle name="Followed Hyperlink" xfId="8825" builtinId="9" hidden="1"/>
    <cellStyle name="Followed Hyperlink" xfId="8827" builtinId="9" hidden="1"/>
    <cellStyle name="Followed Hyperlink" xfId="8829" builtinId="9" hidden="1"/>
    <cellStyle name="Followed Hyperlink" xfId="8831" builtinId="9" hidden="1"/>
    <cellStyle name="Followed Hyperlink" xfId="8833" builtinId="9" hidden="1"/>
    <cellStyle name="Followed Hyperlink" xfId="8835" builtinId="9" hidden="1"/>
    <cellStyle name="Followed Hyperlink" xfId="8837" builtinId="9" hidden="1"/>
    <cellStyle name="Followed Hyperlink" xfId="8839" builtinId="9" hidden="1"/>
    <cellStyle name="Followed Hyperlink" xfId="8841" builtinId="9" hidden="1"/>
    <cellStyle name="Followed Hyperlink" xfId="8843" builtinId="9" hidden="1"/>
    <cellStyle name="Followed Hyperlink" xfId="8845" builtinId="9" hidden="1"/>
    <cellStyle name="Followed Hyperlink" xfId="8847" builtinId="9" hidden="1"/>
    <cellStyle name="Followed Hyperlink" xfId="8849" builtinId="9" hidden="1"/>
    <cellStyle name="Followed Hyperlink" xfId="8851" builtinId="9" hidden="1"/>
    <cellStyle name="Followed Hyperlink" xfId="8853" builtinId="9" hidden="1"/>
    <cellStyle name="Followed Hyperlink" xfId="8855" builtinId="9" hidden="1"/>
    <cellStyle name="Followed Hyperlink" xfId="8857" builtinId="9" hidden="1"/>
    <cellStyle name="Followed Hyperlink" xfId="8859" builtinId="9" hidden="1"/>
    <cellStyle name="Followed Hyperlink" xfId="8861" builtinId="9" hidden="1"/>
    <cellStyle name="Followed Hyperlink" xfId="8863" builtinId="9" hidden="1"/>
    <cellStyle name="Followed Hyperlink" xfId="8865" builtinId="9" hidden="1"/>
    <cellStyle name="Followed Hyperlink" xfId="8867" builtinId="9" hidden="1"/>
    <cellStyle name="Followed Hyperlink" xfId="8869" builtinId="9" hidden="1"/>
    <cellStyle name="Followed Hyperlink" xfId="8871" builtinId="9" hidden="1"/>
    <cellStyle name="Followed Hyperlink" xfId="8873" builtinId="9" hidden="1"/>
    <cellStyle name="Followed Hyperlink" xfId="8875" builtinId="9" hidden="1"/>
    <cellStyle name="Followed Hyperlink" xfId="8877" builtinId="9" hidden="1"/>
    <cellStyle name="Followed Hyperlink" xfId="8879" builtinId="9" hidden="1"/>
    <cellStyle name="Followed Hyperlink" xfId="8881" builtinId="9" hidden="1"/>
    <cellStyle name="Followed Hyperlink" xfId="8883" builtinId="9" hidden="1"/>
    <cellStyle name="Followed Hyperlink" xfId="8885" builtinId="9" hidden="1"/>
    <cellStyle name="Followed Hyperlink" xfId="8887" builtinId="9" hidden="1"/>
    <cellStyle name="Followed Hyperlink" xfId="8889" builtinId="9" hidden="1"/>
    <cellStyle name="Followed Hyperlink" xfId="8891" builtinId="9" hidden="1"/>
    <cellStyle name="Followed Hyperlink" xfId="8893" builtinId="9" hidden="1"/>
    <cellStyle name="Followed Hyperlink" xfId="8895" builtinId="9" hidden="1"/>
    <cellStyle name="Followed Hyperlink" xfId="8897" builtinId="9" hidden="1"/>
    <cellStyle name="Followed Hyperlink" xfId="8899" builtinId="9" hidden="1"/>
    <cellStyle name="Followed Hyperlink" xfId="8901" builtinId="9" hidden="1"/>
    <cellStyle name="Followed Hyperlink" xfId="8903" builtinId="9" hidden="1"/>
    <cellStyle name="Followed Hyperlink" xfId="8905" builtinId="9" hidden="1"/>
    <cellStyle name="Followed Hyperlink" xfId="8907" builtinId="9" hidden="1"/>
    <cellStyle name="Followed Hyperlink" xfId="8909" builtinId="9" hidden="1"/>
    <cellStyle name="Followed Hyperlink" xfId="8911" builtinId="9" hidden="1"/>
    <cellStyle name="Followed Hyperlink" xfId="8913" builtinId="9" hidden="1"/>
    <cellStyle name="Followed Hyperlink" xfId="8915" builtinId="9" hidden="1"/>
    <cellStyle name="Followed Hyperlink" xfId="8917" builtinId="9" hidden="1"/>
    <cellStyle name="Followed Hyperlink" xfId="8919" builtinId="9" hidden="1"/>
    <cellStyle name="Followed Hyperlink" xfId="8921" builtinId="9" hidden="1"/>
    <cellStyle name="Followed Hyperlink" xfId="8923" builtinId="9" hidden="1"/>
    <cellStyle name="Followed Hyperlink" xfId="8925" builtinId="9" hidden="1"/>
    <cellStyle name="Followed Hyperlink" xfId="8927" builtinId="9" hidden="1"/>
    <cellStyle name="Followed Hyperlink" xfId="8929" builtinId="9" hidden="1"/>
    <cellStyle name="Followed Hyperlink" xfId="8931" builtinId="9" hidden="1"/>
    <cellStyle name="Followed Hyperlink" xfId="8933" builtinId="9" hidden="1"/>
    <cellStyle name="Followed Hyperlink" xfId="8935" builtinId="9" hidden="1"/>
    <cellStyle name="Followed Hyperlink" xfId="8937" builtinId="9" hidden="1"/>
    <cellStyle name="Followed Hyperlink" xfId="8939" builtinId="9" hidden="1"/>
    <cellStyle name="Followed Hyperlink" xfId="8941" builtinId="9" hidden="1"/>
    <cellStyle name="Followed Hyperlink" xfId="8943" builtinId="9" hidden="1"/>
    <cellStyle name="Followed Hyperlink" xfId="8945" builtinId="9" hidden="1"/>
    <cellStyle name="Followed Hyperlink" xfId="8947" builtinId="9" hidden="1"/>
    <cellStyle name="Followed Hyperlink" xfId="8949" builtinId="9" hidden="1"/>
    <cellStyle name="Followed Hyperlink" xfId="8951" builtinId="9" hidden="1"/>
    <cellStyle name="Followed Hyperlink" xfId="8953" builtinId="9" hidden="1"/>
    <cellStyle name="Followed Hyperlink" xfId="8955" builtinId="9" hidden="1"/>
    <cellStyle name="Followed Hyperlink" xfId="8957" builtinId="9" hidden="1"/>
    <cellStyle name="Followed Hyperlink" xfId="8959" builtinId="9" hidden="1"/>
    <cellStyle name="Followed Hyperlink" xfId="8961" builtinId="9" hidden="1"/>
    <cellStyle name="Followed Hyperlink" xfId="8963" builtinId="9" hidden="1"/>
    <cellStyle name="Followed Hyperlink" xfId="8965" builtinId="9" hidden="1"/>
    <cellStyle name="Followed Hyperlink" xfId="8967" builtinId="9" hidden="1"/>
    <cellStyle name="Followed Hyperlink" xfId="8969" builtinId="9" hidden="1"/>
    <cellStyle name="Followed Hyperlink" xfId="8971" builtinId="9" hidden="1"/>
    <cellStyle name="Followed Hyperlink" xfId="8973" builtinId="9" hidden="1"/>
    <cellStyle name="Followed Hyperlink" xfId="8975" builtinId="9" hidden="1"/>
    <cellStyle name="Followed Hyperlink" xfId="8977" builtinId="9" hidden="1"/>
    <cellStyle name="Followed Hyperlink" xfId="8979" builtinId="9" hidden="1"/>
    <cellStyle name="Followed Hyperlink" xfId="8981" builtinId="9" hidden="1"/>
    <cellStyle name="Followed Hyperlink" xfId="8983" builtinId="9" hidden="1"/>
    <cellStyle name="Followed Hyperlink" xfId="8985" builtinId="9" hidden="1"/>
    <cellStyle name="Followed Hyperlink" xfId="8987" builtinId="9" hidden="1"/>
    <cellStyle name="Followed Hyperlink" xfId="8989" builtinId="9" hidden="1"/>
    <cellStyle name="Followed Hyperlink" xfId="8991" builtinId="9" hidden="1"/>
    <cellStyle name="Followed Hyperlink" xfId="8993" builtinId="9" hidden="1"/>
    <cellStyle name="Followed Hyperlink" xfId="8995" builtinId="9" hidden="1"/>
    <cellStyle name="Followed Hyperlink" xfId="8997" builtinId="9" hidden="1"/>
    <cellStyle name="Followed Hyperlink" xfId="8999" builtinId="9" hidden="1"/>
    <cellStyle name="Followed Hyperlink" xfId="9001" builtinId="9" hidden="1"/>
    <cellStyle name="Followed Hyperlink" xfId="9003" builtinId="9" hidden="1"/>
    <cellStyle name="Followed Hyperlink" xfId="9005" builtinId="9" hidden="1"/>
    <cellStyle name="Followed Hyperlink" xfId="9007" builtinId="9" hidden="1"/>
    <cellStyle name="Followed Hyperlink" xfId="9009" builtinId="9" hidden="1"/>
    <cellStyle name="Followed Hyperlink" xfId="9011" builtinId="9" hidden="1"/>
    <cellStyle name="Followed Hyperlink" xfId="9013" builtinId="9" hidden="1"/>
    <cellStyle name="Followed Hyperlink" xfId="9015" builtinId="9" hidden="1"/>
    <cellStyle name="Followed Hyperlink" xfId="9017" builtinId="9" hidden="1"/>
    <cellStyle name="Followed Hyperlink" xfId="9019" builtinId="9" hidden="1"/>
    <cellStyle name="Followed Hyperlink" xfId="9021" builtinId="9" hidden="1"/>
    <cellStyle name="Followed Hyperlink" xfId="9023" builtinId="9" hidden="1"/>
    <cellStyle name="Followed Hyperlink" xfId="9025" builtinId="9" hidden="1"/>
    <cellStyle name="Followed Hyperlink" xfId="9027" builtinId="9" hidden="1"/>
    <cellStyle name="Followed Hyperlink" xfId="9029" builtinId="9" hidden="1"/>
    <cellStyle name="Followed Hyperlink" xfId="9031" builtinId="9" hidden="1"/>
    <cellStyle name="Followed Hyperlink" xfId="9033" builtinId="9" hidden="1"/>
    <cellStyle name="Followed Hyperlink" xfId="9035" builtinId="9" hidden="1"/>
    <cellStyle name="Followed Hyperlink" xfId="9037" builtinId="9" hidden="1"/>
    <cellStyle name="Followed Hyperlink" xfId="9039" builtinId="9" hidden="1"/>
    <cellStyle name="Followed Hyperlink" xfId="9041" builtinId="9" hidden="1"/>
    <cellStyle name="Followed Hyperlink" xfId="9043" builtinId="9" hidden="1"/>
    <cellStyle name="Followed Hyperlink" xfId="9045" builtinId="9" hidden="1"/>
    <cellStyle name="Followed Hyperlink" xfId="9047" builtinId="9" hidden="1"/>
    <cellStyle name="Followed Hyperlink" xfId="9049" builtinId="9" hidden="1"/>
    <cellStyle name="Followed Hyperlink" xfId="9051" builtinId="9" hidden="1"/>
    <cellStyle name="Followed Hyperlink" xfId="9053" builtinId="9" hidden="1"/>
    <cellStyle name="Followed Hyperlink" xfId="9055" builtinId="9" hidden="1"/>
    <cellStyle name="Followed Hyperlink" xfId="9057" builtinId="9" hidden="1"/>
    <cellStyle name="Followed Hyperlink" xfId="9059" builtinId="9" hidden="1"/>
    <cellStyle name="Followed Hyperlink" xfId="9061" builtinId="9" hidden="1"/>
    <cellStyle name="Followed Hyperlink" xfId="9063" builtinId="9" hidden="1"/>
    <cellStyle name="Followed Hyperlink" xfId="9065" builtinId="9" hidden="1"/>
    <cellStyle name="Followed Hyperlink" xfId="9067" builtinId="9" hidden="1"/>
    <cellStyle name="Followed Hyperlink" xfId="9069" builtinId="9" hidden="1"/>
    <cellStyle name="Followed Hyperlink" xfId="9071" builtinId="9" hidden="1"/>
    <cellStyle name="Followed Hyperlink" xfId="9073" builtinId="9" hidden="1"/>
    <cellStyle name="Followed Hyperlink" xfId="9075" builtinId="9" hidden="1"/>
    <cellStyle name="Followed Hyperlink" xfId="9077" builtinId="9" hidden="1"/>
    <cellStyle name="Followed Hyperlink" xfId="9079" builtinId="9" hidden="1"/>
    <cellStyle name="Followed Hyperlink" xfId="9081" builtinId="9" hidden="1"/>
    <cellStyle name="Followed Hyperlink" xfId="9083" builtinId="9" hidden="1"/>
    <cellStyle name="Followed Hyperlink" xfId="9085" builtinId="9" hidden="1"/>
    <cellStyle name="Followed Hyperlink" xfId="9087" builtinId="9" hidden="1"/>
    <cellStyle name="Followed Hyperlink" xfId="9089" builtinId="9" hidden="1"/>
    <cellStyle name="Followed Hyperlink" xfId="9091" builtinId="9" hidden="1"/>
    <cellStyle name="Followed Hyperlink" xfId="9093" builtinId="9" hidden="1"/>
    <cellStyle name="Followed Hyperlink" xfId="9095" builtinId="9" hidden="1"/>
    <cellStyle name="Followed Hyperlink" xfId="9097" builtinId="9" hidden="1"/>
    <cellStyle name="Followed Hyperlink" xfId="9099" builtinId="9" hidden="1"/>
    <cellStyle name="Followed Hyperlink" xfId="9101" builtinId="9" hidden="1"/>
    <cellStyle name="Followed Hyperlink" xfId="9103" builtinId="9" hidden="1"/>
    <cellStyle name="Followed Hyperlink" xfId="9105" builtinId="9" hidden="1"/>
    <cellStyle name="Followed Hyperlink" xfId="9107" builtinId="9" hidden="1"/>
    <cellStyle name="Followed Hyperlink" xfId="9109" builtinId="9" hidden="1"/>
    <cellStyle name="Followed Hyperlink" xfId="9111" builtinId="9" hidden="1"/>
    <cellStyle name="Followed Hyperlink" xfId="9113" builtinId="9" hidden="1"/>
    <cellStyle name="Followed Hyperlink" xfId="9115" builtinId="9" hidden="1"/>
    <cellStyle name="Followed Hyperlink" xfId="9117" builtinId="9" hidden="1"/>
    <cellStyle name="Followed Hyperlink" xfId="9119" builtinId="9" hidden="1"/>
    <cellStyle name="Followed Hyperlink" xfId="9121" builtinId="9" hidden="1"/>
    <cellStyle name="Followed Hyperlink" xfId="9123" builtinId="9" hidden="1"/>
    <cellStyle name="Followed Hyperlink" xfId="9125" builtinId="9" hidden="1"/>
    <cellStyle name="Followed Hyperlink" xfId="9127" builtinId="9" hidden="1"/>
    <cellStyle name="Followed Hyperlink" xfId="9129" builtinId="9" hidden="1"/>
    <cellStyle name="Followed Hyperlink" xfId="9131" builtinId="9" hidden="1"/>
    <cellStyle name="Followed Hyperlink" xfId="9133" builtinId="9" hidden="1"/>
    <cellStyle name="Followed Hyperlink" xfId="9135" builtinId="9" hidden="1"/>
    <cellStyle name="Followed Hyperlink" xfId="9137" builtinId="9" hidden="1"/>
    <cellStyle name="Followed Hyperlink" xfId="9139" builtinId="9" hidden="1"/>
    <cellStyle name="Followed Hyperlink" xfId="9141" builtinId="9" hidden="1"/>
    <cellStyle name="Followed Hyperlink" xfId="9143" builtinId="9" hidden="1"/>
    <cellStyle name="Followed Hyperlink" xfId="9145" builtinId="9" hidden="1"/>
    <cellStyle name="Followed Hyperlink" xfId="9147" builtinId="9" hidden="1"/>
    <cellStyle name="Followed Hyperlink" xfId="9149" builtinId="9" hidden="1"/>
    <cellStyle name="Followed Hyperlink" xfId="9151" builtinId="9" hidden="1"/>
    <cellStyle name="Followed Hyperlink" xfId="9153" builtinId="9" hidden="1"/>
    <cellStyle name="Followed Hyperlink" xfId="9155" builtinId="9" hidden="1"/>
    <cellStyle name="Followed Hyperlink" xfId="9157" builtinId="9" hidden="1"/>
    <cellStyle name="Followed Hyperlink" xfId="9159" builtinId="9" hidden="1"/>
    <cellStyle name="Followed Hyperlink" xfId="9161" builtinId="9" hidden="1"/>
    <cellStyle name="Followed Hyperlink" xfId="9163" builtinId="9" hidden="1"/>
    <cellStyle name="Followed Hyperlink" xfId="9165" builtinId="9" hidden="1"/>
    <cellStyle name="Followed Hyperlink" xfId="9167" builtinId="9" hidden="1"/>
    <cellStyle name="Followed Hyperlink" xfId="9169" builtinId="9" hidden="1"/>
    <cellStyle name="Followed Hyperlink" xfId="9171" builtinId="9" hidden="1"/>
    <cellStyle name="Followed Hyperlink" xfId="9173" builtinId="9" hidden="1"/>
    <cellStyle name="Followed Hyperlink" xfId="9175" builtinId="9" hidden="1"/>
    <cellStyle name="Followed Hyperlink" xfId="9177" builtinId="9" hidden="1"/>
    <cellStyle name="Followed Hyperlink" xfId="9179" builtinId="9" hidden="1"/>
    <cellStyle name="Followed Hyperlink" xfId="9181" builtinId="9" hidden="1"/>
    <cellStyle name="Followed Hyperlink" xfId="9183" builtinId="9" hidden="1"/>
    <cellStyle name="Followed Hyperlink" xfId="9185" builtinId="9" hidden="1"/>
    <cellStyle name="Followed Hyperlink" xfId="9187" builtinId="9" hidden="1"/>
    <cellStyle name="Followed Hyperlink" xfId="9189" builtinId="9" hidden="1"/>
    <cellStyle name="Followed Hyperlink" xfId="9191" builtinId="9" hidden="1"/>
    <cellStyle name="Followed Hyperlink" xfId="9193" builtinId="9" hidden="1"/>
    <cellStyle name="Followed Hyperlink" xfId="9195" builtinId="9" hidden="1"/>
    <cellStyle name="Followed Hyperlink" xfId="9197" builtinId="9" hidden="1"/>
    <cellStyle name="Followed Hyperlink" xfId="9199" builtinId="9" hidden="1"/>
    <cellStyle name="Followed Hyperlink" xfId="9201" builtinId="9" hidden="1"/>
    <cellStyle name="Followed Hyperlink" xfId="9203" builtinId="9" hidden="1"/>
    <cellStyle name="Followed Hyperlink" xfId="9205" builtinId="9" hidden="1"/>
    <cellStyle name="Followed Hyperlink" xfId="9207" builtinId="9" hidden="1"/>
    <cellStyle name="Followed Hyperlink" xfId="9209" builtinId="9" hidden="1"/>
    <cellStyle name="Followed Hyperlink" xfId="9211" builtinId="9" hidden="1"/>
    <cellStyle name="Followed Hyperlink" xfId="9213" builtinId="9" hidden="1"/>
    <cellStyle name="Followed Hyperlink" xfId="9215" builtinId="9" hidden="1"/>
    <cellStyle name="Followed Hyperlink" xfId="9217" builtinId="9" hidden="1"/>
    <cellStyle name="Followed Hyperlink" xfId="9219" builtinId="9" hidden="1"/>
    <cellStyle name="Followed Hyperlink" xfId="9221" builtinId="9" hidden="1"/>
    <cellStyle name="Followed Hyperlink" xfId="9223" builtinId="9" hidden="1"/>
    <cellStyle name="Followed Hyperlink" xfId="9225" builtinId="9" hidden="1"/>
    <cellStyle name="Followed Hyperlink" xfId="9227" builtinId="9" hidden="1"/>
    <cellStyle name="Followed Hyperlink" xfId="9229" builtinId="9" hidden="1"/>
    <cellStyle name="Followed Hyperlink" xfId="9231" builtinId="9" hidden="1"/>
    <cellStyle name="Followed Hyperlink" xfId="9233" builtinId="9" hidden="1"/>
    <cellStyle name="Followed Hyperlink" xfId="9235" builtinId="9" hidden="1"/>
    <cellStyle name="Followed Hyperlink" xfId="9237" builtinId="9" hidden="1"/>
    <cellStyle name="Followed Hyperlink" xfId="9239" builtinId="9" hidden="1"/>
    <cellStyle name="Followed Hyperlink" xfId="9241" builtinId="9" hidden="1"/>
    <cellStyle name="Followed Hyperlink" xfId="9243" builtinId="9" hidden="1"/>
    <cellStyle name="Followed Hyperlink" xfId="9245" builtinId="9" hidden="1"/>
    <cellStyle name="Followed Hyperlink" xfId="9247" builtinId="9" hidden="1"/>
    <cellStyle name="Followed Hyperlink" xfId="9249" builtinId="9" hidden="1"/>
    <cellStyle name="Followed Hyperlink" xfId="9251" builtinId="9" hidden="1"/>
    <cellStyle name="Followed Hyperlink" xfId="9253" builtinId="9" hidden="1"/>
    <cellStyle name="Followed Hyperlink" xfId="9255" builtinId="9" hidden="1"/>
    <cellStyle name="Followed Hyperlink" xfId="9257" builtinId="9" hidden="1"/>
    <cellStyle name="Followed Hyperlink" xfId="9259" builtinId="9" hidden="1"/>
    <cellStyle name="Followed Hyperlink" xfId="9261" builtinId="9" hidden="1"/>
    <cellStyle name="Followed Hyperlink" xfId="9263" builtinId="9" hidden="1"/>
    <cellStyle name="Followed Hyperlink" xfId="9265" builtinId="9" hidden="1"/>
    <cellStyle name="Followed Hyperlink" xfId="9267" builtinId="9" hidden="1"/>
    <cellStyle name="Followed Hyperlink" xfId="9269" builtinId="9" hidden="1"/>
    <cellStyle name="Followed Hyperlink" xfId="9271" builtinId="9" hidden="1"/>
    <cellStyle name="Followed Hyperlink" xfId="9273" builtinId="9" hidden="1"/>
    <cellStyle name="Followed Hyperlink" xfId="9275" builtinId="9" hidden="1"/>
    <cellStyle name="Followed Hyperlink" xfId="9277" builtinId="9" hidden="1"/>
    <cellStyle name="Followed Hyperlink" xfId="9279" builtinId="9" hidden="1"/>
    <cellStyle name="Followed Hyperlink" xfId="9281" builtinId="9" hidden="1"/>
    <cellStyle name="Followed Hyperlink" xfId="9283" builtinId="9" hidden="1"/>
    <cellStyle name="Followed Hyperlink" xfId="9285" builtinId="9" hidden="1"/>
    <cellStyle name="Followed Hyperlink" xfId="9287" builtinId="9" hidden="1"/>
    <cellStyle name="Followed Hyperlink" xfId="9289" builtinId="9" hidden="1"/>
    <cellStyle name="Followed Hyperlink" xfId="9291" builtinId="9" hidden="1"/>
    <cellStyle name="Followed Hyperlink" xfId="9293" builtinId="9" hidden="1"/>
    <cellStyle name="Followed Hyperlink" xfId="9295" builtinId="9" hidden="1"/>
    <cellStyle name="Followed Hyperlink" xfId="9297" builtinId="9" hidden="1"/>
    <cellStyle name="Followed Hyperlink" xfId="9299" builtinId="9" hidden="1"/>
    <cellStyle name="Followed Hyperlink" xfId="9301" builtinId="9" hidden="1"/>
    <cellStyle name="Followed Hyperlink" xfId="9303" builtinId="9" hidden="1"/>
    <cellStyle name="Followed Hyperlink" xfId="9305" builtinId="9" hidden="1"/>
    <cellStyle name="Followed Hyperlink" xfId="9307" builtinId="9" hidden="1"/>
    <cellStyle name="Followed Hyperlink" xfId="9309" builtinId="9" hidden="1"/>
    <cellStyle name="Followed Hyperlink" xfId="9311" builtinId="9" hidden="1"/>
    <cellStyle name="Followed Hyperlink" xfId="9313" builtinId="9" hidden="1"/>
    <cellStyle name="Followed Hyperlink" xfId="9315" builtinId="9" hidden="1"/>
    <cellStyle name="Followed Hyperlink" xfId="9317" builtinId="9" hidden="1"/>
    <cellStyle name="Followed Hyperlink" xfId="9319" builtinId="9" hidden="1"/>
    <cellStyle name="Followed Hyperlink" xfId="9321" builtinId="9" hidden="1"/>
    <cellStyle name="Followed Hyperlink" xfId="9323" builtinId="9" hidden="1"/>
    <cellStyle name="Followed Hyperlink" xfId="9325" builtinId="9" hidden="1"/>
    <cellStyle name="Followed Hyperlink" xfId="9327" builtinId="9" hidden="1"/>
    <cellStyle name="Followed Hyperlink" xfId="9329" builtinId="9" hidden="1"/>
    <cellStyle name="Followed Hyperlink" xfId="9331" builtinId="9" hidden="1"/>
    <cellStyle name="Followed Hyperlink" xfId="9333" builtinId="9" hidden="1"/>
    <cellStyle name="Followed Hyperlink" xfId="9335" builtinId="9" hidden="1"/>
    <cellStyle name="Followed Hyperlink" xfId="9337" builtinId="9" hidden="1"/>
    <cellStyle name="Followed Hyperlink" xfId="9339" builtinId="9" hidden="1"/>
    <cellStyle name="Followed Hyperlink" xfId="9341" builtinId="9" hidden="1"/>
    <cellStyle name="Followed Hyperlink" xfId="9343" builtinId="9" hidden="1"/>
    <cellStyle name="Followed Hyperlink" xfId="9345" builtinId="9" hidden="1"/>
    <cellStyle name="Followed Hyperlink" xfId="9347" builtinId="9" hidden="1"/>
    <cellStyle name="Followed Hyperlink" xfId="9349" builtinId="9" hidden="1"/>
    <cellStyle name="Followed Hyperlink" xfId="9351" builtinId="9" hidden="1"/>
    <cellStyle name="Followed Hyperlink" xfId="9353" builtinId="9" hidden="1"/>
    <cellStyle name="Followed Hyperlink" xfId="9355" builtinId="9" hidden="1"/>
    <cellStyle name="Followed Hyperlink" xfId="9357" builtinId="9" hidden="1"/>
    <cellStyle name="Followed Hyperlink" xfId="9359" builtinId="9" hidden="1"/>
    <cellStyle name="Followed Hyperlink" xfId="9361" builtinId="9" hidden="1"/>
    <cellStyle name="Followed Hyperlink" xfId="9363" builtinId="9" hidden="1"/>
    <cellStyle name="Followed Hyperlink" xfId="9365" builtinId="9" hidden="1"/>
    <cellStyle name="Followed Hyperlink" xfId="9367" builtinId="9" hidden="1"/>
    <cellStyle name="Followed Hyperlink" xfId="9369" builtinId="9" hidden="1"/>
    <cellStyle name="Followed Hyperlink" xfId="9371" builtinId="9" hidden="1"/>
    <cellStyle name="Followed Hyperlink" xfId="9373" builtinId="9" hidden="1"/>
    <cellStyle name="Followed Hyperlink" xfId="9375" builtinId="9" hidden="1"/>
    <cellStyle name="Followed Hyperlink" xfId="9377" builtinId="9" hidden="1"/>
    <cellStyle name="Followed Hyperlink" xfId="9379" builtinId="9" hidden="1"/>
    <cellStyle name="Followed Hyperlink" xfId="9381" builtinId="9" hidden="1"/>
    <cellStyle name="Followed Hyperlink" xfId="9383" builtinId="9" hidden="1"/>
    <cellStyle name="Followed Hyperlink" xfId="9385" builtinId="9" hidden="1"/>
    <cellStyle name="Followed Hyperlink" xfId="9387" builtinId="9" hidden="1"/>
    <cellStyle name="Followed Hyperlink" xfId="9389" builtinId="9" hidden="1"/>
    <cellStyle name="Followed Hyperlink" xfId="9391" builtinId="9" hidden="1"/>
    <cellStyle name="Followed Hyperlink" xfId="9393" builtinId="9" hidden="1"/>
    <cellStyle name="Followed Hyperlink" xfId="9395" builtinId="9" hidden="1"/>
    <cellStyle name="Followed Hyperlink" xfId="9397" builtinId="9" hidden="1"/>
    <cellStyle name="Followed Hyperlink" xfId="9399" builtinId="9" hidden="1"/>
    <cellStyle name="Followed Hyperlink" xfId="9401" builtinId="9" hidden="1"/>
    <cellStyle name="Followed Hyperlink" xfId="9403" builtinId="9" hidden="1"/>
    <cellStyle name="Followed Hyperlink" xfId="9405" builtinId="9" hidden="1"/>
    <cellStyle name="Followed Hyperlink" xfId="9407" builtinId="9" hidden="1"/>
    <cellStyle name="Followed Hyperlink" xfId="9409" builtinId="9" hidden="1"/>
    <cellStyle name="Followed Hyperlink" xfId="9411" builtinId="9" hidden="1"/>
    <cellStyle name="Followed Hyperlink" xfId="9413" builtinId="9" hidden="1"/>
    <cellStyle name="Followed Hyperlink" xfId="9415" builtinId="9" hidden="1"/>
    <cellStyle name="Followed Hyperlink" xfId="9417" builtinId="9" hidden="1"/>
    <cellStyle name="Followed Hyperlink" xfId="9419" builtinId="9" hidden="1"/>
    <cellStyle name="Followed Hyperlink" xfId="9421" builtinId="9" hidden="1"/>
    <cellStyle name="Followed Hyperlink" xfId="9423" builtinId="9" hidden="1"/>
    <cellStyle name="Followed Hyperlink" xfId="9425" builtinId="9" hidden="1"/>
    <cellStyle name="Followed Hyperlink" xfId="9427" builtinId="9" hidden="1"/>
    <cellStyle name="Followed Hyperlink" xfId="9429" builtinId="9" hidden="1"/>
    <cellStyle name="Followed Hyperlink" xfId="9431" builtinId="9" hidden="1"/>
    <cellStyle name="Followed Hyperlink" xfId="9433" builtinId="9" hidden="1"/>
    <cellStyle name="Followed Hyperlink" xfId="9435" builtinId="9" hidden="1"/>
    <cellStyle name="Followed Hyperlink" xfId="9437" builtinId="9" hidden="1"/>
    <cellStyle name="Followed Hyperlink" xfId="9439" builtinId="9" hidden="1"/>
    <cellStyle name="Followed Hyperlink" xfId="9441" builtinId="9" hidden="1"/>
    <cellStyle name="Followed Hyperlink" xfId="9443" builtinId="9" hidden="1"/>
    <cellStyle name="Followed Hyperlink" xfId="9445" builtinId="9" hidden="1"/>
    <cellStyle name="Followed Hyperlink" xfId="9447" builtinId="9" hidden="1"/>
    <cellStyle name="Followed Hyperlink" xfId="9449" builtinId="9" hidden="1"/>
    <cellStyle name="Followed Hyperlink" xfId="9451" builtinId="9" hidden="1"/>
    <cellStyle name="Followed Hyperlink" xfId="9453" builtinId="9" hidden="1"/>
    <cellStyle name="Followed Hyperlink" xfId="9455" builtinId="9" hidden="1"/>
    <cellStyle name="Followed Hyperlink" xfId="9457" builtinId="9" hidden="1"/>
    <cellStyle name="Followed Hyperlink" xfId="9459" builtinId="9" hidden="1"/>
    <cellStyle name="Followed Hyperlink" xfId="9461" builtinId="9" hidden="1"/>
    <cellStyle name="Followed Hyperlink" xfId="9463" builtinId="9" hidden="1"/>
    <cellStyle name="Followed Hyperlink" xfId="9465" builtinId="9" hidden="1"/>
    <cellStyle name="Followed Hyperlink" xfId="9467" builtinId="9" hidden="1"/>
    <cellStyle name="Followed Hyperlink" xfId="9469" builtinId="9" hidden="1"/>
    <cellStyle name="Followed Hyperlink" xfId="9471" builtinId="9" hidden="1"/>
    <cellStyle name="Followed Hyperlink" xfId="9473" builtinId="9" hidden="1"/>
    <cellStyle name="Followed Hyperlink" xfId="9475" builtinId="9" hidden="1"/>
    <cellStyle name="Followed Hyperlink" xfId="9477" builtinId="9" hidden="1"/>
    <cellStyle name="Followed Hyperlink" xfId="9479" builtinId="9" hidden="1"/>
    <cellStyle name="Followed Hyperlink" xfId="9481" builtinId="9" hidden="1"/>
    <cellStyle name="Followed Hyperlink" xfId="9483" builtinId="9" hidden="1"/>
    <cellStyle name="Followed Hyperlink" xfId="9485" builtinId="9" hidden="1"/>
    <cellStyle name="Followed Hyperlink" xfId="9487" builtinId="9" hidden="1"/>
    <cellStyle name="Followed Hyperlink" xfId="9489" builtinId="9" hidden="1"/>
    <cellStyle name="Followed Hyperlink" xfId="9491" builtinId="9" hidden="1"/>
    <cellStyle name="Followed Hyperlink" xfId="9493" builtinId="9" hidden="1"/>
    <cellStyle name="Followed Hyperlink" xfId="9495" builtinId="9" hidden="1"/>
    <cellStyle name="Followed Hyperlink" xfId="9497" builtinId="9" hidden="1"/>
    <cellStyle name="Followed Hyperlink" xfId="9499" builtinId="9" hidden="1"/>
    <cellStyle name="Followed Hyperlink" xfId="9501" builtinId="9" hidden="1"/>
    <cellStyle name="Followed Hyperlink" xfId="9503" builtinId="9" hidden="1"/>
    <cellStyle name="Followed Hyperlink" xfId="9505" builtinId="9" hidden="1"/>
    <cellStyle name="Followed Hyperlink" xfId="9507" builtinId="9" hidden="1"/>
    <cellStyle name="Followed Hyperlink" xfId="9509" builtinId="9" hidden="1"/>
    <cellStyle name="Followed Hyperlink" xfId="9511" builtinId="9" hidden="1"/>
    <cellStyle name="Followed Hyperlink" xfId="9513" builtinId="9" hidden="1"/>
    <cellStyle name="Followed Hyperlink" xfId="9515" builtinId="9" hidden="1"/>
    <cellStyle name="Followed Hyperlink" xfId="9517" builtinId="9" hidden="1"/>
    <cellStyle name="Followed Hyperlink" xfId="9519" builtinId="9" hidden="1"/>
    <cellStyle name="Followed Hyperlink" xfId="9521" builtinId="9" hidden="1"/>
    <cellStyle name="Followed Hyperlink" xfId="9523" builtinId="9" hidden="1"/>
    <cellStyle name="Followed Hyperlink" xfId="9525" builtinId="9" hidden="1"/>
    <cellStyle name="Followed Hyperlink" xfId="9527" builtinId="9" hidden="1"/>
    <cellStyle name="Followed Hyperlink" xfId="9529" builtinId="9" hidden="1"/>
    <cellStyle name="Followed Hyperlink" xfId="9531" builtinId="9" hidden="1"/>
    <cellStyle name="Followed Hyperlink" xfId="9533" builtinId="9" hidden="1"/>
    <cellStyle name="Followed Hyperlink" xfId="9535" builtinId="9" hidden="1"/>
    <cellStyle name="Followed Hyperlink" xfId="9537" builtinId="9" hidden="1"/>
    <cellStyle name="Followed Hyperlink" xfId="9539" builtinId="9" hidden="1"/>
    <cellStyle name="Followed Hyperlink" xfId="9541" builtinId="9" hidden="1"/>
    <cellStyle name="Followed Hyperlink" xfId="9543" builtinId="9" hidden="1"/>
    <cellStyle name="Followed Hyperlink" xfId="9545" builtinId="9" hidden="1"/>
    <cellStyle name="Followed Hyperlink" xfId="9547" builtinId="9" hidden="1"/>
    <cellStyle name="Followed Hyperlink" xfId="9549" builtinId="9" hidden="1"/>
    <cellStyle name="Followed Hyperlink" xfId="9551" builtinId="9" hidden="1"/>
    <cellStyle name="Followed Hyperlink" xfId="9553" builtinId="9" hidden="1"/>
    <cellStyle name="Followed Hyperlink" xfId="9555" builtinId="9" hidden="1"/>
    <cellStyle name="Followed Hyperlink" xfId="9557" builtinId="9" hidden="1"/>
    <cellStyle name="Followed Hyperlink" xfId="9559" builtinId="9" hidden="1"/>
    <cellStyle name="Followed Hyperlink" xfId="9561" builtinId="9" hidden="1"/>
    <cellStyle name="Followed Hyperlink" xfId="9563" builtinId="9" hidden="1"/>
    <cellStyle name="Followed Hyperlink" xfId="9565" builtinId="9" hidden="1"/>
    <cellStyle name="Followed Hyperlink" xfId="9567" builtinId="9" hidden="1"/>
    <cellStyle name="Followed Hyperlink" xfId="9569" builtinId="9" hidden="1"/>
    <cellStyle name="Followed Hyperlink" xfId="9571" builtinId="9" hidden="1"/>
    <cellStyle name="Followed Hyperlink" xfId="9573" builtinId="9" hidden="1"/>
    <cellStyle name="Followed Hyperlink" xfId="9575" builtinId="9" hidden="1"/>
    <cellStyle name="Followed Hyperlink" xfId="9577" builtinId="9" hidden="1"/>
    <cellStyle name="Followed Hyperlink" xfId="9579" builtinId="9" hidden="1"/>
    <cellStyle name="Followed Hyperlink" xfId="9581" builtinId="9" hidden="1"/>
    <cellStyle name="Followed Hyperlink" xfId="9583" builtinId="9" hidden="1"/>
    <cellStyle name="Followed Hyperlink" xfId="9585" builtinId="9" hidden="1"/>
    <cellStyle name="Followed Hyperlink" xfId="9587" builtinId="9" hidden="1"/>
    <cellStyle name="Followed Hyperlink" xfId="9589" builtinId="9" hidden="1"/>
    <cellStyle name="Followed Hyperlink" xfId="9591" builtinId="9" hidden="1"/>
    <cellStyle name="Followed Hyperlink" xfId="9593" builtinId="9" hidden="1"/>
    <cellStyle name="Followed Hyperlink" xfId="9595" builtinId="9" hidden="1"/>
    <cellStyle name="Followed Hyperlink" xfId="9597" builtinId="9" hidden="1"/>
    <cellStyle name="Followed Hyperlink" xfId="9599" builtinId="9" hidden="1"/>
    <cellStyle name="Followed Hyperlink" xfId="9601" builtinId="9" hidden="1"/>
    <cellStyle name="Followed Hyperlink" xfId="9603" builtinId="9" hidden="1"/>
    <cellStyle name="Followed Hyperlink" xfId="9605" builtinId="9" hidden="1"/>
    <cellStyle name="Followed Hyperlink" xfId="9607" builtinId="9" hidden="1"/>
    <cellStyle name="Followed Hyperlink" xfId="9609" builtinId="9" hidden="1"/>
    <cellStyle name="Followed Hyperlink" xfId="9611" builtinId="9" hidden="1"/>
    <cellStyle name="Followed Hyperlink" xfId="9613" builtinId="9" hidden="1"/>
    <cellStyle name="Followed Hyperlink" xfId="9615" builtinId="9" hidden="1"/>
    <cellStyle name="Followed Hyperlink" xfId="9617" builtinId="9" hidden="1"/>
    <cellStyle name="Followed Hyperlink" xfId="9619" builtinId="9" hidden="1"/>
    <cellStyle name="Followed Hyperlink" xfId="9621" builtinId="9" hidden="1"/>
    <cellStyle name="Followed Hyperlink" xfId="9623" builtinId="9" hidden="1"/>
    <cellStyle name="Followed Hyperlink" xfId="9625" builtinId="9" hidden="1"/>
    <cellStyle name="Followed Hyperlink" xfId="9627" builtinId="9" hidden="1"/>
    <cellStyle name="Followed Hyperlink" xfId="9629" builtinId="9" hidden="1"/>
    <cellStyle name="Followed Hyperlink" xfId="9631" builtinId="9" hidden="1"/>
    <cellStyle name="Followed Hyperlink" xfId="9633" builtinId="9" hidden="1"/>
    <cellStyle name="Followed Hyperlink" xfId="9635" builtinId="9" hidden="1"/>
    <cellStyle name="Followed Hyperlink" xfId="9637" builtinId="9" hidden="1"/>
    <cellStyle name="Followed Hyperlink" xfId="9639" builtinId="9" hidden="1"/>
    <cellStyle name="Followed Hyperlink" xfId="9641" builtinId="9" hidden="1"/>
    <cellStyle name="Followed Hyperlink" xfId="9643" builtinId="9" hidden="1"/>
    <cellStyle name="Followed Hyperlink" xfId="9645" builtinId="9" hidden="1"/>
    <cellStyle name="Followed Hyperlink" xfId="9647" builtinId="9" hidden="1"/>
    <cellStyle name="Followed Hyperlink" xfId="9649" builtinId="9" hidden="1"/>
    <cellStyle name="Followed Hyperlink" xfId="9651" builtinId="9" hidden="1"/>
    <cellStyle name="Followed Hyperlink" xfId="9653" builtinId="9" hidden="1"/>
    <cellStyle name="Followed Hyperlink" xfId="9655" builtinId="9" hidden="1"/>
    <cellStyle name="Followed Hyperlink" xfId="9657" builtinId="9" hidden="1"/>
    <cellStyle name="Followed Hyperlink" xfId="9659" builtinId="9" hidden="1"/>
    <cellStyle name="Followed Hyperlink" xfId="9661" builtinId="9" hidden="1"/>
    <cellStyle name="Followed Hyperlink" xfId="9663" builtinId="9" hidden="1"/>
    <cellStyle name="Followed Hyperlink" xfId="9665" builtinId="9" hidden="1"/>
    <cellStyle name="Followed Hyperlink" xfId="9667" builtinId="9" hidden="1"/>
    <cellStyle name="Followed Hyperlink" xfId="9669" builtinId="9" hidden="1"/>
    <cellStyle name="Followed Hyperlink" xfId="9671" builtinId="9" hidden="1"/>
    <cellStyle name="Followed Hyperlink" xfId="9673" builtinId="9" hidden="1"/>
    <cellStyle name="Followed Hyperlink" xfId="9675" builtinId="9" hidden="1"/>
    <cellStyle name="Followed Hyperlink" xfId="9677" builtinId="9" hidden="1"/>
    <cellStyle name="Followed Hyperlink" xfId="9679" builtinId="9" hidden="1"/>
    <cellStyle name="Followed Hyperlink" xfId="9681" builtinId="9" hidden="1"/>
    <cellStyle name="Followed Hyperlink" xfId="9683" builtinId="9" hidden="1"/>
    <cellStyle name="Followed Hyperlink" xfId="9685" builtinId="9" hidden="1"/>
    <cellStyle name="Followed Hyperlink" xfId="9687" builtinId="9" hidden="1"/>
    <cellStyle name="Followed Hyperlink" xfId="9689" builtinId="9" hidden="1"/>
    <cellStyle name="Followed Hyperlink" xfId="9691" builtinId="9" hidden="1"/>
    <cellStyle name="Followed Hyperlink" xfId="9693" builtinId="9" hidden="1"/>
    <cellStyle name="Followed Hyperlink" xfId="9695" builtinId="9" hidden="1"/>
    <cellStyle name="Followed Hyperlink" xfId="9697" builtinId="9" hidden="1"/>
    <cellStyle name="Followed Hyperlink" xfId="9699" builtinId="9" hidden="1"/>
    <cellStyle name="Followed Hyperlink" xfId="9701" builtinId="9" hidden="1"/>
    <cellStyle name="Followed Hyperlink" xfId="9703" builtinId="9" hidden="1"/>
    <cellStyle name="Followed Hyperlink" xfId="9705" builtinId="9" hidden="1"/>
    <cellStyle name="Followed Hyperlink" xfId="9707" builtinId="9" hidden="1"/>
    <cellStyle name="Followed Hyperlink" xfId="9709" builtinId="9" hidden="1"/>
    <cellStyle name="Followed Hyperlink" xfId="9711" builtinId="9" hidden="1"/>
    <cellStyle name="Followed Hyperlink" xfId="9713" builtinId="9" hidden="1"/>
    <cellStyle name="Followed Hyperlink" xfId="9715" builtinId="9" hidden="1"/>
    <cellStyle name="Followed Hyperlink" xfId="9717" builtinId="9" hidden="1"/>
    <cellStyle name="Followed Hyperlink" xfId="9719" builtinId="9" hidden="1"/>
    <cellStyle name="Followed Hyperlink" xfId="9721" builtinId="9" hidden="1"/>
    <cellStyle name="Followed Hyperlink" xfId="9723" builtinId="9" hidden="1"/>
    <cellStyle name="Followed Hyperlink" xfId="9725" builtinId="9" hidden="1"/>
    <cellStyle name="Followed Hyperlink" xfId="9727" builtinId="9" hidden="1"/>
    <cellStyle name="Followed Hyperlink" xfId="9729" builtinId="9" hidden="1"/>
    <cellStyle name="Followed Hyperlink" xfId="9731" builtinId="9" hidden="1"/>
    <cellStyle name="Followed Hyperlink" xfId="9733" builtinId="9" hidden="1"/>
    <cellStyle name="Followed Hyperlink" xfId="9735" builtinId="9" hidden="1"/>
    <cellStyle name="Followed Hyperlink" xfId="9737" builtinId="9" hidden="1"/>
    <cellStyle name="Followed Hyperlink" xfId="9739" builtinId="9" hidden="1"/>
    <cellStyle name="Followed Hyperlink" xfId="9741" builtinId="9" hidden="1"/>
    <cellStyle name="Followed Hyperlink" xfId="9743" builtinId="9" hidden="1"/>
    <cellStyle name="Followed Hyperlink" xfId="9745" builtinId="9" hidden="1"/>
    <cellStyle name="Followed Hyperlink" xfId="9747" builtinId="9" hidden="1"/>
    <cellStyle name="Followed Hyperlink" xfId="9749" builtinId="9" hidden="1"/>
    <cellStyle name="Followed Hyperlink" xfId="9751" builtinId="9" hidden="1"/>
    <cellStyle name="Followed Hyperlink" xfId="9753" builtinId="9" hidden="1"/>
    <cellStyle name="Followed Hyperlink" xfId="9755" builtinId="9" hidden="1"/>
    <cellStyle name="Followed Hyperlink" xfId="9757" builtinId="9" hidden="1"/>
    <cellStyle name="Followed Hyperlink" xfId="9759" builtinId="9" hidden="1"/>
    <cellStyle name="Followed Hyperlink" xfId="9761" builtinId="9" hidden="1"/>
    <cellStyle name="Followed Hyperlink" xfId="9763" builtinId="9" hidden="1"/>
    <cellStyle name="Followed Hyperlink" xfId="9765" builtinId="9" hidden="1"/>
    <cellStyle name="Followed Hyperlink" xfId="9767" builtinId="9" hidden="1"/>
    <cellStyle name="Followed Hyperlink" xfId="9769" builtinId="9" hidden="1"/>
    <cellStyle name="Followed Hyperlink" xfId="9771" builtinId="9" hidden="1"/>
    <cellStyle name="Followed Hyperlink" xfId="9773" builtinId="9" hidden="1"/>
    <cellStyle name="Followed Hyperlink" xfId="9775" builtinId="9" hidden="1"/>
    <cellStyle name="Followed Hyperlink" xfId="9777" builtinId="9" hidden="1"/>
    <cellStyle name="Followed Hyperlink" xfId="9779" builtinId="9" hidden="1"/>
    <cellStyle name="Followed Hyperlink" xfId="9781" builtinId="9" hidden="1"/>
    <cellStyle name="Followed Hyperlink" xfId="9783" builtinId="9" hidden="1"/>
    <cellStyle name="Followed Hyperlink" xfId="9785" builtinId="9" hidden="1"/>
    <cellStyle name="Followed Hyperlink" xfId="9787" builtinId="9" hidden="1"/>
    <cellStyle name="Followed Hyperlink" xfId="9789" builtinId="9" hidden="1"/>
    <cellStyle name="Followed Hyperlink" xfId="9791" builtinId="9" hidden="1"/>
    <cellStyle name="Followed Hyperlink" xfId="9793" builtinId="9" hidden="1"/>
    <cellStyle name="Followed Hyperlink" xfId="9795" builtinId="9" hidden="1"/>
    <cellStyle name="Followed Hyperlink" xfId="9797" builtinId="9" hidden="1"/>
    <cellStyle name="Followed Hyperlink" xfId="9799" builtinId="9" hidden="1"/>
    <cellStyle name="Followed Hyperlink" xfId="9801" builtinId="9" hidden="1"/>
    <cellStyle name="Followed Hyperlink" xfId="9803" builtinId="9" hidden="1"/>
    <cellStyle name="Followed Hyperlink" xfId="9805" builtinId="9" hidden="1"/>
    <cellStyle name="Followed Hyperlink" xfId="9807" builtinId="9" hidden="1"/>
    <cellStyle name="Followed Hyperlink" xfId="9809" builtinId="9" hidden="1"/>
    <cellStyle name="Followed Hyperlink" xfId="9811" builtinId="9" hidden="1"/>
    <cellStyle name="Followed Hyperlink" xfId="9813" builtinId="9" hidden="1"/>
    <cellStyle name="Followed Hyperlink" xfId="9815" builtinId="9" hidden="1"/>
    <cellStyle name="Followed Hyperlink" xfId="9817" builtinId="9" hidden="1"/>
    <cellStyle name="Followed Hyperlink" xfId="9819" builtinId="9" hidden="1"/>
    <cellStyle name="Followed Hyperlink" xfId="9821" builtinId="9" hidden="1"/>
    <cellStyle name="Followed Hyperlink" xfId="9823" builtinId="9" hidden="1"/>
    <cellStyle name="Followed Hyperlink" xfId="9825" builtinId="9" hidden="1"/>
    <cellStyle name="Followed Hyperlink" xfId="9827" builtinId="9" hidden="1"/>
    <cellStyle name="Followed Hyperlink" xfId="9829" builtinId="9" hidden="1"/>
    <cellStyle name="Followed Hyperlink" xfId="9831" builtinId="9" hidden="1"/>
    <cellStyle name="Followed Hyperlink" xfId="9833" builtinId="9" hidden="1"/>
    <cellStyle name="Followed Hyperlink" xfId="9835" builtinId="9" hidden="1"/>
    <cellStyle name="Followed Hyperlink" xfId="9837" builtinId="9" hidden="1"/>
    <cellStyle name="Followed Hyperlink" xfId="9839" builtinId="9" hidden="1"/>
    <cellStyle name="Followed Hyperlink" xfId="9841" builtinId="9" hidden="1"/>
    <cellStyle name="Followed Hyperlink" xfId="9843" builtinId="9" hidden="1"/>
    <cellStyle name="Followed Hyperlink" xfId="9845" builtinId="9" hidden="1"/>
    <cellStyle name="Followed Hyperlink" xfId="9847" builtinId="9" hidden="1"/>
    <cellStyle name="Followed Hyperlink" xfId="9849" builtinId="9" hidden="1"/>
    <cellStyle name="Followed Hyperlink" xfId="9851" builtinId="9" hidden="1"/>
    <cellStyle name="Followed Hyperlink" xfId="9853" builtinId="9" hidden="1"/>
    <cellStyle name="Followed Hyperlink" xfId="9855" builtinId="9" hidden="1"/>
    <cellStyle name="Followed Hyperlink" xfId="9857" builtinId="9" hidden="1"/>
    <cellStyle name="Followed Hyperlink" xfId="9859" builtinId="9" hidden="1"/>
    <cellStyle name="Followed Hyperlink" xfId="9861" builtinId="9" hidden="1"/>
    <cellStyle name="Followed Hyperlink" xfId="9863" builtinId="9" hidden="1"/>
    <cellStyle name="Followed Hyperlink" xfId="9865" builtinId="9" hidden="1"/>
    <cellStyle name="Followed Hyperlink" xfId="9867" builtinId="9" hidden="1"/>
    <cellStyle name="Followed Hyperlink" xfId="9869" builtinId="9" hidden="1"/>
    <cellStyle name="Followed Hyperlink" xfId="9871" builtinId="9" hidden="1"/>
    <cellStyle name="Followed Hyperlink" xfId="9873" builtinId="9" hidden="1"/>
    <cellStyle name="Followed Hyperlink" xfId="9875" builtinId="9" hidden="1"/>
    <cellStyle name="Followed Hyperlink" xfId="9877" builtinId="9" hidden="1"/>
    <cellStyle name="Followed Hyperlink" xfId="9879" builtinId="9" hidden="1"/>
    <cellStyle name="Followed Hyperlink" xfId="9881" builtinId="9" hidden="1"/>
    <cellStyle name="Followed Hyperlink" xfId="9883" builtinId="9" hidden="1"/>
    <cellStyle name="Followed Hyperlink" xfId="9885" builtinId="9" hidden="1"/>
    <cellStyle name="Followed Hyperlink" xfId="9887" builtinId="9" hidden="1"/>
    <cellStyle name="Followed Hyperlink" xfId="9889" builtinId="9" hidden="1"/>
    <cellStyle name="Followed Hyperlink" xfId="9891" builtinId="9" hidden="1"/>
    <cellStyle name="Followed Hyperlink" xfId="9893" builtinId="9" hidden="1"/>
    <cellStyle name="Followed Hyperlink" xfId="9895" builtinId="9" hidden="1"/>
    <cellStyle name="Followed Hyperlink" xfId="9897" builtinId="9" hidden="1"/>
    <cellStyle name="Followed Hyperlink" xfId="9899" builtinId="9" hidden="1"/>
    <cellStyle name="Followed Hyperlink" xfId="9901" builtinId="9" hidden="1"/>
    <cellStyle name="Followed Hyperlink" xfId="9903" builtinId="9" hidden="1"/>
    <cellStyle name="Followed Hyperlink" xfId="9905" builtinId="9" hidden="1"/>
    <cellStyle name="Followed Hyperlink" xfId="9907" builtinId="9" hidden="1"/>
    <cellStyle name="Followed Hyperlink" xfId="9909" builtinId="9" hidden="1"/>
    <cellStyle name="Followed Hyperlink" xfId="9911" builtinId="9" hidden="1"/>
    <cellStyle name="Followed Hyperlink" xfId="9913" builtinId="9" hidden="1"/>
    <cellStyle name="Followed Hyperlink" xfId="9915" builtinId="9" hidden="1"/>
    <cellStyle name="Followed Hyperlink" xfId="9917" builtinId="9" hidden="1"/>
    <cellStyle name="Followed Hyperlink" xfId="9919" builtinId="9" hidden="1"/>
    <cellStyle name="Followed Hyperlink" xfId="9921" builtinId="9" hidden="1"/>
    <cellStyle name="Followed Hyperlink" xfId="9923" builtinId="9" hidden="1"/>
    <cellStyle name="Followed Hyperlink" xfId="9925" builtinId="9" hidden="1"/>
    <cellStyle name="Followed Hyperlink" xfId="9927" builtinId="9" hidden="1"/>
    <cellStyle name="Followed Hyperlink" xfId="9929" builtinId="9" hidden="1"/>
    <cellStyle name="Followed Hyperlink" xfId="9931" builtinId="9" hidden="1"/>
    <cellStyle name="Followed Hyperlink" xfId="9933" builtinId="9" hidden="1"/>
    <cellStyle name="Followed Hyperlink" xfId="9935" builtinId="9" hidden="1"/>
    <cellStyle name="Followed Hyperlink" xfId="9937" builtinId="9" hidden="1"/>
    <cellStyle name="Followed Hyperlink" xfId="9939" builtinId="9" hidden="1"/>
    <cellStyle name="Followed Hyperlink" xfId="9941" builtinId="9" hidden="1"/>
    <cellStyle name="Followed Hyperlink" xfId="9943" builtinId="9" hidden="1"/>
    <cellStyle name="Followed Hyperlink" xfId="9945" builtinId="9" hidden="1"/>
    <cellStyle name="Followed Hyperlink" xfId="9947" builtinId="9" hidden="1"/>
    <cellStyle name="Followed Hyperlink" xfId="9949" builtinId="9" hidden="1"/>
    <cellStyle name="Followed Hyperlink" xfId="9951" builtinId="9" hidden="1"/>
    <cellStyle name="Followed Hyperlink" xfId="9953" builtinId="9" hidden="1"/>
    <cellStyle name="Followed Hyperlink" xfId="9955" builtinId="9" hidden="1"/>
    <cellStyle name="Followed Hyperlink" xfId="9957" builtinId="9" hidden="1"/>
    <cellStyle name="Followed Hyperlink" xfId="9959" builtinId="9" hidden="1"/>
    <cellStyle name="Followed Hyperlink" xfId="9961" builtinId="9" hidden="1"/>
    <cellStyle name="Followed Hyperlink" xfId="9963" builtinId="9" hidden="1"/>
    <cellStyle name="Followed Hyperlink" xfId="9965" builtinId="9" hidden="1"/>
    <cellStyle name="Followed Hyperlink" xfId="9967" builtinId="9" hidden="1"/>
    <cellStyle name="Followed Hyperlink" xfId="9969" builtinId="9" hidden="1"/>
    <cellStyle name="Followed Hyperlink" xfId="9971" builtinId="9" hidden="1"/>
    <cellStyle name="Followed Hyperlink" xfId="9973" builtinId="9" hidden="1"/>
    <cellStyle name="Followed Hyperlink" xfId="9975" builtinId="9" hidden="1"/>
    <cellStyle name="Followed Hyperlink" xfId="9977" builtinId="9" hidden="1"/>
    <cellStyle name="Followed Hyperlink" xfId="9979" builtinId="9" hidden="1"/>
    <cellStyle name="Followed Hyperlink" xfId="9981" builtinId="9" hidden="1"/>
    <cellStyle name="Followed Hyperlink" xfId="9983" builtinId="9" hidden="1"/>
    <cellStyle name="Followed Hyperlink" xfId="9985" builtinId="9" hidden="1"/>
    <cellStyle name="Followed Hyperlink" xfId="9987" builtinId="9" hidden="1"/>
    <cellStyle name="Followed Hyperlink" xfId="9989" builtinId="9" hidden="1"/>
    <cellStyle name="Followed Hyperlink" xfId="9991" builtinId="9" hidden="1"/>
    <cellStyle name="Followed Hyperlink" xfId="9993" builtinId="9" hidden="1"/>
    <cellStyle name="Followed Hyperlink" xfId="9995" builtinId="9" hidden="1"/>
    <cellStyle name="Followed Hyperlink" xfId="9997" builtinId="9" hidden="1"/>
    <cellStyle name="Followed Hyperlink" xfId="9999" builtinId="9" hidden="1"/>
    <cellStyle name="Followed Hyperlink" xfId="10001" builtinId="9" hidden="1"/>
    <cellStyle name="Followed Hyperlink" xfId="10003" builtinId="9" hidden="1"/>
    <cellStyle name="Followed Hyperlink" xfId="10005" builtinId="9" hidden="1"/>
    <cellStyle name="Followed Hyperlink" xfId="10007" builtinId="9" hidden="1"/>
    <cellStyle name="Followed Hyperlink" xfId="10009" builtinId="9" hidden="1"/>
    <cellStyle name="Followed Hyperlink" xfId="10011" builtinId="9" hidden="1"/>
    <cellStyle name="Followed Hyperlink" xfId="10013" builtinId="9" hidden="1"/>
    <cellStyle name="Followed Hyperlink" xfId="10015" builtinId="9" hidden="1"/>
    <cellStyle name="Followed Hyperlink" xfId="10017" builtinId="9" hidden="1"/>
    <cellStyle name="Followed Hyperlink" xfId="10019" builtinId="9" hidden="1"/>
    <cellStyle name="Followed Hyperlink" xfId="10021" builtinId="9" hidden="1"/>
    <cellStyle name="Followed Hyperlink" xfId="10023" builtinId="9" hidden="1"/>
    <cellStyle name="Followed Hyperlink" xfId="10025" builtinId="9" hidden="1"/>
    <cellStyle name="Followed Hyperlink" xfId="10027" builtinId="9" hidden="1"/>
    <cellStyle name="Followed Hyperlink" xfId="10029" builtinId="9" hidden="1"/>
    <cellStyle name="Followed Hyperlink" xfId="10031" builtinId="9" hidden="1"/>
    <cellStyle name="Followed Hyperlink" xfId="10033" builtinId="9" hidden="1"/>
    <cellStyle name="Followed Hyperlink" xfId="10035" builtinId="9" hidden="1"/>
    <cellStyle name="Followed Hyperlink" xfId="10037" builtinId="9" hidden="1"/>
    <cellStyle name="Followed Hyperlink" xfId="10039" builtinId="9" hidden="1"/>
    <cellStyle name="Followed Hyperlink" xfId="10041" builtinId="9" hidden="1"/>
    <cellStyle name="Followed Hyperlink" xfId="10043" builtinId="9" hidden="1"/>
    <cellStyle name="Followed Hyperlink" xfId="10045" builtinId="9" hidden="1"/>
    <cellStyle name="Followed Hyperlink" xfId="10047" builtinId="9" hidden="1"/>
    <cellStyle name="Followed Hyperlink" xfId="10049" builtinId="9" hidden="1"/>
    <cellStyle name="Followed Hyperlink" xfId="10051" builtinId="9" hidden="1"/>
    <cellStyle name="Followed Hyperlink" xfId="10053" builtinId="9" hidden="1"/>
    <cellStyle name="Followed Hyperlink" xfId="10055" builtinId="9" hidden="1"/>
    <cellStyle name="Followed Hyperlink" xfId="10057" builtinId="9" hidden="1"/>
    <cellStyle name="Followed Hyperlink" xfId="10059" builtinId="9" hidden="1"/>
    <cellStyle name="Followed Hyperlink" xfId="10061" builtinId="9" hidden="1"/>
    <cellStyle name="Followed Hyperlink" xfId="10063" builtinId="9" hidden="1"/>
    <cellStyle name="Followed Hyperlink" xfId="10065" builtinId="9" hidden="1"/>
    <cellStyle name="Followed Hyperlink" xfId="10067" builtinId="9" hidden="1"/>
    <cellStyle name="Followed Hyperlink" xfId="10069" builtinId="9" hidden="1"/>
    <cellStyle name="Followed Hyperlink" xfId="10071" builtinId="9" hidden="1"/>
    <cellStyle name="Followed Hyperlink" xfId="10073" builtinId="9" hidden="1"/>
    <cellStyle name="Followed Hyperlink" xfId="10075" builtinId="9" hidden="1"/>
    <cellStyle name="Followed Hyperlink" xfId="10077" builtinId="9" hidden="1"/>
    <cellStyle name="Followed Hyperlink" xfId="10079" builtinId="9" hidden="1"/>
    <cellStyle name="Followed Hyperlink" xfId="10081" builtinId="9" hidden="1"/>
    <cellStyle name="Followed Hyperlink" xfId="10083" builtinId="9" hidden="1"/>
    <cellStyle name="Followed Hyperlink" xfId="10085" builtinId="9" hidden="1"/>
    <cellStyle name="Followed Hyperlink" xfId="10087" builtinId="9" hidden="1"/>
    <cellStyle name="Followed Hyperlink" xfId="10089" builtinId="9" hidden="1"/>
    <cellStyle name="Followed Hyperlink" xfId="10091" builtinId="9" hidden="1"/>
    <cellStyle name="Followed Hyperlink" xfId="10093" builtinId="9" hidden="1"/>
    <cellStyle name="Followed Hyperlink" xfId="10095" builtinId="9" hidden="1"/>
    <cellStyle name="Followed Hyperlink" xfId="10097" builtinId="9" hidden="1"/>
    <cellStyle name="Followed Hyperlink" xfId="10099" builtinId="9" hidden="1"/>
    <cellStyle name="Followed Hyperlink" xfId="10101" builtinId="9" hidden="1"/>
    <cellStyle name="Followed Hyperlink" xfId="10103" builtinId="9" hidden="1"/>
    <cellStyle name="Followed Hyperlink" xfId="10105" builtinId="9" hidden="1"/>
    <cellStyle name="Followed Hyperlink" xfId="10107" builtinId="9" hidden="1"/>
    <cellStyle name="Followed Hyperlink" xfId="10109" builtinId="9" hidden="1"/>
    <cellStyle name="Followed Hyperlink" xfId="10111" builtinId="9" hidden="1"/>
    <cellStyle name="Followed Hyperlink" xfId="10113" builtinId="9" hidden="1"/>
    <cellStyle name="Followed Hyperlink" xfId="10115" builtinId="9" hidden="1"/>
    <cellStyle name="Followed Hyperlink" xfId="10117" builtinId="9" hidden="1"/>
    <cellStyle name="Followed Hyperlink" xfId="10119" builtinId="9" hidden="1"/>
    <cellStyle name="Followed Hyperlink" xfId="10121" builtinId="9" hidden="1"/>
    <cellStyle name="Followed Hyperlink" xfId="10123" builtinId="9" hidden="1"/>
    <cellStyle name="Followed Hyperlink" xfId="10125" builtinId="9" hidden="1"/>
    <cellStyle name="Followed Hyperlink" xfId="10127" builtinId="9" hidden="1"/>
    <cellStyle name="Followed Hyperlink" xfId="10129" builtinId="9" hidden="1"/>
    <cellStyle name="Followed Hyperlink" xfId="10131" builtinId="9" hidden="1"/>
    <cellStyle name="Followed Hyperlink" xfId="10133" builtinId="9" hidden="1"/>
    <cellStyle name="Followed Hyperlink" xfId="10135" builtinId="9" hidden="1"/>
    <cellStyle name="Followed Hyperlink" xfId="10137" builtinId="9" hidden="1"/>
    <cellStyle name="Followed Hyperlink" xfId="10139" builtinId="9" hidden="1"/>
    <cellStyle name="Followed Hyperlink" xfId="10141" builtinId="9" hidden="1"/>
    <cellStyle name="Followed Hyperlink" xfId="10143" builtinId="9" hidden="1"/>
    <cellStyle name="Followed Hyperlink" xfId="10145" builtinId="9" hidden="1"/>
    <cellStyle name="Followed Hyperlink" xfId="10147" builtinId="9" hidden="1"/>
    <cellStyle name="Followed Hyperlink" xfId="10149" builtinId="9" hidden="1"/>
    <cellStyle name="Followed Hyperlink" xfId="10151" builtinId="9" hidden="1"/>
    <cellStyle name="Followed Hyperlink" xfId="10153" builtinId="9" hidden="1"/>
    <cellStyle name="Followed Hyperlink" xfId="10155" builtinId="9" hidden="1"/>
    <cellStyle name="Followed Hyperlink" xfId="10157" builtinId="9" hidden="1"/>
    <cellStyle name="Followed Hyperlink" xfId="10159" builtinId="9" hidden="1"/>
    <cellStyle name="Followed Hyperlink" xfId="10161" builtinId="9" hidden="1"/>
    <cellStyle name="Followed Hyperlink" xfId="10163" builtinId="9" hidden="1"/>
    <cellStyle name="Followed Hyperlink" xfId="10165" builtinId="9" hidden="1"/>
    <cellStyle name="Followed Hyperlink" xfId="10167" builtinId="9" hidden="1"/>
    <cellStyle name="Followed Hyperlink" xfId="10169" builtinId="9" hidden="1"/>
    <cellStyle name="Followed Hyperlink" xfId="10171" builtinId="9" hidden="1"/>
    <cellStyle name="Followed Hyperlink" xfId="10173" builtinId="9" hidden="1"/>
    <cellStyle name="Followed Hyperlink" xfId="10175" builtinId="9" hidden="1"/>
    <cellStyle name="Followed Hyperlink" xfId="10177" builtinId="9" hidden="1"/>
    <cellStyle name="Followed Hyperlink" xfId="10179" builtinId="9" hidden="1"/>
    <cellStyle name="Followed Hyperlink" xfId="10181" builtinId="9" hidden="1"/>
    <cellStyle name="Followed Hyperlink" xfId="10183" builtinId="9" hidden="1"/>
    <cellStyle name="Followed Hyperlink" xfId="10185" builtinId="9" hidden="1"/>
    <cellStyle name="Followed Hyperlink" xfId="10187" builtinId="9" hidden="1"/>
    <cellStyle name="Followed Hyperlink" xfId="10189" builtinId="9" hidden="1"/>
    <cellStyle name="Followed Hyperlink" xfId="10191" builtinId="9" hidden="1"/>
    <cellStyle name="Followed Hyperlink" xfId="10193" builtinId="9" hidden="1"/>
    <cellStyle name="Followed Hyperlink" xfId="10195" builtinId="9" hidden="1"/>
    <cellStyle name="Followed Hyperlink" xfId="10197" builtinId="9" hidden="1"/>
    <cellStyle name="Followed Hyperlink" xfId="10199" builtinId="9" hidden="1"/>
    <cellStyle name="Followed Hyperlink" xfId="10201" builtinId="9" hidden="1"/>
    <cellStyle name="Followed Hyperlink" xfId="10203" builtinId="9" hidden="1"/>
    <cellStyle name="Followed Hyperlink" xfId="10205" builtinId="9" hidden="1"/>
    <cellStyle name="Followed Hyperlink" xfId="10207" builtinId="9" hidden="1"/>
    <cellStyle name="Followed Hyperlink" xfId="10209" builtinId="9" hidden="1"/>
    <cellStyle name="Followed Hyperlink" xfId="10211" builtinId="9" hidden="1"/>
    <cellStyle name="Followed Hyperlink" xfId="10213" builtinId="9" hidden="1"/>
    <cellStyle name="Followed Hyperlink" xfId="10215" builtinId="9" hidden="1"/>
    <cellStyle name="Followed Hyperlink" xfId="10217" builtinId="9" hidden="1"/>
    <cellStyle name="Followed Hyperlink" xfId="10219" builtinId="9" hidden="1"/>
    <cellStyle name="Followed Hyperlink" xfId="10221" builtinId="9" hidden="1"/>
    <cellStyle name="Followed Hyperlink" xfId="10223" builtinId="9" hidden="1"/>
    <cellStyle name="Followed Hyperlink" xfId="10225" builtinId="9" hidden="1"/>
    <cellStyle name="Followed Hyperlink" xfId="10227" builtinId="9" hidden="1"/>
    <cellStyle name="Followed Hyperlink" xfId="10229" builtinId="9" hidden="1"/>
    <cellStyle name="Followed Hyperlink" xfId="10231" builtinId="9" hidden="1"/>
    <cellStyle name="Followed Hyperlink" xfId="10233" builtinId="9" hidden="1"/>
    <cellStyle name="Followed Hyperlink" xfId="10235" builtinId="9" hidden="1"/>
    <cellStyle name="Followed Hyperlink" xfId="10237" builtinId="9" hidden="1"/>
    <cellStyle name="Followed Hyperlink" xfId="10239" builtinId="9" hidden="1"/>
    <cellStyle name="Followed Hyperlink" xfId="10241" builtinId="9" hidden="1"/>
    <cellStyle name="Followed Hyperlink" xfId="10243" builtinId="9" hidden="1"/>
    <cellStyle name="Followed Hyperlink" xfId="10245" builtinId="9" hidden="1"/>
    <cellStyle name="Followed Hyperlink" xfId="10247" builtinId="9" hidden="1"/>
    <cellStyle name="Followed Hyperlink" xfId="10249" builtinId="9" hidden="1"/>
    <cellStyle name="Followed Hyperlink" xfId="10251" builtinId="9" hidden="1"/>
    <cellStyle name="Followed Hyperlink" xfId="10253" builtinId="9" hidden="1"/>
    <cellStyle name="Followed Hyperlink" xfId="10255" builtinId="9" hidden="1"/>
    <cellStyle name="Followed Hyperlink" xfId="10257" builtinId="9" hidden="1"/>
    <cellStyle name="Followed Hyperlink" xfId="10259" builtinId="9" hidden="1"/>
    <cellStyle name="Followed Hyperlink" xfId="10261" builtinId="9" hidden="1"/>
    <cellStyle name="Followed Hyperlink" xfId="10263" builtinId="9" hidden="1"/>
    <cellStyle name="Followed Hyperlink" xfId="10265" builtinId="9" hidden="1"/>
    <cellStyle name="Followed Hyperlink" xfId="10267" builtinId="9" hidden="1"/>
    <cellStyle name="Followed Hyperlink" xfId="10269" builtinId="9" hidden="1"/>
    <cellStyle name="Followed Hyperlink" xfId="10271" builtinId="9" hidden="1"/>
    <cellStyle name="Followed Hyperlink" xfId="10273" builtinId="9" hidden="1"/>
    <cellStyle name="Followed Hyperlink" xfId="10275" builtinId="9" hidden="1"/>
    <cellStyle name="Followed Hyperlink" xfId="10277" builtinId="9" hidden="1"/>
    <cellStyle name="Followed Hyperlink" xfId="10279" builtinId="9" hidden="1"/>
    <cellStyle name="Followed Hyperlink" xfId="10281" builtinId="9" hidden="1"/>
    <cellStyle name="Followed Hyperlink" xfId="10283" builtinId="9" hidden="1"/>
    <cellStyle name="Followed Hyperlink" xfId="10285" builtinId="9" hidden="1"/>
    <cellStyle name="Followed Hyperlink" xfId="10287" builtinId="9" hidden="1"/>
    <cellStyle name="Followed Hyperlink" xfId="10289" builtinId="9" hidden="1"/>
    <cellStyle name="Followed Hyperlink" xfId="10291" builtinId="9" hidden="1"/>
    <cellStyle name="Followed Hyperlink" xfId="10293" builtinId="9" hidden="1"/>
    <cellStyle name="Followed Hyperlink" xfId="10295" builtinId="9" hidden="1"/>
    <cellStyle name="Followed Hyperlink" xfId="10297" builtinId="9" hidden="1"/>
    <cellStyle name="Followed Hyperlink" xfId="10299" builtinId="9" hidden="1"/>
    <cellStyle name="Followed Hyperlink" xfId="10301" builtinId="9" hidden="1"/>
    <cellStyle name="Followed Hyperlink" xfId="10303" builtinId="9" hidden="1"/>
    <cellStyle name="Followed Hyperlink" xfId="10305" builtinId="9" hidden="1"/>
    <cellStyle name="Followed Hyperlink" xfId="10307" builtinId="9" hidden="1"/>
    <cellStyle name="Followed Hyperlink" xfId="10309" builtinId="9" hidden="1"/>
    <cellStyle name="Followed Hyperlink" xfId="10311" builtinId="9" hidden="1"/>
    <cellStyle name="Followed Hyperlink" xfId="10313" builtinId="9" hidden="1"/>
    <cellStyle name="Followed Hyperlink" xfId="10315" builtinId="9" hidden="1"/>
    <cellStyle name="Followed Hyperlink" xfId="10317" builtinId="9" hidden="1"/>
    <cellStyle name="Followed Hyperlink" xfId="10319" builtinId="9" hidden="1"/>
    <cellStyle name="Followed Hyperlink" xfId="10321" builtinId="9" hidden="1"/>
    <cellStyle name="Followed Hyperlink" xfId="10323" builtinId="9" hidden="1"/>
    <cellStyle name="Followed Hyperlink" xfId="10325" builtinId="9" hidden="1"/>
    <cellStyle name="Followed Hyperlink" xfId="10327" builtinId="9" hidden="1"/>
    <cellStyle name="Followed Hyperlink" xfId="10329" builtinId="9" hidden="1"/>
    <cellStyle name="Followed Hyperlink" xfId="10331" builtinId="9" hidden="1"/>
    <cellStyle name="Followed Hyperlink" xfId="10333" builtinId="9" hidden="1"/>
    <cellStyle name="Followed Hyperlink" xfId="10335" builtinId="9" hidden="1"/>
    <cellStyle name="Followed Hyperlink" xfId="10337" builtinId="9" hidden="1"/>
    <cellStyle name="Followed Hyperlink" xfId="10339" builtinId="9" hidden="1"/>
    <cellStyle name="Followed Hyperlink" xfId="10341" builtinId="9" hidden="1"/>
    <cellStyle name="Followed Hyperlink" xfId="10343" builtinId="9" hidden="1"/>
    <cellStyle name="Followed Hyperlink" xfId="10345" builtinId="9" hidden="1"/>
    <cellStyle name="Followed Hyperlink" xfId="10347" builtinId="9" hidden="1"/>
    <cellStyle name="Followed Hyperlink" xfId="10349" builtinId="9" hidden="1"/>
    <cellStyle name="Followed Hyperlink" xfId="10351" builtinId="9" hidden="1"/>
    <cellStyle name="Followed Hyperlink" xfId="10353" builtinId="9" hidden="1"/>
    <cellStyle name="Followed Hyperlink" xfId="10355" builtinId="9" hidden="1"/>
    <cellStyle name="Followed Hyperlink" xfId="10357" builtinId="9" hidden="1"/>
    <cellStyle name="Followed Hyperlink" xfId="10359" builtinId="9" hidden="1"/>
    <cellStyle name="Followed Hyperlink" xfId="10361" builtinId="9" hidden="1"/>
    <cellStyle name="Followed Hyperlink" xfId="10363" builtinId="9" hidden="1"/>
    <cellStyle name="Followed Hyperlink" xfId="10365" builtinId="9" hidden="1"/>
    <cellStyle name="Followed Hyperlink" xfId="10367" builtinId="9" hidden="1"/>
    <cellStyle name="Followed Hyperlink" xfId="10369" builtinId="9" hidden="1"/>
    <cellStyle name="Followed Hyperlink" xfId="10371" builtinId="9" hidden="1"/>
    <cellStyle name="Followed Hyperlink" xfId="10373" builtinId="9" hidden="1"/>
    <cellStyle name="Followed Hyperlink" xfId="10375" builtinId="9" hidden="1"/>
    <cellStyle name="Followed Hyperlink" xfId="10377" builtinId="9" hidden="1"/>
    <cellStyle name="Followed Hyperlink" xfId="10379" builtinId="9" hidden="1"/>
    <cellStyle name="Followed Hyperlink" xfId="10381" builtinId="9" hidden="1"/>
    <cellStyle name="Followed Hyperlink" xfId="10383" builtinId="9" hidden="1"/>
    <cellStyle name="Followed Hyperlink" xfId="10385" builtinId="9" hidden="1"/>
    <cellStyle name="Followed Hyperlink" xfId="10387" builtinId="9" hidden="1"/>
    <cellStyle name="Followed Hyperlink" xfId="10389" builtinId="9" hidden="1"/>
    <cellStyle name="Followed Hyperlink" xfId="10391" builtinId="9" hidden="1"/>
    <cellStyle name="Followed Hyperlink" xfId="10393" builtinId="9" hidden="1"/>
    <cellStyle name="Followed Hyperlink" xfId="10395" builtinId="9" hidden="1"/>
    <cellStyle name="Followed Hyperlink" xfId="10397" builtinId="9" hidden="1"/>
    <cellStyle name="Followed Hyperlink" xfId="10399" builtinId="9" hidden="1"/>
    <cellStyle name="Followed Hyperlink" xfId="10401" builtinId="9" hidden="1"/>
    <cellStyle name="Followed Hyperlink" xfId="10403" builtinId="9" hidden="1"/>
    <cellStyle name="Followed Hyperlink" xfId="10405" builtinId="9" hidden="1"/>
    <cellStyle name="Followed Hyperlink" xfId="10407" builtinId="9" hidden="1"/>
    <cellStyle name="Followed Hyperlink" xfId="10409" builtinId="9" hidden="1"/>
    <cellStyle name="Followed Hyperlink" xfId="10411" builtinId="9" hidden="1"/>
    <cellStyle name="Followed Hyperlink" xfId="10413" builtinId="9" hidden="1"/>
    <cellStyle name="Followed Hyperlink" xfId="10415" builtinId="9" hidden="1"/>
    <cellStyle name="Followed Hyperlink" xfId="10417" builtinId="9" hidden="1"/>
    <cellStyle name="Followed Hyperlink" xfId="10419" builtinId="9" hidden="1"/>
    <cellStyle name="Followed Hyperlink" xfId="10421" builtinId="9" hidden="1"/>
    <cellStyle name="Followed Hyperlink" xfId="10423" builtinId="9" hidden="1"/>
    <cellStyle name="Followed Hyperlink" xfId="10425" builtinId="9" hidden="1"/>
    <cellStyle name="Followed Hyperlink" xfId="10427" builtinId="9" hidden="1"/>
    <cellStyle name="Followed Hyperlink" xfId="10429" builtinId="9" hidden="1"/>
    <cellStyle name="Followed Hyperlink" xfId="10431" builtinId="9" hidden="1"/>
    <cellStyle name="Followed Hyperlink" xfId="10433" builtinId="9" hidden="1"/>
    <cellStyle name="Followed Hyperlink" xfId="10435" builtinId="9" hidden="1"/>
    <cellStyle name="Followed Hyperlink" xfId="10437" builtinId="9" hidden="1"/>
    <cellStyle name="Followed Hyperlink" xfId="10439" builtinId="9" hidden="1"/>
    <cellStyle name="Followed Hyperlink" xfId="10441" builtinId="9" hidden="1"/>
    <cellStyle name="Followed Hyperlink" xfId="10443" builtinId="9" hidden="1"/>
    <cellStyle name="Followed Hyperlink" xfId="10445" builtinId="9" hidden="1"/>
    <cellStyle name="Followed Hyperlink" xfId="10447" builtinId="9" hidden="1"/>
    <cellStyle name="Followed Hyperlink" xfId="10449" builtinId="9" hidden="1"/>
    <cellStyle name="Followed Hyperlink" xfId="10451" builtinId="9" hidden="1"/>
    <cellStyle name="Followed Hyperlink" xfId="10453" builtinId="9" hidden="1"/>
    <cellStyle name="Followed Hyperlink" xfId="10455" builtinId="9" hidden="1"/>
    <cellStyle name="Followed Hyperlink" xfId="10457" builtinId="9" hidden="1"/>
    <cellStyle name="Followed Hyperlink" xfId="10459" builtinId="9" hidden="1"/>
    <cellStyle name="Followed Hyperlink" xfId="10461" builtinId="9" hidden="1"/>
    <cellStyle name="Followed Hyperlink" xfId="10463" builtinId="9" hidden="1"/>
    <cellStyle name="Followed Hyperlink" xfId="10465" builtinId="9" hidden="1"/>
    <cellStyle name="Followed Hyperlink" xfId="10467" builtinId="9" hidden="1"/>
    <cellStyle name="Followed Hyperlink" xfId="10469" builtinId="9" hidden="1"/>
    <cellStyle name="Followed Hyperlink" xfId="10471" builtinId="9" hidden="1"/>
    <cellStyle name="Followed Hyperlink" xfId="10473" builtinId="9" hidden="1"/>
    <cellStyle name="Followed Hyperlink" xfId="10475" builtinId="9" hidden="1"/>
    <cellStyle name="Followed Hyperlink" xfId="10477" builtinId="9" hidden="1"/>
    <cellStyle name="Followed Hyperlink" xfId="10479" builtinId="9" hidden="1"/>
    <cellStyle name="Followed Hyperlink" xfId="10481" builtinId="9" hidden="1"/>
    <cellStyle name="Followed Hyperlink" xfId="10483" builtinId="9" hidden="1"/>
    <cellStyle name="Followed Hyperlink" xfId="10485" builtinId="9" hidden="1"/>
    <cellStyle name="Followed Hyperlink" xfId="10487" builtinId="9" hidden="1"/>
    <cellStyle name="Followed Hyperlink" xfId="10489" builtinId="9" hidden="1"/>
    <cellStyle name="Followed Hyperlink" xfId="10491" builtinId="9" hidden="1"/>
    <cellStyle name="Followed Hyperlink" xfId="10493" builtinId="9" hidden="1"/>
    <cellStyle name="Followed Hyperlink" xfId="10495" builtinId="9" hidden="1"/>
    <cellStyle name="Followed Hyperlink" xfId="10497" builtinId="9" hidden="1"/>
    <cellStyle name="Followed Hyperlink" xfId="10499" builtinId="9" hidden="1"/>
    <cellStyle name="Followed Hyperlink" xfId="10501" builtinId="9" hidden="1"/>
    <cellStyle name="Followed Hyperlink" xfId="10503" builtinId="9" hidden="1"/>
    <cellStyle name="Followed Hyperlink" xfId="10505" builtinId="9" hidden="1"/>
    <cellStyle name="Followed Hyperlink" xfId="10507" builtinId="9" hidden="1"/>
    <cellStyle name="Followed Hyperlink" xfId="10509" builtinId="9" hidden="1"/>
    <cellStyle name="Followed Hyperlink" xfId="10511" builtinId="9" hidden="1"/>
    <cellStyle name="Followed Hyperlink" xfId="10513" builtinId="9" hidden="1"/>
    <cellStyle name="Followed Hyperlink" xfId="10515" builtinId="9" hidden="1"/>
    <cellStyle name="Followed Hyperlink" xfId="10517" builtinId="9" hidden="1"/>
    <cellStyle name="Followed Hyperlink" xfId="10519" builtinId="9" hidden="1"/>
    <cellStyle name="Followed Hyperlink" xfId="10521" builtinId="9" hidden="1"/>
    <cellStyle name="Followed Hyperlink" xfId="10523" builtinId="9" hidden="1"/>
    <cellStyle name="Followed Hyperlink" xfId="10525" builtinId="9" hidden="1"/>
    <cellStyle name="Followed Hyperlink" xfId="10527" builtinId="9" hidden="1"/>
    <cellStyle name="Followed Hyperlink" xfId="10529" builtinId="9" hidden="1"/>
    <cellStyle name="Followed Hyperlink" xfId="10531" builtinId="9" hidden="1"/>
    <cellStyle name="Followed Hyperlink" xfId="10533" builtinId="9" hidden="1"/>
    <cellStyle name="Followed Hyperlink" xfId="10535" builtinId="9" hidden="1"/>
    <cellStyle name="Followed Hyperlink" xfId="10537" builtinId="9" hidden="1"/>
    <cellStyle name="Followed Hyperlink" xfId="10539" builtinId="9" hidden="1"/>
    <cellStyle name="Followed Hyperlink" xfId="10541" builtinId="9" hidden="1"/>
    <cellStyle name="Followed Hyperlink" xfId="10543" builtinId="9" hidden="1"/>
    <cellStyle name="Followed Hyperlink" xfId="10545" builtinId="9" hidden="1"/>
    <cellStyle name="Followed Hyperlink" xfId="10547" builtinId="9" hidden="1"/>
    <cellStyle name="Followed Hyperlink" xfId="10549" builtinId="9" hidden="1"/>
    <cellStyle name="Followed Hyperlink" xfId="10551" builtinId="9" hidden="1"/>
    <cellStyle name="Followed Hyperlink" xfId="10553" builtinId="9" hidden="1"/>
    <cellStyle name="Followed Hyperlink" xfId="10555" builtinId="9" hidden="1"/>
    <cellStyle name="Followed Hyperlink" xfId="10557" builtinId="9" hidden="1"/>
    <cellStyle name="Followed Hyperlink" xfId="10559" builtinId="9" hidden="1"/>
    <cellStyle name="Followed Hyperlink" xfId="10561" builtinId="9" hidden="1"/>
    <cellStyle name="Followed Hyperlink" xfId="10563" builtinId="9" hidden="1"/>
    <cellStyle name="Followed Hyperlink" xfId="10565" builtinId="9" hidden="1"/>
    <cellStyle name="Followed Hyperlink" xfId="10567" builtinId="9" hidden="1"/>
    <cellStyle name="Followed Hyperlink" xfId="10569" builtinId="9" hidden="1"/>
    <cellStyle name="Followed Hyperlink" xfId="10571" builtinId="9" hidden="1"/>
    <cellStyle name="Followed Hyperlink" xfId="10573" builtinId="9" hidden="1"/>
    <cellStyle name="Followed Hyperlink" xfId="10575" builtinId="9" hidden="1"/>
    <cellStyle name="Followed Hyperlink" xfId="10577" builtinId="9" hidden="1"/>
    <cellStyle name="Followed Hyperlink" xfId="10579" builtinId="9" hidden="1"/>
    <cellStyle name="Followed Hyperlink" xfId="10581" builtinId="9" hidden="1"/>
    <cellStyle name="Followed Hyperlink" xfId="10583" builtinId="9" hidden="1"/>
    <cellStyle name="Followed Hyperlink" xfId="10585" builtinId="9" hidden="1"/>
    <cellStyle name="Followed Hyperlink" xfId="10587" builtinId="9" hidden="1"/>
    <cellStyle name="Followed Hyperlink" xfId="10589" builtinId="9" hidden="1"/>
    <cellStyle name="Followed Hyperlink" xfId="10591" builtinId="9" hidden="1"/>
    <cellStyle name="Followed Hyperlink" xfId="10593" builtinId="9" hidden="1"/>
    <cellStyle name="Followed Hyperlink" xfId="10595" builtinId="9" hidden="1"/>
    <cellStyle name="Followed Hyperlink" xfId="10597" builtinId="9" hidden="1"/>
    <cellStyle name="Followed Hyperlink" xfId="10599" builtinId="9" hidden="1"/>
    <cellStyle name="Followed Hyperlink" xfId="10601" builtinId="9" hidden="1"/>
    <cellStyle name="Followed Hyperlink" xfId="10603" builtinId="9" hidden="1"/>
    <cellStyle name="Followed Hyperlink" xfId="10605" builtinId="9" hidden="1"/>
    <cellStyle name="Followed Hyperlink" xfId="10607" builtinId="9" hidden="1"/>
    <cellStyle name="Followed Hyperlink" xfId="10609" builtinId="9" hidden="1"/>
    <cellStyle name="Followed Hyperlink" xfId="10611" builtinId="9" hidden="1"/>
    <cellStyle name="Followed Hyperlink" xfId="10613" builtinId="9" hidden="1"/>
    <cellStyle name="Followed Hyperlink" xfId="10615" builtinId="9" hidden="1"/>
    <cellStyle name="Followed Hyperlink" xfId="10617" builtinId="9" hidden="1"/>
    <cellStyle name="Followed Hyperlink" xfId="10619" builtinId="9" hidden="1"/>
    <cellStyle name="Followed Hyperlink" xfId="10621" builtinId="9" hidden="1"/>
    <cellStyle name="Followed Hyperlink" xfId="10623" builtinId="9" hidden="1"/>
    <cellStyle name="Followed Hyperlink" xfId="10625" builtinId="9" hidden="1"/>
    <cellStyle name="Followed Hyperlink" xfId="10627" builtinId="9" hidden="1"/>
    <cellStyle name="Followed Hyperlink" xfId="10629" builtinId="9" hidden="1"/>
    <cellStyle name="Followed Hyperlink" xfId="10631" builtinId="9" hidden="1"/>
    <cellStyle name="Followed Hyperlink" xfId="10633" builtinId="9" hidden="1"/>
    <cellStyle name="Followed Hyperlink" xfId="10635" builtinId="9" hidden="1"/>
    <cellStyle name="Followed Hyperlink" xfId="10637" builtinId="9" hidden="1"/>
    <cellStyle name="Followed Hyperlink" xfId="10639" builtinId="9" hidden="1"/>
    <cellStyle name="Followed Hyperlink" xfId="10641" builtinId="9" hidden="1"/>
    <cellStyle name="Followed Hyperlink" xfId="10643" builtinId="9" hidden="1"/>
    <cellStyle name="Followed Hyperlink" xfId="10645" builtinId="9" hidden="1"/>
    <cellStyle name="Followed Hyperlink" xfId="10647" builtinId="9" hidden="1"/>
    <cellStyle name="Followed Hyperlink" xfId="10649" builtinId="9" hidden="1"/>
    <cellStyle name="Followed Hyperlink" xfId="10651" builtinId="9" hidden="1"/>
    <cellStyle name="Followed Hyperlink" xfId="10653" builtinId="9" hidden="1"/>
    <cellStyle name="Followed Hyperlink" xfId="10655" builtinId="9" hidden="1"/>
    <cellStyle name="Followed Hyperlink" xfId="10657" builtinId="9" hidden="1"/>
    <cellStyle name="Followed Hyperlink" xfId="10659" builtinId="9" hidden="1"/>
    <cellStyle name="Followed Hyperlink" xfId="10661" builtinId="9" hidden="1"/>
    <cellStyle name="Followed Hyperlink" xfId="10663" builtinId="9" hidden="1"/>
    <cellStyle name="Followed Hyperlink" xfId="10665" builtinId="9" hidden="1"/>
    <cellStyle name="Followed Hyperlink" xfId="10667" builtinId="9" hidden="1"/>
    <cellStyle name="Followed Hyperlink" xfId="10669" builtinId="9" hidden="1"/>
    <cellStyle name="Followed Hyperlink" xfId="10671" builtinId="9" hidden="1"/>
    <cellStyle name="Followed Hyperlink" xfId="10673" builtinId="9" hidden="1"/>
    <cellStyle name="Followed Hyperlink" xfId="10675" builtinId="9" hidden="1"/>
    <cellStyle name="Followed Hyperlink" xfId="10677" builtinId="9" hidden="1"/>
    <cellStyle name="Followed Hyperlink" xfId="10679" builtinId="9" hidden="1"/>
    <cellStyle name="Followed Hyperlink" xfId="10681" builtinId="9" hidden="1"/>
    <cellStyle name="Followed Hyperlink" xfId="10683" builtinId="9" hidden="1"/>
    <cellStyle name="Followed Hyperlink" xfId="10685" builtinId="9" hidden="1"/>
    <cellStyle name="Followed Hyperlink" xfId="10687" builtinId="9" hidden="1"/>
    <cellStyle name="Followed Hyperlink" xfId="10689" builtinId="9" hidden="1"/>
    <cellStyle name="Followed Hyperlink" xfId="10691" builtinId="9" hidden="1"/>
    <cellStyle name="Followed Hyperlink" xfId="10693" builtinId="9" hidden="1"/>
    <cellStyle name="Followed Hyperlink" xfId="10695" builtinId="9" hidden="1"/>
    <cellStyle name="Followed Hyperlink" xfId="10697" builtinId="9" hidden="1"/>
    <cellStyle name="Followed Hyperlink" xfId="10699" builtinId="9" hidden="1"/>
    <cellStyle name="Followed Hyperlink" xfId="10701" builtinId="9" hidden="1"/>
    <cellStyle name="Followed Hyperlink" xfId="10703" builtinId="9" hidden="1"/>
    <cellStyle name="Followed Hyperlink" xfId="10705" builtinId="9" hidden="1"/>
    <cellStyle name="Followed Hyperlink" xfId="10707" builtinId="9" hidden="1"/>
    <cellStyle name="Followed Hyperlink" xfId="10709" builtinId="9" hidden="1"/>
    <cellStyle name="Followed Hyperlink" xfId="10711" builtinId="9" hidden="1"/>
    <cellStyle name="Followed Hyperlink" xfId="10713" builtinId="9" hidden="1"/>
    <cellStyle name="Followed Hyperlink" xfId="10715" builtinId="9" hidden="1"/>
    <cellStyle name="Followed Hyperlink" xfId="10717" builtinId="9" hidden="1"/>
    <cellStyle name="Followed Hyperlink" xfId="10719" builtinId="9" hidden="1"/>
    <cellStyle name="Followed Hyperlink" xfId="10721" builtinId="9" hidden="1"/>
    <cellStyle name="Followed Hyperlink" xfId="10723" builtinId="9" hidden="1"/>
    <cellStyle name="Followed Hyperlink" xfId="10725" builtinId="9" hidden="1"/>
    <cellStyle name="Followed Hyperlink" xfId="10727" builtinId="9" hidden="1"/>
    <cellStyle name="Followed Hyperlink" xfId="10729" builtinId="9" hidden="1"/>
    <cellStyle name="Followed Hyperlink" xfId="10731" builtinId="9" hidden="1"/>
    <cellStyle name="Followed Hyperlink" xfId="10733" builtinId="9" hidden="1"/>
    <cellStyle name="Followed Hyperlink" xfId="10735" builtinId="9" hidden="1"/>
    <cellStyle name="Followed Hyperlink" xfId="10737" builtinId="9" hidden="1"/>
    <cellStyle name="Followed Hyperlink" xfId="10739" builtinId="9" hidden="1"/>
    <cellStyle name="Followed Hyperlink" xfId="10741" builtinId="9" hidden="1"/>
    <cellStyle name="Followed Hyperlink" xfId="10743" builtinId="9" hidden="1"/>
    <cellStyle name="Followed Hyperlink" xfId="10745" builtinId="9" hidden="1"/>
    <cellStyle name="Followed Hyperlink" xfId="10747" builtinId="9" hidden="1"/>
    <cellStyle name="Followed Hyperlink" xfId="10749" builtinId="9" hidden="1"/>
    <cellStyle name="Followed Hyperlink" xfId="10751" builtinId="9" hidden="1"/>
    <cellStyle name="Followed Hyperlink" xfId="10753" builtinId="9" hidden="1"/>
    <cellStyle name="Followed Hyperlink" xfId="10755" builtinId="9" hidden="1"/>
    <cellStyle name="Followed Hyperlink" xfId="10757" builtinId="9" hidden="1"/>
    <cellStyle name="Followed Hyperlink" xfId="10759" builtinId="9" hidden="1"/>
    <cellStyle name="Followed Hyperlink" xfId="10761" builtinId="9" hidden="1"/>
    <cellStyle name="Followed Hyperlink" xfId="10763" builtinId="9" hidden="1"/>
    <cellStyle name="Followed Hyperlink" xfId="10765" builtinId="9" hidden="1"/>
    <cellStyle name="Followed Hyperlink" xfId="10767" builtinId="9" hidden="1"/>
    <cellStyle name="Followed Hyperlink" xfId="10769" builtinId="9" hidden="1"/>
    <cellStyle name="Followed Hyperlink" xfId="10771" builtinId="9" hidden="1"/>
    <cellStyle name="Followed Hyperlink" xfId="10773" builtinId="9" hidden="1"/>
    <cellStyle name="Followed Hyperlink" xfId="10775" builtinId="9" hidden="1"/>
    <cellStyle name="Followed Hyperlink" xfId="10777" builtinId="9" hidden="1"/>
    <cellStyle name="Followed Hyperlink" xfId="10779" builtinId="9" hidden="1"/>
    <cellStyle name="Followed Hyperlink" xfId="10781" builtinId="9" hidden="1"/>
    <cellStyle name="Followed Hyperlink" xfId="10783" builtinId="9" hidden="1"/>
    <cellStyle name="Followed Hyperlink" xfId="10785" builtinId="9" hidden="1"/>
    <cellStyle name="Followed Hyperlink" xfId="10787" builtinId="9" hidden="1"/>
    <cellStyle name="Followed Hyperlink" xfId="10789" builtinId="9" hidden="1"/>
    <cellStyle name="Followed Hyperlink" xfId="10791" builtinId="9" hidden="1"/>
    <cellStyle name="Followed Hyperlink" xfId="10793" builtinId="9" hidden="1"/>
    <cellStyle name="Followed Hyperlink" xfId="10795" builtinId="9" hidden="1"/>
    <cellStyle name="Followed Hyperlink" xfId="10797" builtinId="9" hidden="1"/>
    <cellStyle name="Followed Hyperlink" xfId="10799" builtinId="9" hidden="1"/>
    <cellStyle name="Followed Hyperlink" xfId="10801" builtinId="9" hidden="1"/>
    <cellStyle name="Followed Hyperlink" xfId="10803" builtinId="9" hidden="1"/>
    <cellStyle name="Followed Hyperlink" xfId="10805" builtinId="9" hidden="1"/>
    <cellStyle name="Followed Hyperlink" xfId="10807" builtinId="9" hidden="1"/>
    <cellStyle name="Followed Hyperlink" xfId="10809" builtinId="9" hidden="1"/>
    <cellStyle name="Followed Hyperlink" xfId="10811" builtinId="9" hidden="1"/>
    <cellStyle name="Followed Hyperlink" xfId="10813" builtinId="9" hidden="1"/>
    <cellStyle name="Followed Hyperlink" xfId="10815" builtinId="9" hidden="1"/>
    <cellStyle name="Followed Hyperlink" xfId="10817" builtinId="9" hidden="1"/>
    <cellStyle name="Followed Hyperlink" xfId="10819" builtinId="9" hidden="1"/>
    <cellStyle name="Followed Hyperlink" xfId="10821" builtinId="9" hidden="1"/>
    <cellStyle name="Followed Hyperlink" xfId="10823" builtinId="9" hidden="1"/>
    <cellStyle name="Followed Hyperlink" xfId="10825" builtinId="9" hidden="1"/>
    <cellStyle name="Followed Hyperlink" xfId="10827" builtinId="9" hidden="1"/>
    <cellStyle name="Followed Hyperlink" xfId="10829" builtinId="9" hidden="1"/>
    <cellStyle name="Followed Hyperlink" xfId="10831" builtinId="9" hidden="1"/>
    <cellStyle name="Followed Hyperlink" xfId="10833" builtinId="9" hidden="1"/>
    <cellStyle name="Followed Hyperlink" xfId="10835" builtinId="9" hidden="1"/>
    <cellStyle name="Followed Hyperlink" xfId="10837" builtinId="9" hidden="1"/>
    <cellStyle name="Followed Hyperlink" xfId="10839" builtinId="9" hidden="1"/>
    <cellStyle name="Followed Hyperlink" xfId="10841" builtinId="9" hidden="1"/>
    <cellStyle name="Followed Hyperlink" xfId="10843" builtinId="9" hidden="1"/>
    <cellStyle name="Followed Hyperlink" xfId="10845" builtinId="9" hidden="1"/>
    <cellStyle name="Followed Hyperlink" xfId="10847" builtinId="9" hidden="1"/>
    <cellStyle name="Followed Hyperlink" xfId="10849" builtinId="9" hidden="1"/>
    <cellStyle name="Followed Hyperlink" xfId="10851" builtinId="9" hidden="1"/>
    <cellStyle name="Followed Hyperlink" xfId="10853" builtinId="9" hidden="1"/>
    <cellStyle name="Followed Hyperlink" xfId="10855" builtinId="9" hidden="1"/>
    <cellStyle name="Followed Hyperlink" xfId="10857" builtinId="9" hidden="1"/>
    <cellStyle name="Followed Hyperlink" xfId="10859" builtinId="9" hidden="1"/>
    <cellStyle name="Followed Hyperlink" xfId="10861" builtinId="9" hidden="1"/>
    <cellStyle name="Followed Hyperlink" xfId="10863" builtinId="9" hidden="1"/>
    <cellStyle name="Followed Hyperlink" xfId="10865" builtinId="9" hidden="1"/>
    <cellStyle name="Followed Hyperlink" xfId="10867" builtinId="9" hidden="1"/>
    <cellStyle name="Followed Hyperlink" xfId="10869" builtinId="9" hidden="1"/>
    <cellStyle name="Followed Hyperlink" xfId="10871" builtinId="9" hidden="1"/>
    <cellStyle name="Followed Hyperlink" xfId="10873" builtinId="9" hidden="1"/>
    <cellStyle name="Followed Hyperlink" xfId="10875" builtinId="9" hidden="1"/>
    <cellStyle name="Followed Hyperlink" xfId="10877" builtinId="9" hidden="1"/>
    <cellStyle name="Followed Hyperlink" xfId="10879" builtinId="9" hidden="1"/>
    <cellStyle name="Followed Hyperlink" xfId="10881" builtinId="9" hidden="1"/>
    <cellStyle name="Followed Hyperlink" xfId="10883" builtinId="9" hidden="1"/>
    <cellStyle name="Followed Hyperlink" xfId="10885" builtinId="9" hidden="1"/>
    <cellStyle name="Followed Hyperlink" xfId="10887" builtinId="9" hidden="1"/>
    <cellStyle name="Followed Hyperlink" xfId="10889" builtinId="9" hidden="1"/>
    <cellStyle name="Followed Hyperlink" xfId="10891" builtinId="9" hidden="1"/>
    <cellStyle name="Followed Hyperlink" xfId="10893" builtinId="9" hidden="1"/>
    <cellStyle name="Followed Hyperlink" xfId="10895" builtinId="9" hidden="1"/>
    <cellStyle name="Followed Hyperlink" xfId="10897" builtinId="9" hidden="1"/>
    <cellStyle name="Followed Hyperlink" xfId="10899" builtinId="9" hidden="1"/>
    <cellStyle name="Followed Hyperlink" xfId="10901" builtinId="9" hidden="1"/>
    <cellStyle name="Followed Hyperlink" xfId="10903" builtinId="9" hidden="1"/>
    <cellStyle name="Followed Hyperlink" xfId="10905" builtinId="9" hidden="1"/>
    <cellStyle name="Followed Hyperlink" xfId="10907" builtinId="9" hidden="1"/>
    <cellStyle name="Followed Hyperlink" xfId="10909" builtinId="9" hidden="1"/>
    <cellStyle name="Followed Hyperlink" xfId="10911" builtinId="9" hidden="1"/>
    <cellStyle name="Followed Hyperlink" xfId="10913" builtinId="9" hidden="1"/>
    <cellStyle name="Followed Hyperlink" xfId="10915" builtinId="9" hidden="1"/>
    <cellStyle name="Followed Hyperlink" xfId="10917" builtinId="9" hidden="1"/>
    <cellStyle name="Followed Hyperlink" xfId="10919" builtinId="9" hidden="1"/>
    <cellStyle name="Followed Hyperlink" xfId="10921" builtinId="9" hidden="1"/>
    <cellStyle name="Followed Hyperlink" xfId="10923" builtinId="9" hidden="1"/>
    <cellStyle name="Followed Hyperlink" xfId="10925" builtinId="9" hidden="1"/>
    <cellStyle name="Followed Hyperlink" xfId="10927" builtinId="9" hidden="1"/>
    <cellStyle name="Followed Hyperlink" xfId="10929" builtinId="9" hidden="1"/>
    <cellStyle name="Followed Hyperlink" xfId="10931" builtinId="9" hidden="1"/>
    <cellStyle name="Followed Hyperlink" xfId="10933" builtinId="9" hidden="1"/>
    <cellStyle name="Followed Hyperlink" xfId="10935" builtinId="9" hidden="1"/>
    <cellStyle name="Followed Hyperlink" xfId="10937" builtinId="9" hidden="1"/>
    <cellStyle name="Followed Hyperlink" xfId="10939" builtinId="9" hidden="1"/>
    <cellStyle name="Followed Hyperlink" xfId="10941" builtinId="9" hidden="1"/>
    <cellStyle name="Followed Hyperlink" xfId="10943" builtinId="9" hidden="1"/>
    <cellStyle name="Followed Hyperlink" xfId="10945" builtinId="9" hidden="1"/>
    <cellStyle name="Followed Hyperlink" xfId="10947" builtinId="9" hidden="1"/>
    <cellStyle name="Followed Hyperlink" xfId="10949" builtinId="9" hidden="1"/>
    <cellStyle name="Followed Hyperlink" xfId="10951" builtinId="9" hidden="1"/>
    <cellStyle name="Followed Hyperlink" xfId="10953" builtinId="9" hidden="1"/>
    <cellStyle name="Followed Hyperlink" xfId="10955" builtinId="9" hidden="1"/>
    <cellStyle name="Followed Hyperlink" xfId="10957" builtinId="9" hidden="1"/>
    <cellStyle name="Followed Hyperlink" xfId="10959" builtinId="9" hidden="1"/>
    <cellStyle name="Followed Hyperlink" xfId="10961" builtinId="9" hidden="1"/>
    <cellStyle name="Followed Hyperlink" xfId="10963" builtinId="9" hidden="1"/>
    <cellStyle name="Followed Hyperlink" xfId="10965" builtinId="9" hidden="1"/>
    <cellStyle name="Followed Hyperlink" xfId="10967" builtinId="9" hidden="1"/>
    <cellStyle name="Followed Hyperlink" xfId="10969" builtinId="9" hidden="1"/>
    <cellStyle name="Followed Hyperlink" xfId="10971" builtinId="9" hidden="1"/>
    <cellStyle name="Followed Hyperlink" xfId="10973" builtinId="9" hidden="1"/>
    <cellStyle name="Followed Hyperlink" xfId="10975" builtinId="9" hidden="1"/>
    <cellStyle name="Followed Hyperlink" xfId="10977" builtinId="9" hidden="1"/>
    <cellStyle name="Followed Hyperlink" xfId="10979" builtinId="9" hidden="1"/>
    <cellStyle name="Followed Hyperlink" xfId="10981" builtinId="9" hidden="1"/>
    <cellStyle name="Followed Hyperlink" xfId="10983" builtinId="9" hidden="1"/>
    <cellStyle name="Followed Hyperlink" xfId="10985" builtinId="9" hidden="1"/>
    <cellStyle name="Followed Hyperlink" xfId="10987" builtinId="9" hidden="1"/>
    <cellStyle name="Followed Hyperlink" xfId="10989" builtinId="9" hidden="1"/>
    <cellStyle name="Followed Hyperlink" xfId="10991" builtinId="9" hidden="1"/>
    <cellStyle name="Followed Hyperlink" xfId="10993" builtinId="9" hidden="1"/>
    <cellStyle name="Followed Hyperlink" xfId="10995" builtinId="9" hidden="1"/>
    <cellStyle name="Followed Hyperlink" xfId="10997" builtinId="9" hidden="1"/>
    <cellStyle name="Followed Hyperlink" xfId="10999" builtinId="9" hidden="1"/>
    <cellStyle name="Followed Hyperlink" xfId="11001" builtinId="9" hidden="1"/>
    <cellStyle name="Followed Hyperlink" xfId="11003" builtinId="9" hidden="1"/>
    <cellStyle name="Followed Hyperlink" xfId="11005" builtinId="9" hidden="1"/>
    <cellStyle name="Followed Hyperlink" xfId="11007" builtinId="9" hidden="1"/>
    <cellStyle name="Followed Hyperlink" xfId="11009" builtinId="9" hidden="1"/>
    <cellStyle name="Followed Hyperlink" xfId="11011" builtinId="9" hidden="1"/>
    <cellStyle name="Followed Hyperlink" xfId="11013" builtinId="9" hidden="1"/>
    <cellStyle name="Followed Hyperlink" xfId="11015" builtinId="9" hidden="1"/>
    <cellStyle name="Followed Hyperlink" xfId="11017" builtinId="9" hidden="1"/>
    <cellStyle name="Followed Hyperlink" xfId="11019" builtinId="9" hidden="1"/>
    <cellStyle name="Followed Hyperlink" xfId="11021" builtinId="9" hidden="1"/>
    <cellStyle name="Followed Hyperlink" xfId="11023" builtinId="9" hidden="1"/>
    <cellStyle name="Followed Hyperlink" xfId="11025" builtinId="9" hidden="1"/>
    <cellStyle name="Followed Hyperlink" xfId="11027" builtinId="9" hidden="1"/>
    <cellStyle name="Followed Hyperlink" xfId="11029" builtinId="9" hidden="1"/>
    <cellStyle name="Followed Hyperlink" xfId="11031" builtinId="9" hidden="1"/>
    <cellStyle name="Followed Hyperlink" xfId="11033" builtinId="9" hidden="1"/>
    <cellStyle name="Followed Hyperlink" xfId="11035" builtinId="9" hidden="1"/>
    <cellStyle name="Followed Hyperlink" xfId="11037" builtinId="9" hidden="1"/>
    <cellStyle name="Followed Hyperlink" xfId="11039" builtinId="9" hidden="1"/>
    <cellStyle name="Followed Hyperlink" xfId="11041" builtinId="9" hidden="1"/>
    <cellStyle name="Followed Hyperlink" xfId="11043" builtinId="9" hidden="1"/>
    <cellStyle name="Followed Hyperlink" xfId="11045" builtinId="9" hidden="1"/>
    <cellStyle name="Followed Hyperlink" xfId="11047" builtinId="9" hidden="1"/>
    <cellStyle name="Followed Hyperlink" xfId="11049" builtinId="9" hidden="1"/>
    <cellStyle name="Followed Hyperlink" xfId="11051" builtinId="9" hidden="1"/>
    <cellStyle name="Followed Hyperlink" xfId="11053" builtinId="9" hidden="1"/>
    <cellStyle name="Followed Hyperlink" xfId="11055" builtinId="9" hidden="1"/>
    <cellStyle name="Followed Hyperlink" xfId="11057" builtinId="9" hidden="1"/>
    <cellStyle name="Followed Hyperlink" xfId="11059" builtinId="9" hidden="1"/>
    <cellStyle name="Followed Hyperlink" xfId="11061" builtinId="9" hidden="1"/>
    <cellStyle name="Followed Hyperlink" xfId="11063" builtinId="9" hidden="1"/>
    <cellStyle name="Followed Hyperlink" xfId="11065" builtinId="9" hidden="1"/>
    <cellStyle name="Followed Hyperlink" xfId="11067" builtinId="9" hidden="1"/>
    <cellStyle name="Followed Hyperlink" xfId="11069" builtinId="9" hidden="1"/>
    <cellStyle name="Followed Hyperlink" xfId="11071" builtinId="9" hidden="1"/>
    <cellStyle name="Followed Hyperlink" xfId="11073" builtinId="9" hidden="1"/>
    <cellStyle name="Followed Hyperlink" xfId="11075" builtinId="9" hidden="1"/>
    <cellStyle name="Followed Hyperlink" xfId="11077" builtinId="9" hidden="1"/>
    <cellStyle name="Followed Hyperlink" xfId="11079" builtinId="9" hidden="1"/>
    <cellStyle name="Followed Hyperlink" xfId="11081" builtinId="9" hidden="1"/>
    <cellStyle name="Followed Hyperlink" xfId="11083" builtinId="9" hidden="1"/>
    <cellStyle name="Followed Hyperlink" xfId="11085" builtinId="9" hidden="1"/>
    <cellStyle name="Followed Hyperlink" xfId="11087" builtinId="9" hidden="1"/>
    <cellStyle name="Followed Hyperlink" xfId="11089" builtinId="9" hidden="1"/>
    <cellStyle name="Followed Hyperlink" xfId="11091" builtinId="9" hidden="1"/>
    <cellStyle name="Followed Hyperlink" xfId="11093" builtinId="9" hidden="1"/>
    <cellStyle name="Followed Hyperlink" xfId="11095" builtinId="9" hidden="1"/>
    <cellStyle name="Followed Hyperlink" xfId="11097" builtinId="9" hidden="1"/>
    <cellStyle name="Followed Hyperlink" xfId="11099" builtinId="9" hidden="1"/>
    <cellStyle name="Followed Hyperlink" xfId="11101" builtinId="9" hidden="1"/>
    <cellStyle name="Followed Hyperlink" xfId="11103" builtinId="9" hidden="1"/>
    <cellStyle name="Followed Hyperlink" xfId="11105" builtinId="9" hidden="1"/>
    <cellStyle name="Followed Hyperlink" xfId="11107" builtinId="9" hidden="1"/>
    <cellStyle name="Followed Hyperlink" xfId="11109" builtinId="9" hidden="1"/>
    <cellStyle name="Followed Hyperlink" xfId="11111" builtinId="9" hidden="1"/>
    <cellStyle name="Followed Hyperlink" xfId="11113" builtinId="9" hidden="1"/>
    <cellStyle name="Followed Hyperlink" xfId="11115" builtinId="9" hidden="1"/>
    <cellStyle name="Followed Hyperlink" xfId="11117" builtinId="9" hidden="1"/>
    <cellStyle name="Followed Hyperlink" xfId="11119" builtinId="9" hidden="1"/>
    <cellStyle name="Followed Hyperlink" xfId="11121" builtinId="9" hidden="1"/>
    <cellStyle name="Followed Hyperlink" xfId="11123" builtinId="9" hidden="1"/>
    <cellStyle name="Followed Hyperlink" xfId="11125" builtinId="9" hidden="1"/>
    <cellStyle name="Followed Hyperlink" xfId="11127" builtinId="9" hidden="1"/>
    <cellStyle name="Followed Hyperlink" xfId="11129" builtinId="9" hidden="1"/>
    <cellStyle name="Followed Hyperlink" xfId="11131" builtinId="9" hidden="1"/>
    <cellStyle name="Followed Hyperlink" xfId="11133" builtinId="9" hidden="1"/>
    <cellStyle name="Followed Hyperlink" xfId="11135" builtinId="9" hidden="1"/>
    <cellStyle name="Followed Hyperlink" xfId="11137" builtinId="9" hidden="1"/>
    <cellStyle name="Followed Hyperlink" xfId="11139" builtinId="9" hidden="1"/>
    <cellStyle name="Followed Hyperlink" xfId="11141" builtinId="9" hidden="1"/>
    <cellStyle name="Followed Hyperlink" xfId="11143" builtinId="9" hidden="1"/>
    <cellStyle name="Followed Hyperlink" xfId="11145" builtinId="9" hidden="1"/>
    <cellStyle name="Followed Hyperlink" xfId="11147" builtinId="9" hidden="1"/>
    <cellStyle name="Followed Hyperlink" xfId="11149" builtinId="9" hidden="1"/>
    <cellStyle name="Followed Hyperlink" xfId="11151" builtinId="9" hidden="1"/>
    <cellStyle name="Followed Hyperlink" xfId="11153" builtinId="9" hidden="1"/>
    <cellStyle name="Followed Hyperlink" xfId="11155" builtinId="9" hidden="1"/>
    <cellStyle name="Followed Hyperlink" xfId="11157" builtinId="9" hidden="1"/>
    <cellStyle name="Followed Hyperlink" xfId="11159" builtinId="9" hidden="1"/>
    <cellStyle name="Followed Hyperlink" xfId="11161" builtinId="9" hidden="1"/>
    <cellStyle name="Followed Hyperlink" xfId="11163" builtinId="9" hidden="1"/>
    <cellStyle name="Followed Hyperlink" xfId="11165" builtinId="9" hidden="1"/>
    <cellStyle name="Followed Hyperlink" xfId="11167" builtinId="9" hidden="1"/>
    <cellStyle name="Followed Hyperlink" xfId="11169" builtinId="9" hidden="1"/>
    <cellStyle name="Followed Hyperlink" xfId="11171" builtinId="9" hidden="1"/>
    <cellStyle name="Followed Hyperlink" xfId="11173" builtinId="9" hidden="1"/>
    <cellStyle name="Followed Hyperlink" xfId="11175" builtinId="9" hidden="1"/>
    <cellStyle name="Followed Hyperlink" xfId="11177" builtinId="9" hidden="1"/>
    <cellStyle name="Followed Hyperlink" xfId="11179" builtinId="9" hidden="1"/>
    <cellStyle name="Followed Hyperlink" xfId="11181" builtinId="9" hidden="1"/>
    <cellStyle name="Followed Hyperlink" xfId="11183" builtinId="9" hidden="1"/>
    <cellStyle name="Followed Hyperlink" xfId="11185" builtinId="9" hidden="1"/>
    <cellStyle name="Followed Hyperlink" xfId="11187" builtinId="9" hidden="1"/>
    <cellStyle name="Followed Hyperlink" xfId="11189" builtinId="9" hidden="1"/>
    <cellStyle name="Followed Hyperlink" xfId="11191" builtinId="9" hidden="1"/>
    <cellStyle name="Followed Hyperlink" xfId="11193" builtinId="9" hidden="1"/>
    <cellStyle name="Followed Hyperlink" xfId="11195" builtinId="9" hidden="1"/>
    <cellStyle name="Followed Hyperlink" xfId="11197" builtinId="9" hidden="1"/>
    <cellStyle name="Followed Hyperlink" xfId="11199" builtinId="9" hidden="1"/>
    <cellStyle name="Followed Hyperlink" xfId="11201" builtinId="9" hidden="1"/>
    <cellStyle name="Followed Hyperlink" xfId="11203" builtinId="9" hidden="1"/>
    <cellStyle name="Followed Hyperlink" xfId="11205" builtinId="9" hidden="1"/>
    <cellStyle name="Followed Hyperlink" xfId="11207" builtinId="9" hidden="1"/>
    <cellStyle name="Followed Hyperlink" xfId="11209" builtinId="9" hidden="1"/>
    <cellStyle name="Followed Hyperlink" xfId="11211" builtinId="9" hidden="1"/>
    <cellStyle name="Followed Hyperlink" xfId="11213" builtinId="9" hidden="1"/>
    <cellStyle name="Followed Hyperlink" xfId="11215" builtinId="9" hidden="1"/>
    <cellStyle name="Followed Hyperlink" xfId="11217" builtinId="9" hidden="1"/>
    <cellStyle name="Followed Hyperlink" xfId="11219" builtinId="9" hidden="1"/>
    <cellStyle name="Followed Hyperlink" xfId="11221" builtinId="9" hidden="1"/>
    <cellStyle name="Followed Hyperlink" xfId="11223" builtinId="9" hidden="1"/>
    <cellStyle name="Followed Hyperlink" xfId="11225" builtinId="9" hidden="1"/>
    <cellStyle name="Followed Hyperlink" xfId="11227" builtinId="9" hidden="1"/>
    <cellStyle name="Followed Hyperlink" xfId="11229" builtinId="9" hidden="1"/>
    <cellStyle name="Followed Hyperlink" xfId="11231" builtinId="9" hidden="1"/>
    <cellStyle name="Followed Hyperlink" xfId="11233" builtinId="9" hidden="1"/>
    <cellStyle name="Followed Hyperlink" xfId="11235" builtinId="9" hidden="1"/>
    <cellStyle name="Followed Hyperlink" xfId="11237" builtinId="9" hidden="1"/>
    <cellStyle name="Followed Hyperlink" xfId="11239" builtinId="9" hidden="1"/>
    <cellStyle name="Followed Hyperlink" xfId="11241" builtinId="9" hidden="1"/>
    <cellStyle name="Followed Hyperlink" xfId="11243" builtinId="9" hidden="1"/>
    <cellStyle name="Followed Hyperlink" xfId="11245" builtinId="9" hidden="1"/>
    <cellStyle name="Followed Hyperlink" xfId="11247" builtinId="9" hidden="1"/>
    <cellStyle name="Followed Hyperlink" xfId="11249" builtinId="9" hidden="1"/>
    <cellStyle name="Followed Hyperlink" xfId="11251" builtinId="9" hidden="1"/>
    <cellStyle name="Followed Hyperlink" xfId="11253" builtinId="9" hidden="1"/>
    <cellStyle name="Followed Hyperlink" xfId="11255" builtinId="9" hidden="1"/>
    <cellStyle name="Followed Hyperlink" xfId="11257" builtinId="9" hidden="1"/>
    <cellStyle name="Followed Hyperlink" xfId="11259" builtinId="9" hidden="1"/>
    <cellStyle name="Followed Hyperlink" xfId="11261" builtinId="9" hidden="1"/>
    <cellStyle name="Followed Hyperlink" xfId="11263" builtinId="9" hidden="1"/>
    <cellStyle name="Followed Hyperlink" xfId="11265" builtinId="9" hidden="1"/>
    <cellStyle name="Followed Hyperlink" xfId="11267" builtinId="9" hidden="1"/>
    <cellStyle name="Followed Hyperlink" xfId="11269" builtinId="9" hidden="1"/>
    <cellStyle name="Followed Hyperlink" xfId="11271" builtinId="9" hidden="1"/>
    <cellStyle name="Followed Hyperlink" xfId="11273" builtinId="9" hidden="1"/>
    <cellStyle name="Followed Hyperlink" xfId="11275" builtinId="9" hidden="1"/>
    <cellStyle name="Followed Hyperlink" xfId="11277" builtinId="9" hidden="1"/>
    <cellStyle name="Followed Hyperlink" xfId="11279" builtinId="9" hidden="1"/>
    <cellStyle name="Followed Hyperlink" xfId="11281" builtinId="9" hidden="1"/>
    <cellStyle name="Followed Hyperlink" xfId="11283" builtinId="9" hidden="1"/>
    <cellStyle name="Followed Hyperlink" xfId="11285" builtinId="9" hidden="1"/>
    <cellStyle name="Followed Hyperlink" xfId="11287" builtinId="9" hidden="1"/>
    <cellStyle name="Followed Hyperlink" xfId="11289" builtinId="9" hidden="1"/>
    <cellStyle name="Followed Hyperlink" xfId="11291" builtinId="9" hidden="1"/>
    <cellStyle name="Followed Hyperlink" xfId="11293" builtinId="9" hidden="1"/>
    <cellStyle name="Followed Hyperlink" xfId="11295" builtinId="9" hidden="1"/>
    <cellStyle name="Followed Hyperlink" xfId="11297" builtinId="9" hidden="1"/>
    <cellStyle name="Followed Hyperlink" xfId="11299" builtinId="9" hidden="1"/>
    <cellStyle name="Followed Hyperlink" xfId="11301" builtinId="9" hidden="1"/>
    <cellStyle name="Followed Hyperlink" xfId="11303" builtinId="9" hidden="1"/>
    <cellStyle name="Followed Hyperlink" xfId="11305" builtinId="9" hidden="1"/>
    <cellStyle name="Followed Hyperlink" xfId="11307" builtinId="9" hidden="1"/>
    <cellStyle name="Followed Hyperlink" xfId="11309" builtinId="9" hidden="1"/>
    <cellStyle name="Followed Hyperlink" xfId="11311" builtinId="9" hidden="1"/>
    <cellStyle name="Followed Hyperlink" xfId="11313" builtinId="9" hidden="1"/>
    <cellStyle name="Followed Hyperlink" xfId="11315" builtinId="9" hidden="1"/>
    <cellStyle name="Followed Hyperlink" xfId="11317" builtinId="9" hidden="1"/>
    <cellStyle name="Followed Hyperlink" xfId="11319" builtinId="9" hidden="1"/>
    <cellStyle name="Followed Hyperlink" xfId="11321" builtinId="9" hidden="1"/>
    <cellStyle name="Followed Hyperlink" xfId="11323" builtinId="9" hidden="1"/>
    <cellStyle name="Followed Hyperlink" xfId="11325" builtinId="9" hidden="1"/>
    <cellStyle name="Followed Hyperlink" xfId="11327" builtinId="9" hidden="1"/>
    <cellStyle name="Followed Hyperlink" xfId="11329" builtinId="9" hidden="1"/>
    <cellStyle name="Followed Hyperlink" xfId="11331" builtinId="9" hidden="1"/>
    <cellStyle name="Followed Hyperlink" xfId="11333" builtinId="9" hidden="1"/>
    <cellStyle name="Followed Hyperlink" xfId="11335" builtinId="9" hidden="1"/>
    <cellStyle name="Followed Hyperlink" xfId="11337" builtinId="9" hidden="1"/>
    <cellStyle name="Followed Hyperlink" xfId="11339" builtinId="9" hidden="1"/>
    <cellStyle name="Followed Hyperlink" xfId="11341" builtinId="9" hidden="1"/>
    <cellStyle name="Followed Hyperlink" xfId="11343" builtinId="9" hidden="1"/>
    <cellStyle name="Followed Hyperlink" xfId="11345" builtinId="9" hidden="1"/>
    <cellStyle name="Followed Hyperlink" xfId="11347" builtinId="9" hidden="1"/>
    <cellStyle name="Followed Hyperlink" xfId="11349" builtinId="9" hidden="1"/>
    <cellStyle name="Followed Hyperlink" xfId="11351" builtinId="9" hidden="1"/>
    <cellStyle name="Followed Hyperlink" xfId="11353" builtinId="9" hidden="1"/>
    <cellStyle name="Followed Hyperlink" xfId="11355" builtinId="9" hidden="1"/>
    <cellStyle name="Followed Hyperlink" xfId="11357" builtinId="9" hidden="1"/>
    <cellStyle name="Followed Hyperlink" xfId="11359" builtinId="9" hidden="1"/>
    <cellStyle name="Followed Hyperlink" xfId="11361" builtinId="9" hidden="1"/>
    <cellStyle name="Followed Hyperlink" xfId="11363" builtinId="9" hidden="1"/>
    <cellStyle name="Followed Hyperlink" xfId="11365" builtinId="9" hidden="1"/>
    <cellStyle name="Followed Hyperlink" xfId="11367" builtinId="9" hidden="1"/>
    <cellStyle name="Followed Hyperlink" xfId="11369" builtinId="9" hidden="1"/>
    <cellStyle name="Followed Hyperlink" xfId="11371" builtinId="9" hidden="1"/>
    <cellStyle name="Followed Hyperlink" xfId="11373" builtinId="9" hidden="1"/>
    <cellStyle name="Followed Hyperlink" xfId="11375" builtinId="9" hidden="1"/>
    <cellStyle name="Followed Hyperlink" xfId="11377" builtinId="9" hidden="1"/>
    <cellStyle name="Followed Hyperlink" xfId="11379" builtinId="9" hidden="1"/>
    <cellStyle name="Followed Hyperlink" xfId="11381" builtinId="9" hidden="1"/>
    <cellStyle name="Followed Hyperlink" xfId="11383" builtinId="9" hidden="1"/>
    <cellStyle name="Followed Hyperlink" xfId="11385" builtinId="9" hidden="1"/>
    <cellStyle name="Followed Hyperlink" xfId="11387" builtinId="9" hidden="1"/>
    <cellStyle name="Followed Hyperlink" xfId="11389" builtinId="9" hidden="1"/>
    <cellStyle name="Followed Hyperlink" xfId="11391" builtinId="9" hidden="1"/>
    <cellStyle name="Followed Hyperlink" xfId="11393" builtinId="9" hidden="1"/>
    <cellStyle name="Followed Hyperlink" xfId="11395" builtinId="9" hidden="1"/>
    <cellStyle name="Followed Hyperlink" xfId="11397" builtinId="9" hidden="1"/>
    <cellStyle name="Followed Hyperlink" xfId="11399" builtinId="9" hidden="1"/>
    <cellStyle name="Followed Hyperlink" xfId="11401" builtinId="9" hidden="1"/>
    <cellStyle name="Followed Hyperlink" xfId="11403" builtinId="9" hidden="1"/>
    <cellStyle name="Followed Hyperlink" xfId="11405" builtinId="9" hidden="1"/>
    <cellStyle name="Followed Hyperlink" xfId="11407" builtinId="9" hidden="1"/>
    <cellStyle name="Followed Hyperlink" xfId="11409" builtinId="9" hidden="1"/>
    <cellStyle name="Followed Hyperlink" xfId="11411" builtinId="9" hidden="1"/>
    <cellStyle name="Followed Hyperlink" xfId="11413" builtinId="9" hidden="1"/>
    <cellStyle name="Followed Hyperlink" xfId="11415" builtinId="9" hidden="1"/>
    <cellStyle name="Followed Hyperlink" xfId="11417" builtinId="9" hidden="1"/>
    <cellStyle name="Followed Hyperlink" xfId="11419" builtinId="9" hidden="1"/>
    <cellStyle name="Followed Hyperlink" xfId="11421" builtinId="9" hidden="1"/>
    <cellStyle name="Followed Hyperlink" xfId="11423" builtinId="9" hidden="1"/>
    <cellStyle name="Followed Hyperlink" xfId="11425" builtinId="9" hidden="1"/>
    <cellStyle name="Followed Hyperlink" xfId="11427" builtinId="9" hidden="1"/>
    <cellStyle name="Followed Hyperlink" xfId="11429" builtinId="9" hidden="1"/>
    <cellStyle name="Followed Hyperlink" xfId="11431" builtinId="9" hidden="1"/>
    <cellStyle name="Followed Hyperlink" xfId="11433" builtinId="9" hidden="1"/>
    <cellStyle name="Followed Hyperlink" xfId="11435" builtinId="9" hidden="1"/>
    <cellStyle name="Followed Hyperlink" xfId="11437" builtinId="9" hidden="1"/>
    <cellStyle name="Followed Hyperlink" xfId="11439" builtinId="9" hidden="1"/>
    <cellStyle name="Followed Hyperlink" xfId="11441" builtinId="9" hidden="1"/>
    <cellStyle name="Followed Hyperlink" xfId="11443" builtinId="9" hidden="1"/>
    <cellStyle name="Followed Hyperlink" xfId="11445" builtinId="9" hidden="1"/>
    <cellStyle name="Followed Hyperlink" xfId="11447" builtinId="9" hidden="1"/>
    <cellStyle name="Followed Hyperlink" xfId="11449" builtinId="9" hidden="1"/>
    <cellStyle name="Followed Hyperlink" xfId="11451" builtinId="9" hidden="1"/>
    <cellStyle name="Followed Hyperlink" xfId="11453" builtinId="9" hidden="1"/>
    <cellStyle name="Followed Hyperlink" xfId="11455" builtinId="9" hidden="1"/>
    <cellStyle name="Followed Hyperlink" xfId="11457" builtinId="9" hidden="1"/>
    <cellStyle name="Followed Hyperlink" xfId="11459" builtinId="9" hidden="1"/>
    <cellStyle name="Followed Hyperlink" xfId="11461" builtinId="9" hidden="1"/>
    <cellStyle name="Followed Hyperlink" xfId="11463" builtinId="9" hidden="1"/>
    <cellStyle name="Followed Hyperlink" xfId="11465" builtinId="9" hidden="1"/>
    <cellStyle name="Followed Hyperlink" xfId="11467" builtinId="9" hidden="1"/>
    <cellStyle name="Followed Hyperlink" xfId="11469" builtinId="9" hidden="1"/>
    <cellStyle name="Followed Hyperlink" xfId="11471" builtinId="9" hidden="1"/>
    <cellStyle name="Followed Hyperlink" xfId="11473" builtinId="9" hidden="1"/>
    <cellStyle name="Followed Hyperlink" xfId="11475" builtinId="9" hidden="1"/>
    <cellStyle name="Followed Hyperlink" xfId="11477" builtinId="9" hidden="1"/>
    <cellStyle name="Followed Hyperlink" xfId="11479" builtinId="9" hidden="1"/>
    <cellStyle name="Followed Hyperlink" xfId="11481" builtinId="9" hidden="1"/>
    <cellStyle name="Followed Hyperlink" xfId="11483" builtinId="9" hidden="1"/>
    <cellStyle name="Followed Hyperlink" xfId="11485" builtinId="9" hidden="1"/>
    <cellStyle name="Followed Hyperlink" xfId="11487" builtinId="9" hidden="1"/>
    <cellStyle name="Followed Hyperlink" xfId="11489" builtinId="9" hidden="1"/>
    <cellStyle name="Followed Hyperlink" xfId="11491" builtinId="9" hidden="1"/>
    <cellStyle name="Followed Hyperlink" xfId="11493" builtinId="9" hidden="1"/>
    <cellStyle name="Followed Hyperlink" xfId="11495" builtinId="9" hidden="1"/>
    <cellStyle name="Followed Hyperlink" xfId="11497" builtinId="9" hidden="1"/>
    <cellStyle name="Followed Hyperlink" xfId="11499" builtinId="9" hidden="1"/>
    <cellStyle name="Followed Hyperlink" xfId="11501" builtinId="9" hidden="1"/>
    <cellStyle name="Followed Hyperlink" xfId="11503" builtinId="9" hidden="1"/>
    <cellStyle name="Followed Hyperlink" xfId="11505" builtinId="9" hidden="1"/>
    <cellStyle name="Followed Hyperlink" xfId="11507" builtinId="9" hidden="1"/>
    <cellStyle name="Followed Hyperlink" xfId="11509" builtinId="9" hidden="1"/>
    <cellStyle name="Followed Hyperlink" xfId="11511" builtinId="9" hidden="1"/>
    <cellStyle name="Followed Hyperlink" xfId="11513" builtinId="9" hidden="1"/>
    <cellStyle name="Followed Hyperlink" xfId="11515" builtinId="9" hidden="1"/>
    <cellStyle name="Followed Hyperlink" xfId="11517" builtinId="9" hidden="1"/>
    <cellStyle name="Followed Hyperlink" xfId="11519" builtinId="9" hidden="1"/>
    <cellStyle name="Followed Hyperlink" xfId="11521" builtinId="9" hidden="1"/>
    <cellStyle name="Followed Hyperlink" xfId="11523" builtinId="9" hidden="1"/>
    <cellStyle name="Followed Hyperlink" xfId="11525" builtinId="9" hidden="1"/>
    <cellStyle name="Followed Hyperlink" xfId="11527" builtinId="9" hidden="1"/>
    <cellStyle name="Followed Hyperlink" xfId="11529" builtinId="9" hidden="1"/>
    <cellStyle name="Followed Hyperlink" xfId="11531" builtinId="9" hidden="1"/>
    <cellStyle name="Followed Hyperlink" xfId="11533" builtinId="9" hidden="1"/>
    <cellStyle name="Followed Hyperlink" xfId="11535" builtinId="9" hidden="1"/>
    <cellStyle name="Followed Hyperlink" xfId="11537" builtinId="9" hidden="1"/>
    <cellStyle name="Followed Hyperlink" xfId="11539" builtinId="9" hidden="1"/>
    <cellStyle name="Followed Hyperlink" xfId="11541" builtinId="9" hidden="1"/>
    <cellStyle name="Followed Hyperlink" xfId="11543" builtinId="9" hidden="1"/>
    <cellStyle name="Followed Hyperlink" xfId="11545" builtinId="9" hidden="1"/>
    <cellStyle name="Followed Hyperlink" xfId="11547" builtinId="9" hidden="1"/>
    <cellStyle name="Followed Hyperlink" xfId="11549" builtinId="9" hidden="1"/>
    <cellStyle name="Followed Hyperlink" xfId="11551" builtinId="9" hidden="1"/>
    <cellStyle name="Followed Hyperlink" xfId="11553" builtinId="9" hidden="1"/>
    <cellStyle name="Followed Hyperlink" xfId="11555" builtinId="9" hidden="1"/>
    <cellStyle name="Followed Hyperlink" xfId="11557" builtinId="9" hidden="1"/>
    <cellStyle name="Followed Hyperlink" xfId="11559" builtinId="9" hidden="1"/>
    <cellStyle name="Followed Hyperlink" xfId="11561" builtinId="9" hidden="1"/>
    <cellStyle name="Followed Hyperlink" xfId="11563" builtinId="9" hidden="1"/>
    <cellStyle name="Followed Hyperlink" xfId="11565" builtinId="9" hidden="1"/>
    <cellStyle name="Followed Hyperlink" xfId="11567" builtinId="9" hidden="1"/>
    <cellStyle name="Followed Hyperlink" xfId="11569" builtinId="9" hidden="1"/>
    <cellStyle name="Followed Hyperlink" xfId="11571" builtinId="9" hidden="1"/>
    <cellStyle name="Followed Hyperlink" xfId="11573" builtinId="9" hidden="1"/>
    <cellStyle name="Followed Hyperlink" xfId="11575" builtinId="9" hidden="1"/>
    <cellStyle name="Followed Hyperlink" xfId="11577" builtinId="9" hidden="1"/>
    <cellStyle name="Followed Hyperlink" xfId="11579" builtinId="9" hidden="1"/>
    <cellStyle name="Followed Hyperlink" xfId="11581" builtinId="9" hidden="1"/>
    <cellStyle name="Followed Hyperlink" xfId="11583" builtinId="9" hidden="1"/>
    <cellStyle name="Followed Hyperlink" xfId="11585" builtinId="9" hidden="1"/>
    <cellStyle name="Followed Hyperlink" xfId="11587" builtinId="9" hidden="1"/>
    <cellStyle name="Followed Hyperlink" xfId="11589" builtinId="9" hidden="1"/>
    <cellStyle name="Followed Hyperlink" xfId="11591" builtinId="9" hidden="1"/>
    <cellStyle name="Followed Hyperlink" xfId="11593" builtinId="9" hidden="1"/>
    <cellStyle name="Followed Hyperlink" xfId="11595" builtinId="9" hidden="1"/>
    <cellStyle name="Followed Hyperlink" xfId="11597" builtinId="9" hidden="1"/>
    <cellStyle name="Followed Hyperlink" xfId="11599" builtinId="9" hidden="1"/>
    <cellStyle name="Followed Hyperlink" xfId="11601" builtinId="9" hidden="1"/>
    <cellStyle name="Followed Hyperlink" xfId="11603" builtinId="9" hidden="1"/>
    <cellStyle name="Followed Hyperlink" xfId="11605" builtinId="9" hidden="1"/>
    <cellStyle name="Followed Hyperlink" xfId="11607" builtinId="9" hidden="1"/>
    <cellStyle name="Followed Hyperlink" xfId="11609" builtinId="9" hidden="1"/>
    <cellStyle name="Followed Hyperlink" xfId="11611" builtinId="9" hidden="1"/>
    <cellStyle name="Followed Hyperlink" xfId="11613" builtinId="9" hidden="1"/>
    <cellStyle name="Followed Hyperlink" xfId="11615" builtinId="9" hidden="1"/>
    <cellStyle name="Followed Hyperlink" xfId="11617" builtinId="9" hidden="1"/>
    <cellStyle name="Followed Hyperlink" xfId="11619" builtinId="9" hidden="1"/>
    <cellStyle name="Followed Hyperlink" xfId="11621" builtinId="9" hidden="1"/>
    <cellStyle name="Followed Hyperlink" xfId="11623" builtinId="9" hidden="1"/>
    <cellStyle name="Followed Hyperlink" xfId="11625" builtinId="9" hidden="1"/>
    <cellStyle name="Followed Hyperlink" xfId="11627" builtinId="9" hidden="1"/>
    <cellStyle name="Followed Hyperlink" xfId="11629" builtinId="9" hidden="1"/>
    <cellStyle name="Followed Hyperlink" xfId="11631" builtinId="9" hidden="1"/>
    <cellStyle name="Followed Hyperlink" xfId="11633" builtinId="9" hidden="1"/>
    <cellStyle name="Followed Hyperlink" xfId="11635" builtinId="9" hidden="1"/>
    <cellStyle name="Followed Hyperlink" xfId="11637" builtinId="9" hidden="1"/>
    <cellStyle name="Followed Hyperlink" xfId="11639" builtinId="9" hidden="1"/>
    <cellStyle name="Followed Hyperlink" xfId="11641" builtinId="9" hidden="1"/>
    <cellStyle name="Followed Hyperlink" xfId="11643" builtinId="9" hidden="1"/>
    <cellStyle name="Followed Hyperlink" xfId="11645" builtinId="9" hidden="1"/>
    <cellStyle name="Followed Hyperlink" xfId="11647" builtinId="9" hidden="1"/>
    <cellStyle name="Followed Hyperlink" xfId="11649" builtinId="9" hidden="1"/>
    <cellStyle name="Followed Hyperlink" xfId="11651" builtinId="9" hidden="1"/>
    <cellStyle name="Followed Hyperlink" xfId="11653" builtinId="9" hidden="1"/>
    <cellStyle name="Followed Hyperlink" xfId="11655" builtinId="9" hidden="1"/>
    <cellStyle name="Followed Hyperlink" xfId="11657" builtinId="9" hidden="1"/>
    <cellStyle name="Followed Hyperlink" xfId="11659" builtinId="9" hidden="1"/>
    <cellStyle name="Followed Hyperlink" xfId="11661" builtinId="9" hidden="1"/>
    <cellStyle name="Followed Hyperlink" xfId="11663" builtinId="9" hidden="1"/>
    <cellStyle name="Followed Hyperlink" xfId="11665" builtinId="9" hidden="1"/>
    <cellStyle name="Followed Hyperlink" xfId="11667" builtinId="9" hidden="1"/>
    <cellStyle name="Followed Hyperlink" xfId="11669" builtinId="9" hidden="1"/>
    <cellStyle name="Followed Hyperlink" xfId="11671" builtinId="9" hidden="1"/>
    <cellStyle name="Followed Hyperlink" xfId="11673" builtinId="9" hidden="1"/>
    <cellStyle name="Followed Hyperlink" xfId="11675" builtinId="9" hidden="1"/>
    <cellStyle name="Followed Hyperlink" xfId="11677" builtinId="9" hidden="1"/>
    <cellStyle name="Followed Hyperlink" xfId="11679" builtinId="9" hidden="1"/>
    <cellStyle name="Followed Hyperlink" xfId="11681" builtinId="9" hidden="1"/>
    <cellStyle name="Followed Hyperlink" xfId="11683" builtinId="9" hidden="1"/>
    <cellStyle name="Followed Hyperlink" xfId="11685" builtinId="9" hidden="1"/>
    <cellStyle name="Followed Hyperlink" xfId="11687" builtinId="9" hidden="1"/>
    <cellStyle name="Followed Hyperlink" xfId="11689" builtinId="9" hidden="1"/>
    <cellStyle name="Followed Hyperlink" xfId="11691" builtinId="9" hidden="1"/>
    <cellStyle name="Followed Hyperlink" xfId="11693" builtinId="9" hidden="1"/>
    <cellStyle name="Followed Hyperlink" xfId="11695" builtinId="9" hidden="1"/>
    <cellStyle name="Followed Hyperlink" xfId="11697" builtinId="9" hidden="1"/>
    <cellStyle name="Followed Hyperlink" xfId="11699" builtinId="9" hidden="1"/>
    <cellStyle name="Followed Hyperlink" xfId="11701" builtinId="9" hidden="1"/>
    <cellStyle name="Followed Hyperlink" xfId="11703" builtinId="9" hidden="1"/>
    <cellStyle name="Followed Hyperlink" xfId="11705" builtinId="9" hidden="1"/>
    <cellStyle name="Followed Hyperlink" xfId="11707" builtinId="9" hidden="1"/>
    <cellStyle name="Followed Hyperlink" xfId="11709" builtinId="9" hidden="1"/>
    <cellStyle name="Followed Hyperlink" xfId="11711" builtinId="9" hidden="1"/>
    <cellStyle name="Followed Hyperlink" xfId="11713" builtinId="9" hidden="1"/>
    <cellStyle name="Followed Hyperlink" xfId="11715" builtinId="9" hidden="1"/>
    <cellStyle name="Followed Hyperlink" xfId="11717" builtinId="9" hidden="1"/>
    <cellStyle name="Followed Hyperlink" xfId="11719" builtinId="9" hidden="1"/>
    <cellStyle name="Followed Hyperlink" xfId="11721" builtinId="9" hidden="1"/>
    <cellStyle name="Followed Hyperlink" xfId="11723" builtinId="9" hidden="1"/>
    <cellStyle name="Followed Hyperlink" xfId="11725" builtinId="9" hidden="1"/>
    <cellStyle name="Followed Hyperlink" xfId="11727" builtinId="9" hidden="1"/>
    <cellStyle name="Followed Hyperlink" xfId="11729" builtinId="9" hidden="1"/>
    <cellStyle name="Followed Hyperlink" xfId="11731" builtinId="9" hidden="1"/>
    <cellStyle name="Followed Hyperlink" xfId="11733" builtinId="9" hidden="1"/>
    <cellStyle name="Followed Hyperlink" xfId="11735" builtinId="9" hidden="1"/>
    <cellStyle name="Followed Hyperlink" xfId="11737" builtinId="9" hidden="1"/>
    <cellStyle name="Followed Hyperlink" xfId="11739" builtinId="9" hidden="1"/>
    <cellStyle name="Followed Hyperlink" xfId="11741" builtinId="9" hidden="1"/>
    <cellStyle name="Followed Hyperlink" xfId="11743" builtinId="9" hidden="1"/>
    <cellStyle name="Followed Hyperlink" xfId="11745" builtinId="9" hidden="1"/>
    <cellStyle name="Followed Hyperlink" xfId="11747" builtinId="9" hidden="1"/>
    <cellStyle name="Followed Hyperlink" xfId="11749" builtinId="9" hidden="1"/>
    <cellStyle name="Followed Hyperlink" xfId="11751" builtinId="9" hidden="1"/>
    <cellStyle name="Followed Hyperlink" xfId="11753" builtinId="9" hidden="1"/>
    <cellStyle name="Followed Hyperlink" xfId="11755" builtinId="9" hidden="1"/>
    <cellStyle name="Followed Hyperlink" xfId="11757" builtinId="9" hidden="1"/>
    <cellStyle name="Followed Hyperlink" xfId="11759" builtinId="9" hidden="1"/>
    <cellStyle name="Followed Hyperlink" xfId="11761" builtinId="9" hidden="1"/>
    <cellStyle name="Followed Hyperlink" xfId="11763" builtinId="9" hidden="1"/>
    <cellStyle name="Followed Hyperlink" xfId="11765" builtinId="9" hidden="1"/>
    <cellStyle name="Followed Hyperlink" xfId="11767" builtinId="9" hidden="1"/>
    <cellStyle name="Followed Hyperlink" xfId="11769" builtinId="9" hidden="1"/>
    <cellStyle name="Followed Hyperlink" xfId="11771" builtinId="9" hidden="1"/>
    <cellStyle name="Followed Hyperlink" xfId="11773" builtinId="9" hidden="1"/>
    <cellStyle name="Followed Hyperlink" xfId="11775" builtinId="9" hidden="1"/>
    <cellStyle name="Followed Hyperlink" xfId="11777" builtinId="9" hidden="1"/>
    <cellStyle name="Followed Hyperlink" xfId="11779" builtinId="9" hidden="1"/>
    <cellStyle name="Followed Hyperlink" xfId="11781" builtinId="9" hidden="1"/>
    <cellStyle name="Followed Hyperlink" xfId="11783" builtinId="9" hidden="1"/>
    <cellStyle name="Followed Hyperlink" xfId="11785" builtinId="9" hidden="1"/>
    <cellStyle name="Followed Hyperlink" xfId="11787" builtinId="9" hidden="1"/>
    <cellStyle name="Followed Hyperlink" xfId="11789" builtinId="9" hidden="1"/>
    <cellStyle name="Followed Hyperlink" xfId="11791" builtinId="9" hidden="1"/>
    <cellStyle name="Followed Hyperlink" xfId="11793" builtinId="9" hidden="1"/>
    <cellStyle name="Followed Hyperlink" xfId="11795" builtinId="9" hidden="1"/>
    <cellStyle name="Followed Hyperlink" xfId="11797" builtinId="9" hidden="1"/>
    <cellStyle name="Followed Hyperlink" xfId="11799" builtinId="9" hidden="1"/>
    <cellStyle name="Followed Hyperlink" xfId="11801" builtinId="9" hidden="1"/>
    <cellStyle name="Followed Hyperlink" xfId="11803" builtinId="9" hidden="1"/>
    <cellStyle name="Followed Hyperlink" xfId="11805" builtinId="9" hidden="1"/>
    <cellStyle name="Followed Hyperlink" xfId="11807" builtinId="9" hidden="1"/>
    <cellStyle name="Followed Hyperlink" xfId="11809" builtinId="9" hidden="1"/>
    <cellStyle name="Followed Hyperlink" xfId="11811" builtinId="9" hidden="1"/>
    <cellStyle name="Followed Hyperlink" xfId="11813" builtinId="9" hidden="1"/>
    <cellStyle name="Followed Hyperlink" xfId="11815" builtinId="9" hidden="1"/>
    <cellStyle name="Followed Hyperlink" xfId="11817" builtinId="9" hidden="1"/>
    <cellStyle name="Followed Hyperlink" xfId="11819" builtinId="9" hidden="1"/>
    <cellStyle name="Followed Hyperlink" xfId="11821" builtinId="9" hidden="1"/>
    <cellStyle name="Followed Hyperlink" xfId="11823" builtinId="9" hidden="1"/>
    <cellStyle name="Followed Hyperlink" xfId="11825" builtinId="9" hidden="1"/>
    <cellStyle name="Followed Hyperlink" xfId="11827" builtinId="9" hidden="1"/>
    <cellStyle name="Followed Hyperlink" xfId="11829" builtinId="9" hidden="1"/>
    <cellStyle name="Followed Hyperlink" xfId="11831" builtinId="9" hidden="1"/>
    <cellStyle name="Followed Hyperlink" xfId="11833" builtinId="9" hidden="1"/>
    <cellStyle name="Followed Hyperlink" xfId="11835" builtinId="9" hidden="1"/>
    <cellStyle name="Followed Hyperlink" xfId="11837" builtinId="9" hidden="1"/>
    <cellStyle name="Followed Hyperlink" xfId="11839" builtinId="9" hidden="1"/>
    <cellStyle name="Followed Hyperlink" xfId="11841" builtinId="9" hidden="1"/>
    <cellStyle name="Followed Hyperlink" xfId="11843" builtinId="9" hidden="1"/>
    <cellStyle name="Followed Hyperlink" xfId="11845" builtinId="9" hidden="1"/>
    <cellStyle name="Followed Hyperlink" xfId="11847" builtinId="9" hidden="1"/>
    <cellStyle name="Followed Hyperlink" xfId="11849" builtinId="9" hidden="1"/>
    <cellStyle name="Followed Hyperlink" xfId="11851" builtinId="9" hidden="1"/>
    <cellStyle name="Followed Hyperlink" xfId="11853" builtinId="9" hidden="1"/>
    <cellStyle name="Followed Hyperlink" xfId="11855" builtinId="9" hidden="1"/>
    <cellStyle name="Followed Hyperlink" xfId="11857" builtinId="9" hidden="1"/>
    <cellStyle name="Followed Hyperlink" xfId="11859" builtinId="9" hidden="1"/>
    <cellStyle name="Followed Hyperlink" xfId="11861" builtinId="9" hidden="1"/>
    <cellStyle name="Followed Hyperlink" xfId="11863" builtinId="9" hidden="1"/>
    <cellStyle name="Followed Hyperlink" xfId="11865" builtinId="9" hidden="1"/>
    <cellStyle name="Followed Hyperlink" xfId="11867" builtinId="9" hidden="1"/>
    <cellStyle name="Followed Hyperlink" xfId="11869" builtinId="9" hidden="1"/>
    <cellStyle name="Followed Hyperlink" xfId="11871" builtinId="9" hidden="1"/>
    <cellStyle name="Followed Hyperlink" xfId="11873" builtinId="9" hidden="1"/>
    <cellStyle name="Followed Hyperlink" xfId="11875" builtinId="9" hidden="1"/>
    <cellStyle name="Followed Hyperlink" xfId="11877" builtinId="9" hidden="1"/>
    <cellStyle name="Followed Hyperlink" xfId="11879" builtinId="9" hidden="1"/>
    <cellStyle name="Followed Hyperlink" xfId="11881" builtinId="9" hidden="1"/>
    <cellStyle name="Followed Hyperlink" xfId="11883" builtinId="9" hidden="1"/>
    <cellStyle name="Followed Hyperlink" xfId="11885" builtinId="9" hidden="1"/>
    <cellStyle name="Followed Hyperlink" xfId="11887" builtinId="9" hidden="1"/>
    <cellStyle name="Followed Hyperlink" xfId="11889" builtinId="9" hidden="1"/>
    <cellStyle name="Followed Hyperlink" xfId="11891" builtinId="9" hidden="1"/>
    <cellStyle name="Followed Hyperlink" xfId="11893" builtinId="9" hidden="1"/>
    <cellStyle name="Followed Hyperlink" xfId="11895" builtinId="9" hidden="1"/>
    <cellStyle name="Followed Hyperlink" xfId="11897" builtinId="9" hidden="1"/>
    <cellStyle name="Followed Hyperlink" xfId="11899" builtinId="9" hidden="1"/>
    <cellStyle name="Followed Hyperlink" xfId="11901" builtinId="9" hidden="1"/>
    <cellStyle name="Followed Hyperlink" xfId="11903" builtinId="9" hidden="1"/>
    <cellStyle name="Followed Hyperlink" xfId="11905" builtinId="9" hidden="1"/>
    <cellStyle name="Followed Hyperlink" xfId="11907" builtinId="9" hidden="1"/>
    <cellStyle name="Followed Hyperlink" xfId="11909" builtinId="9" hidden="1"/>
    <cellStyle name="Followed Hyperlink" xfId="11911" builtinId="9" hidden="1"/>
    <cellStyle name="Followed Hyperlink" xfId="11913" builtinId="9" hidden="1"/>
    <cellStyle name="Followed Hyperlink" xfId="11915" builtinId="9" hidden="1"/>
    <cellStyle name="Followed Hyperlink" xfId="11917" builtinId="9" hidden="1"/>
    <cellStyle name="Followed Hyperlink" xfId="11919" builtinId="9" hidden="1"/>
    <cellStyle name="Followed Hyperlink" xfId="11921" builtinId="9" hidden="1"/>
    <cellStyle name="Followed Hyperlink" xfId="11923" builtinId="9" hidden="1"/>
    <cellStyle name="Followed Hyperlink" xfId="11925" builtinId="9" hidden="1"/>
    <cellStyle name="Followed Hyperlink" xfId="11927" builtinId="9" hidden="1"/>
    <cellStyle name="Followed Hyperlink" xfId="11929" builtinId="9" hidden="1"/>
    <cellStyle name="Followed Hyperlink" xfId="11931" builtinId="9" hidden="1"/>
    <cellStyle name="Followed Hyperlink" xfId="11933" builtinId="9" hidden="1"/>
    <cellStyle name="Followed Hyperlink" xfId="11935" builtinId="9" hidden="1"/>
    <cellStyle name="Followed Hyperlink" xfId="11937" builtinId="9" hidden="1"/>
    <cellStyle name="Followed Hyperlink" xfId="11939" builtinId="9" hidden="1"/>
    <cellStyle name="Followed Hyperlink" xfId="11941" builtinId="9" hidden="1"/>
    <cellStyle name="Followed Hyperlink" xfId="11943" builtinId="9" hidden="1"/>
    <cellStyle name="Followed Hyperlink" xfId="11945" builtinId="9" hidden="1"/>
    <cellStyle name="Followed Hyperlink" xfId="11947" builtinId="9" hidden="1"/>
    <cellStyle name="Followed Hyperlink" xfId="11949" builtinId="9" hidden="1"/>
    <cellStyle name="Followed Hyperlink" xfId="11951" builtinId="9" hidden="1"/>
    <cellStyle name="Followed Hyperlink" xfId="11953" builtinId="9" hidden="1"/>
    <cellStyle name="Followed Hyperlink" xfId="11955" builtinId="9" hidden="1"/>
    <cellStyle name="Followed Hyperlink" xfId="11957" builtinId="9" hidden="1"/>
    <cellStyle name="Followed Hyperlink" xfId="11959" builtinId="9" hidden="1"/>
    <cellStyle name="Followed Hyperlink" xfId="11961" builtinId="9" hidden="1"/>
    <cellStyle name="Followed Hyperlink" xfId="11963" builtinId="9" hidden="1"/>
    <cellStyle name="Followed Hyperlink" xfId="11965" builtinId="9" hidden="1"/>
    <cellStyle name="Followed Hyperlink" xfId="11967" builtinId="9" hidden="1"/>
    <cellStyle name="Followed Hyperlink" xfId="11969" builtinId="9" hidden="1"/>
    <cellStyle name="Followed Hyperlink" xfId="11971" builtinId="9" hidden="1"/>
    <cellStyle name="Followed Hyperlink" xfId="11973" builtinId="9" hidden="1"/>
    <cellStyle name="Followed Hyperlink" xfId="11975" builtinId="9" hidden="1"/>
    <cellStyle name="Followed Hyperlink" xfId="11977" builtinId="9" hidden="1"/>
    <cellStyle name="Followed Hyperlink" xfId="11979" builtinId="9" hidden="1"/>
    <cellStyle name="Followed Hyperlink" xfId="11981" builtinId="9" hidden="1"/>
    <cellStyle name="Followed Hyperlink" xfId="11983" builtinId="9" hidden="1"/>
    <cellStyle name="Followed Hyperlink" xfId="11985" builtinId="9" hidden="1"/>
    <cellStyle name="Followed Hyperlink" xfId="11987" builtinId="9" hidden="1"/>
    <cellStyle name="Followed Hyperlink" xfId="11989" builtinId="9" hidden="1"/>
    <cellStyle name="Followed Hyperlink" xfId="11991" builtinId="9" hidden="1"/>
    <cellStyle name="Followed Hyperlink" xfId="11993" builtinId="9" hidden="1"/>
    <cellStyle name="Followed Hyperlink" xfId="11995" builtinId="9" hidden="1"/>
    <cellStyle name="Followed Hyperlink" xfId="11997" builtinId="9" hidden="1"/>
    <cellStyle name="Followed Hyperlink" xfId="11999" builtinId="9" hidden="1"/>
    <cellStyle name="Followed Hyperlink" xfId="12001" builtinId="9" hidden="1"/>
    <cellStyle name="Followed Hyperlink" xfId="12003" builtinId="9" hidden="1"/>
    <cellStyle name="Followed Hyperlink" xfId="12005" builtinId="9" hidden="1"/>
    <cellStyle name="Followed Hyperlink" xfId="12007" builtinId="9" hidden="1"/>
    <cellStyle name="Followed Hyperlink" xfId="12009" builtinId="9" hidden="1"/>
    <cellStyle name="Followed Hyperlink" xfId="12011" builtinId="9" hidden="1"/>
    <cellStyle name="Followed Hyperlink" xfId="12013" builtinId="9" hidden="1"/>
    <cellStyle name="Followed Hyperlink" xfId="12015" builtinId="9" hidden="1"/>
    <cellStyle name="Followed Hyperlink" xfId="12017" builtinId="9" hidden="1"/>
    <cellStyle name="Followed Hyperlink" xfId="12019" builtinId="9" hidden="1"/>
    <cellStyle name="Followed Hyperlink" xfId="12021" builtinId="9" hidden="1"/>
    <cellStyle name="Followed Hyperlink" xfId="12023" builtinId="9" hidden="1"/>
    <cellStyle name="Followed Hyperlink" xfId="1202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Hyperlink" xfId="3966" builtinId="8" hidden="1"/>
    <cellStyle name="Hyperlink" xfId="3968" builtinId="8" hidden="1"/>
    <cellStyle name="Hyperlink" xfId="3970" builtinId="8" hidden="1"/>
    <cellStyle name="Hyperlink" xfId="3972" builtinId="8" hidden="1"/>
    <cellStyle name="Hyperlink" xfId="3974" builtinId="8" hidden="1"/>
    <cellStyle name="Hyperlink" xfId="3976" builtinId="8" hidden="1"/>
    <cellStyle name="Hyperlink" xfId="3978" builtinId="8" hidden="1"/>
    <cellStyle name="Hyperlink" xfId="3980" builtinId="8" hidden="1"/>
    <cellStyle name="Hyperlink" xfId="3982" builtinId="8" hidden="1"/>
    <cellStyle name="Hyperlink" xfId="3984" builtinId="8" hidden="1"/>
    <cellStyle name="Hyperlink" xfId="3986" builtinId="8" hidden="1"/>
    <cellStyle name="Hyperlink" xfId="3988" builtinId="8" hidden="1"/>
    <cellStyle name="Hyperlink" xfId="3990" builtinId="8" hidden="1"/>
    <cellStyle name="Hyperlink" xfId="3992" builtinId="8" hidden="1"/>
    <cellStyle name="Hyperlink" xfId="3994" builtinId="8" hidden="1"/>
    <cellStyle name="Hyperlink" xfId="3996" builtinId="8" hidden="1"/>
    <cellStyle name="Hyperlink" xfId="3998" builtinId="8" hidden="1"/>
    <cellStyle name="Hyperlink" xfId="4000" builtinId="8" hidden="1"/>
    <cellStyle name="Hyperlink" xfId="4002" builtinId="8" hidden="1"/>
    <cellStyle name="Hyperlink" xfId="4004" builtinId="8" hidden="1"/>
    <cellStyle name="Hyperlink" xfId="4006" builtinId="8" hidden="1"/>
    <cellStyle name="Hyperlink" xfId="4008" builtinId="8" hidden="1"/>
    <cellStyle name="Hyperlink" xfId="4010" builtinId="8" hidden="1"/>
    <cellStyle name="Hyperlink" xfId="4012" builtinId="8" hidden="1"/>
    <cellStyle name="Hyperlink" xfId="4014" builtinId="8" hidden="1"/>
    <cellStyle name="Hyperlink" xfId="4016" builtinId="8" hidden="1"/>
    <cellStyle name="Hyperlink" xfId="4018" builtinId="8" hidden="1"/>
    <cellStyle name="Hyperlink" xfId="4020" builtinId="8" hidden="1"/>
    <cellStyle name="Hyperlink" xfId="4022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36" builtinId="8" hidden="1"/>
    <cellStyle name="Hyperlink" xfId="4038" builtinId="8" hidden="1"/>
    <cellStyle name="Hyperlink" xfId="4040" builtinId="8" hidden="1"/>
    <cellStyle name="Hyperlink" xfId="4042" builtinId="8" hidden="1"/>
    <cellStyle name="Hyperlink" xfId="4044" builtinId="8" hidden="1"/>
    <cellStyle name="Hyperlink" xfId="4046" builtinId="8" hidden="1"/>
    <cellStyle name="Hyperlink" xfId="4048" builtinId="8" hidden="1"/>
    <cellStyle name="Hyperlink" xfId="4050" builtinId="8" hidden="1"/>
    <cellStyle name="Hyperlink" xfId="4052" builtinId="8" hidden="1"/>
    <cellStyle name="Hyperlink" xfId="4054" builtinId="8" hidden="1"/>
    <cellStyle name="Hyperlink" xfId="4056" builtinId="8" hidden="1"/>
    <cellStyle name="Hyperlink" xfId="4058" builtinId="8" hidden="1"/>
    <cellStyle name="Hyperlink" xfId="4060" builtinId="8" hidden="1"/>
    <cellStyle name="Hyperlink" xfId="4062" builtinId="8" hidden="1"/>
    <cellStyle name="Hyperlink" xfId="4064" builtinId="8" hidden="1"/>
    <cellStyle name="Hyperlink" xfId="4066" builtinId="8" hidden="1"/>
    <cellStyle name="Hyperlink" xfId="4068" builtinId="8" hidden="1"/>
    <cellStyle name="Hyperlink" xfId="4070" builtinId="8" hidden="1"/>
    <cellStyle name="Hyperlink" xfId="4072" builtinId="8" hidden="1"/>
    <cellStyle name="Hyperlink" xfId="4074" builtinId="8" hidden="1"/>
    <cellStyle name="Hyperlink" xfId="4076" builtinId="8" hidden="1"/>
    <cellStyle name="Hyperlink" xfId="4078" builtinId="8" hidden="1"/>
    <cellStyle name="Hyperlink" xfId="4080" builtinId="8" hidden="1"/>
    <cellStyle name="Hyperlink" xfId="4082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4188" builtinId="8" hidden="1"/>
    <cellStyle name="Hyperlink" xfId="4190" builtinId="8" hidden="1"/>
    <cellStyle name="Hyperlink" xfId="4192" builtinId="8" hidden="1"/>
    <cellStyle name="Hyperlink" xfId="4194" builtinId="8" hidden="1"/>
    <cellStyle name="Hyperlink" xfId="4196" builtinId="8" hidden="1"/>
    <cellStyle name="Hyperlink" xfId="4198" builtinId="8" hidden="1"/>
    <cellStyle name="Hyperlink" xfId="4200" builtinId="8" hidden="1"/>
    <cellStyle name="Hyperlink" xfId="4202" builtinId="8" hidden="1"/>
    <cellStyle name="Hyperlink" xfId="4204" builtinId="8" hidden="1"/>
    <cellStyle name="Hyperlink" xfId="4206" builtinId="8" hidden="1"/>
    <cellStyle name="Hyperlink" xfId="4208" builtinId="8" hidden="1"/>
    <cellStyle name="Hyperlink" xfId="4210" builtinId="8" hidden="1"/>
    <cellStyle name="Hyperlink" xfId="4212" builtinId="8" hidden="1"/>
    <cellStyle name="Hyperlink" xfId="4214" builtinId="8" hidden="1"/>
    <cellStyle name="Hyperlink" xfId="4216" builtinId="8" hidden="1"/>
    <cellStyle name="Hyperlink" xfId="4218" builtinId="8" hidden="1"/>
    <cellStyle name="Hyperlink" xfId="4220" builtinId="8" hidden="1"/>
    <cellStyle name="Hyperlink" xfId="4222" builtinId="8" hidden="1"/>
    <cellStyle name="Hyperlink" xfId="4224" builtinId="8" hidden="1"/>
    <cellStyle name="Hyperlink" xfId="4226" builtinId="8" hidden="1"/>
    <cellStyle name="Hyperlink" xfId="4228" builtinId="8" hidden="1"/>
    <cellStyle name="Hyperlink" xfId="4230" builtinId="8" hidden="1"/>
    <cellStyle name="Hyperlink" xfId="4232" builtinId="8" hidden="1"/>
    <cellStyle name="Hyperlink" xfId="4234" builtinId="8" hidden="1"/>
    <cellStyle name="Hyperlink" xfId="4236" builtinId="8" hidden="1"/>
    <cellStyle name="Hyperlink" xfId="4238" builtinId="8" hidden="1"/>
    <cellStyle name="Hyperlink" xfId="4240" builtinId="8" hidden="1"/>
    <cellStyle name="Hyperlink" xfId="4242" builtinId="8" hidden="1"/>
    <cellStyle name="Hyperlink" xfId="4244" builtinId="8" hidden="1"/>
    <cellStyle name="Hyperlink" xfId="4246" builtinId="8" hidden="1"/>
    <cellStyle name="Hyperlink" xfId="4248" builtinId="8" hidden="1"/>
    <cellStyle name="Hyperlink" xfId="4250" builtinId="8" hidden="1"/>
    <cellStyle name="Hyperlink" xfId="4252" builtinId="8" hidden="1"/>
    <cellStyle name="Hyperlink" xfId="4254" builtinId="8" hidden="1"/>
    <cellStyle name="Hyperlink" xfId="4256" builtinId="8" hidden="1"/>
    <cellStyle name="Hyperlink" xfId="4258" builtinId="8" hidden="1"/>
    <cellStyle name="Hyperlink" xfId="4260" builtinId="8" hidden="1"/>
    <cellStyle name="Hyperlink" xfId="4262" builtinId="8" hidden="1"/>
    <cellStyle name="Hyperlink" xfId="4264" builtinId="8" hidden="1"/>
    <cellStyle name="Hyperlink" xfId="4266" builtinId="8" hidden="1"/>
    <cellStyle name="Hyperlink" xfId="4268" builtinId="8" hidden="1"/>
    <cellStyle name="Hyperlink" xfId="4270" builtinId="8" hidden="1"/>
    <cellStyle name="Hyperlink" xfId="4272" builtinId="8" hidden="1"/>
    <cellStyle name="Hyperlink" xfId="4274" builtinId="8" hidden="1"/>
    <cellStyle name="Hyperlink" xfId="4276" builtinId="8" hidden="1"/>
    <cellStyle name="Hyperlink" xfId="4278" builtinId="8" hidden="1"/>
    <cellStyle name="Hyperlink" xfId="4280" builtinId="8" hidden="1"/>
    <cellStyle name="Hyperlink" xfId="4282" builtinId="8" hidden="1"/>
    <cellStyle name="Hyperlink" xfId="4284" builtinId="8" hidden="1"/>
    <cellStyle name="Hyperlink" xfId="4286" builtinId="8" hidden="1"/>
    <cellStyle name="Hyperlink" xfId="4288" builtinId="8" hidden="1"/>
    <cellStyle name="Hyperlink" xfId="4290" builtinId="8" hidden="1"/>
    <cellStyle name="Hyperlink" xfId="4292" builtinId="8" hidden="1"/>
    <cellStyle name="Hyperlink" xfId="4294" builtinId="8" hidden="1"/>
    <cellStyle name="Hyperlink" xfId="4296" builtinId="8" hidden="1"/>
    <cellStyle name="Hyperlink" xfId="4298" builtinId="8" hidden="1"/>
    <cellStyle name="Hyperlink" xfId="4300" builtinId="8" hidden="1"/>
    <cellStyle name="Hyperlink" xfId="4302" builtinId="8" hidden="1"/>
    <cellStyle name="Hyperlink" xfId="4304" builtinId="8" hidden="1"/>
    <cellStyle name="Hyperlink" xfId="4306" builtinId="8" hidden="1"/>
    <cellStyle name="Hyperlink" xfId="4308" builtinId="8" hidden="1"/>
    <cellStyle name="Hyperlink" xfId="4310" builtinId="8" hidden="1"/>
    <cellStyle name="Hyperlink" xfId="4312" builtinId="8" hidden="1"/>
    <cellStyle name="Hyperlink" xfId="4314" builtinId="8" hidden="1"/>
    <cellStyle name="Hyperlink" xfId="4316" builtinId="8" hidden="1"/>
    <cellStyle name="Hyperlink" xfId="4318" builtinId="8" hidden="1"/>
    <cellStyle name="Hyperlink" xfId="4320" builtinId="8" hidden="1"/>
    <cellStyle name="Hyperlink" xfId="4322" builtinId="8" hidden="1"/>
    <cellStyle name="Hyperlink" xfId="4324" builtinId="8" hidden="1"/>
    <cellStyle name="Hyperlink" xfId="4326" builtinId="8" hidden="1"/>
    <cellStyle name="Hyperlink" xfId="4328" builtinId="8" hidden="1"/>
    <cellStyle name="Hyperlink" xfId="4330" builtinId="8" hidden="1"/>
    <cellStyle name="Hyperlink" xfId="4332" builtinId="8" hidden="1"/>
    <cellStyle name="Hyperlink" xfId="4334" builtinId="8" hidden="1"/>
    <cellStyle name="Hyperlink" xfId="4336" builtinId="8" hidden="1"/>
    <cellStyle name="Hyperlink" xfId="4338" builtinId="8" hidden="1"/>
    <cellStyle name="Hyperlink" xfId="4340" builtinId="8" hidden="1"/>
    <cellStyle name="Hyperlink" xfId="4342" builtinId="8" hidden="1"/>
    <cellStyle name="Hyperlink" xfId="4344" builtinId="8" hidden="1"/>
    <cellStyle name="Hyperlink" xfId="4346" builtinId="8" hidden="1"/>
    <cellStyle name="Hyperlink" xfId="4348" builtinId="8" hidden="1"/>
    <cellStyle name="Hyperlink" xfId="4350" builtinId="8" hidden="1"/>
    <cellStyle name="Hyperlink" xfId="435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Hyperlink" xfId="4364" builtinId="8" hidden="1"/>
    <cellStyle name="Hyperlink" xfId="4366" builtinId="8" hidden="1"/>
    <cellStyle name="Hyperlink" xfId="4368" builtinId="8" hidden="1"/>
    <cellStyle name="Hyperlink" xfId="4370" builtinId="8" hidden="1"/>
    <cellStyle name="Hyperlink" xfId="4372" builtinId="8" hidden="1"/>
    <cellStyle name="Hyperlink" xfId="4374" builtinId="8" hidden="1"/>
    <cellStyle name="Hyperlink" xfId="4376" builtinId="8" hidden="1"/>
    <cellStyle name="Hyperlink" xfId="4378" builtinId="8" hidden="1"/>
    <cellStyle name="Hyperlink" xfId="4380" builtinId="8" hidden="1"/>
    <cellStyle name="Hyperlink" xfId="4382" builtinId="8" hidden="1"/>
    <cellStyle name="Hyperlink" xfId="4384" builtinId="8" hidden="1"/>
    <cellStyle name="Hyperlink" xfId="4386" builtinId="8" hidden="1"/>
    <cellStyle name="Hyperlink" xfId="4388" builtinId="8" hidden="1"/>
    <cellStyle name="Hyperlink" xfId="4390" builtinId="8" hidden="1"/>
    <cellStyle name="Hyperlink" xfId="4392" builtinId="8" hidden="1"/>
    <cellStyle name="Hyperlink" xfId="4394" builtinId="8" hidden="1"/>
    <cellStyle name="Hyperlink" xfId="4396" builtinId="8" hidden="1"/>
    <cellStyle name="Hyperlink" xfId="4398" builtinId="8" hidden="1"/>
    <cellStyle name="Hyperlink" xfId="4400" builtinId="8" hidden="1"/>
    <cellStyle name="Hyperlink" xfId="4402" builtinId="8" hidden="1"/>
    <cellStyle name="Hyperlink" xfId="4404" builtinId="8" hidden="1"/>
    <cellStyle name="Hyperlink" xfId="4406" builtinId="8" hidden="1"/>
    <cellStyle name="Hyperlink" xfId="4408" builtinId="8" hidden="1"/>
    <cellStyle name="Hyperlink" xfId="4410" builtinId="8" hidden="1"/>
    <cellStyle name="Hyperlink" xfId="4412" builtinId="8" hidden="1"/>
    <cellStyle name="Hyperlink" xfId="4414" builtinId="8" hidden="1"/>
    <cellStyle name="Hyperlink" xfId="4416" builtinId="8" hidden="1"/>
    <cellStyle name="Hyperlink" xfId="4418" builtinId="8" hidden="1"/>
    <cellStyle name="Hyperlink" xfId="4420" builtinId="8" hidden="1"/>
    <cellStyle name="Hyperlink" xfId="4422" builtinId="8" hidden="1"/>
    <cellStyle name="Hyperlink" xfId="4424" builtinId="8" hidden="1"/>
    <cellStyle name="Hyperlink" xfId="4426" builtinId="8" hidden="1"/>
    <cellStyle name="Hyperlink" xfId="4428" builtinId="8" hidden="1"/>
    <cellStyle name="Hyperlink" xfId="4430" builtinId="8" hidden="1"/>
    <cellStyle name="Hyperlink" xfId="4432" builtinId="8" hidden="1"/>
    <cellStyle name="Hyperlink" xfId="4434" builtinId="8" hidden="1"/>
    <cellStyle name="Hyperlink" xfId="4436" builtinId="8" hidden="1"/>
    <cellStyle name="Hyperlink" xfId="4438" builtinId="8" hidden="1"/>
    <cellStyle name="Hyperlink" xfId="4440" builtinId="8" hidden="1"/>
    <cellStyle name="Hyperlink" xfId="4442" builtinId="8" hidden="1"/>
    <cellStyle name="Hyperlink" xfId="4444" builtinId="8" hidden="1"/>
    <cellStyle name="Hyperlink" xfId="4446" builtinId="8" hidden="1"/>
    <cellStyle name="Hyperlink" xfId="4448" builtinId="8" hidden="1"/>
    <cellStyle name="Hyperlink" xfId="4450" builtinId="8" hidden="1"/>
    <cellStyle name="Hyperlink" xfId="4452" builtinId="8" hidden="1"/>
    <cellStyle name="Hyperlink" xfId="4454" builtinId="8" hidden="1"/>
    <cellStyle name="Hyperlink" xfId="4456" builtinId="8" hidden="1"/>
    <cellStyle name="Hyperlink" xfId="4458" builtinId="8" hidden="1"/>
    <cellStyle name="Hyperlink" xfId="4460" builtinId="8" hidden="1"/>
    <cellStyle name="Hyperlink" xfId="4462" builtinId="8" hidden="1"/>
    <cellStyle name="Hyperlink" xfId="4464" builtinId="8" hidden="1"/>
    <cellStyle name="Hyperlink" xfId="4466" builtinId="8" hidden="1"/>
    <cellStyle name="Hyperlink" xfId="4468" builtinId="8" hidden="1"/>
    <cellStyle name="Hyperlink" xfId="4470" builtinId="8" hidden="1"/>
    <cellStyle name="Hyperlink" xfId="4472" builtinId="8" hidden="1"/>
    <cellStyle name="Hyperlink" xfId="4474" builtinId="8" hidden="1"/>
    <cellStyle name="Hyperlink" xfId="4476" builtinId="8" hidden="1"/>
    <cellStyle name="Hyperlink" xfId="4478" builtinId="8" hidden="1"/>
    <cellStyle name="Hyperlink" xfId="4480" builtinId="8" hidden="1"/>
    <cellStyle name="Hyperlink" xfId="4482" builtinId="8" hidden="1"/>
    <cellStyle name="Hyperlink" xfId="4484" builtinId="8" hidden="1"/>
    <cellStyle name="Hyperlink" xfId="4486" builtinId="8" hidden="1"/>
    <cellStyle name="Hyperlink" xfId="4488" builtinId="8" hidden="1"/>
    <cellStyle name="Hyperlink" xfId="4490" builtinId="8" hidden="1"/>
    <cellStyle name="Hyperlink" xfId="4492" builtinId="8" hidden="1"/>
    <cellStyle name="Hyperlink" xfId="4494" builtinId="8" hidden="1"/>
    <cellStyle name="Hyperlink" xfId="4496" builtinId="8" hidden="1"/>
    <cellStyle name="Hyperlink" xfId="4498" builtinId="8" hidden="1"/>
    <cellStyle name="Hyperlink" xfId="4500" builtinId="8" hidden="1"/>
    <cellStyle name="Hyperlink" xfId="4502" builtinId="8" hidden="1"/>
    <cellStyle name="Hyperlink" xfId="4504" builtinId="8" hidden="1"/>
    <cellStyle name="Hyperlink" xfId="4506" builtinId="8" hidden="1"/>
    <cellStyle name="Hyperlink" xfId="4508" builtinId="8" hidden="1"/>
    <cellStyle name="Hyperlink" xfId="4510" builtinId="8" hidden="1"/>
    <cellStyle name="Hyperlink" xfId="4512" builtinId="8" hidden="1"/>
    <cellStyle name="Hyperlink" xfId="4514" builtinId="8" hidden="1"/>
    <cellStyle name="Hyperlink" xfId="4516" builtinId="8" hidden="1"/>
    <cellStyle name="Hyperlink" xfId="4518" builtinId="8" hidden="1"/>
    <cellStyle name="Hyperlink" xfId="4520" builtinId="8" hidden="1"/>
    <cellStyle name="Hyperlink" xfId="4522" builtinId="8" hidden="1"/>
    <cellStyle name="Hyperlink" xfId="4524" builtinId="8" hidden="1"/>
    <cellStyle name="Hyperlink" xfId="4526" builtinId="8" hidden="1"/>
    <cellStyle name="Hyperlink" xfId="4528" builtinId="8" hidden="1"/>
    <cellStyle name="Hyperlink" xfId="4530" builtinId="8" hidden="1"/>
    <cellStyle name="Hyperlink" xfId="4532" builtinId="8" hidden="1"/>
    <cellStyle name="Hyperlink" xfId="4534" builtinId="8" hidden="1"/>
    <cellStyle name="Hyperlink" xfId="4536" builtinId="8" hidden="1"/>
    <cellStyle name="Hyperlink" xfId="4538" builtinId="8" hidden="1"/>
    <cellStyle name="Hyperlink" xfId="4540" builtinId="8" hidden="1"/>
    <cellStyle name="Hyperlink" xfId="4542" builtinId="8" hidden="1"/>
    <cellStyle name="Hyperlink" xfId="4544" builtinId="8" hidden="1"/>
    <cellStyle name="Hyperlink" xfId="4546" builtinId="8" hidden="1"/>
    <cellStyle name="Hyperlink" xfId="4548" builtinId="8" hidden="1"/>
    <cellStyle name="Hyperlink" xfId="4550" builtinId="8" hidden="1"/>
    <cellStyle name="Hyperlink" xfId="4552" builtinId="8" hidden="1"/>
    <cellStyle name="Hyperlink" xfId="4554" builtinId="8" hidden="1"/>
    <cellStyle name="Hyperlink" xfId="4556" builtinId="8" hidden="1"/>
    <cellStyle name="Hyperlink" xfId="4558" builtinId="8" hidden="1"/>
    <cellStyle name="Hyperlink" xfId="4560" builtinId="8" hidden="1"/>
    <cellStyle name="Hyperlink" xfId="4562" builtinId="8" hidden="1"/>
    <cellStyle name="Hyperlink" xfId="4564" builtinId="8" hidden="1"/>
    <cellStyle name="Hyperlink" xfId="4566" builtinId="8" hidden="1"/>
    <cellStyle name="Hyperlink" xfId="4568" builtinId="8" hidden="1"/>
    <cellStyle name="Hyperlink" xfId="4570" builtinId="8" hidden="1"/>
    <cellStyle name="Hyperlink" xfId="4572" builtinId="8" hidden="1"/>
    <cellStyle name="Hyperlink" xfId="4574" builtinId="8" hidden="1"/>
    <cellStyle name="Hyperlink" xfId="4576" builtinId="8" hidden="1"/>
    <cellStyle name="Hyperlink" xfId="4578" builtinId="8" hidden="1"/>
    <cellStyle name="Hyperlink" xfId="4580" builtinId="8" hidden="1"/>
    <cellStyle name="Hyperlink" xfId="4582" builtinId="8" hidden="1"/>
    <cellStyle name="Hyperlink" xfId="4584" builtinId="8" hidden="1"/>
    <cellStyle name="Hyperlink" xfId="4586" builtinId="8" hidden="1"/>
    <cellStyle name="Hyperlink" xfId="4588" builtinId="8" hidden="1"/>
    <cellStyle name="Hyperlink" xfId="4590" builtinId="8" hidden="1"/>
    <cellStyle name="Hyperlink" xfId="4592" builtinId="8" hidden="1"/>
    <cellStyle name="Hyperlink" xfId="4594" builtinId="8" hidden="1"/>
    <cellStyle name="Hyperlink" xfId="4596" builtinId="8" hidden="1"/>
    <cellStyle name="Hyperlink" xfId="4598" builtinId="8" hidden="1"/>
    <cellStyle name="Hyperlink" xfId="4600" builtinId="8" hidden="1"/>
    <cellStyle name="Hyperlink" xfId="4602" builtinId="8" hidden="1"/>
    <cellStyle name="Hyperlink" xfId="4604" builtinId="8" hidden="1"/>
    <cellStyle name="Hyperlink" xfId="4606" builtinId="8" hidden="1"/>
    <cellStyle name="Hyperlink" xfId="4608" builtinId="8" hidden="1"/>
    <cellStyle name="Hyperlink" xfId="4610" builtinId="8" hidden="1"/>
    <cellStyle name="Hyperlink" xfId="4612" builtinId="8" hidden="1"/>
    <cellStyle name="Hyperlink" xfId="4614" builtinId="8" hidden="1"/>
    <cellStyle name="Hyperlink" xfId="4616" builtinId="8" hidden="1"/>
    <cellStyle name="Hyperlink" xfId="4618" builtinId="8" hidden="1"/>
    <cellStyle name="Hyperlink" xfId="4620" builtinId="8" hidden="1"/>
    <cellStyle name="Hyperlink" xfId="4622" builtinId="8" hidden="1"/>
    <cellStyle name="Hyperlink" xfId="4624" builtinId="8" hidden="1"/>
    <cellStyle name="Hyperlink" xfId="4626" builtinId="8" hidden="1"/>
    <cellStyle name="Hyperlink" xfId="4628" builtinId="8" hidden="1"/>
    <cellStyle name="Hyperlink" xfId="4630" builtinId="8" hidden="1"/>
    <cellStyle name="Hyperlink" xfId="4632" builtinId="8" hidden="1"/>
    <cellStyle name="Hyperlink" xfId="4634" builtinId="8" hidden="1"/>
    <cellStyle name="Hyperlink" xfId="4636" builtinId="8" hidden="1"/>
    <cellStyle name="Hyperlink" xfId="4638" builtinId="8" hidden="1"/>
    <cellStyle name="Hyperlink" xfId="4640" builtinId="8" hidden="1"/>
    <cellStyle name="Hyperlink" xfId="4642" builtinId="8" hidden="1"/>
    <cellStyle name="Hyperlink" xfId="4644" builtinId="8" hidden="1"/>
    <cellStyle name="Hyperlink" xfId="4646" builtinId="8" hidden="1"/>
    <cellStyle name="Hyperlink" xfId="4648" builtinId="8" hidden="1"/>
    <cellStyle name="Hyperlink" xfId="4650" builtinId="8" hidden="1"/>
    <cellStyle name="Hyperlink" xfId="4652" builtinId="8" hidden="1"/>
    <cellStyle name="Hyperlink" xfId="4654" builtinId="8" hidden="1"/>
    <cellStyle name="Hyperlink" xfId="4656" builtinId="8" hidden="1"/>
    <cellStyle name="Hyperlink" xfId="4658" builtinId="8" hidden="1"/>
    <cellStyle name="Hyperlink" xfId="4660" builtinId="8" hidden="1"/>
    <cellStyle name="Hyperlink" xfId="4662" builtinId="8" hidden="1"/>
    <cellStyle name="Hyperlink" xfId="4664" builtinId="8" hidden="1"/>
    <cellStyle name="Hyperlink" xfId="4666" builtinId="8" hidden="1"/>
    <cellStyle name="Hyperlink" xfId="4668" builtinId="8" hidden="1"/>
    <cellStyle name="Hyperlink" xfId="4670" builtinId="8" hidden="1"/>
    <cellStyle name="Hyperlink" xfId="4672" builtinId="8" hidden="1"/>
    <cellStyle name="Hyperlink" xfId="4674" builtinId="8" hidden="1"/>
    <cellStyle name="Hyperlink" xfId="4676" builtinId="8" hidden="1"/>
    <cellStyle name="Hyperlink" xfId="4678" builtinId="8" hidden="1"/>
    <cellStyle name="Hyperlink" xfId="4680" builtinId="8" hidden="1"/>
    <cellStyle name="Hyperlink" xfId="4682" builtinId="8" hidden="1"/>
    <cellStyle name="Hyperlink" xfId="4684" builtinId="8" hidden="1"/>
    <cellStyle name="Hyperlink" xfId="4686" builtinId="8" hidden="1"/>
    <cellStyle name="Hyperlink" xfId="4688" builtinId="8" hidden="1"/>
    <cellStyle name="Hyperlink" xfId="4690" builtinId="8" hidden="1"/>
    <cellStyle name="Hyperlink" xfId="4692" builtinId="8" hidden="1"/>
    <cellStyle name="Hyperlink" xfId="4694" builtinId="8" hidden="1"/>
    <cellStyle name="Hyperlink" xfId="4696" builtinId="8" hidden="1"/>
    <cellStyle name="Hyperlink" xfId="4698" builtinId="8" hidden="1"/>
    <cellStyle name="Hyperlink" xfId="4700" builtinId="8" hidden="1"/>
    <cellStyle name="Hyperlink" xfId="4702" builtinId="8" hidden="1"/>
    <cellStyle name="Hyperlink" xfId="4704" builtinId="8" hidden="1"/>
    <cellStyle name="Hyperlink" xfId="4706" builtinId="8" hidden="1"/>
    <cellStyle name="Hyperlink" xfId="4708" builtinId="8" hidden="1"/>
    <cellStyle name="Hyperlink" xfId="4710" builtinId="8" hidden="1"/>
    <cellStyle name="Hyperlink" xfId="4712" builtinId="8" hidden="1"/>
    <cellStyle name="Hyperlink" xfId="4714" builtinId="8" hidden="1"/>
    <cellStyle name="Hyperlink" xfId="4716" builtinId="8" hidden="1"/>
    <cellStyle name="Hyperlink" xfId="4718" builtinId="8" hidden="1"/>
    <cellStyle name="Hyperlink" xfId="4720" builtinId="8" hidden="1"/>
    <cellStyle name="Hyperlink" xfId="4722" builtinId="8" hidden="1"/>
    <cellStyle name="Hyperlink" xfId="4724" builtinId="8" hidden="1"/>
    <cellStyle name="Hyperlink" xfId="4726" builtinId="8" hidden="1"/>
    <cellStyle name="Hyperlink" xfId="4728" builtinId="8" hidden="1"/>
    <cellStyle name="Hyperlink" xfId="4730" builtinId="8" hidden="1"/>
    <cellStyle name="Hyperlink" xfId="4732" builtinId="8" hidden="1"/>
    <cellStyle name="Hyperlink" xfId="4734" builtinId="8" hidden="1"/>
    <cellStyle name="Hyperlink" xfId="4736" builtinId="8" hidden="1"/>
    <cellStyle name="Hyperlink" xfId="4738" builtinId="8" hidden="1"/>
    <cellStyle name="Hyperlink" xfId="4740" builtinId="8" hidden="1"/>
    <cellStyle name="Hyperlink" xfId="4742" builtinId="8" hidden="1"/>
    <cellStyle name="Hyperlink" xfId="4744" builtinId="8" hidden="1"/>
    <cellStyle name="Hyperlink" xfId="4746" builtinId="8" hidden="1"/>
    <cellStyle name="Hyperlink" xfId="4748" builtinId="8" hidden="1"/>
    <cellStyle name="Hyperlink" xfId="4750" builtinId="8" hidden="1"/>
    <cellStyle name="Hyperlink" xfId="4752" builtinId="8" hidden="1"/>
    <cellStyle name="Hyperlink" xfId="4754" builtinId="8" hidden="1"/>
    <cellStyle name="Hyperlink" xfId="4756" builtinId="8" hidden="1"/>
    <cellStyle name="Hyperlink" xfId="4758" builtinId="8" hidden="1"/>
    <cellStyle name="Hyperlink" xfId="4760" builtinId="8" hidden="1"/>
    <cellStyle name="Hyperlink" xfId="4762" builtinId="8" hidden="1"/>
    <cellStyle name="Hyperlink" xfId="4764" builtinId="8" hidden="1"/>
    <cellStyle name="Hyperlink" xfId="4766" builtinId="8" hidden="1"/>
    <cellStyle name="Hyperlink" xfId="4768" builtinId="8" hidden="1"/>
    <cellStyle name="Hyperlink" xfId="4770" builtinId="8" hidden="1"/>
    <cellStyle name="Hyperlink" xfId="4772" builtinId="8" hidden="1"/>
    <cellStyle name="Hyperlink" xfId="4774" builtinId="8" hidden="1"/>
    <cellStyle name="Hyperlink" xfId="4776" builtinId="8" hidden="1"/>
    <cellStyle name="Hyperlink" xfId="4778" builtinId="8" hidden="1"/>
    <cellStyle name="Hyperlink" xfId="4780" builtinId="8" hidden="1"/>
    <cellStyle name="Hyperlink" xfId="4782" builtinId="8" hidden="1"/>
    <cellStyle name="Hyperlink" xfId="4784" builtinId="8" hidden="1"/>
    <cellStyle name="Hyperlink" xfId="4786" builtinId="8" hidden="1"/>
    <cellStyle name="Hyperlink" xfId="4788" builtinId="8" hidden="1"/>
    <cellStyle name="Hyperlink" xfId="4790" builtinId="8" hidden="1"/>
    <cellStyle name="Hyperlink" xfId="4792" builtinId="8" hidden="1"/>
    <cellStyle name="Hyperlink" xfId="4794" builtinId="8" hidden="1"/>
    <cellStyle name="Hyperlink" xfId="4796" builtinId="8" hidden="1"/>
    <cellStyle name="Hyperlink" xfId="4798" builtinId="8" hidden="1"/>
    <cellStyle name="Hyperlink" xfId="4800" builtinId="8" hidden="1"/>
    <cellStyle name="Hyperlink" xfId="4802" builtinId="8" hidden="1"/>
    <cellStyle name="Hyperlink" xfId="4804" builtinId="8" hidden="1"/>
    <cellStyle name="Hyperlink" xfId="4806" builtinId="8" hidden="1"/>
    <cellStyle name="Hyperlink" xfId="4808" builtinId="8" hidden="1"/>
    <cellStyle name="Hyperlink" xfId="4810" builtinId="8" hidden="1"/>
    <cellStyle name="Hyperlink" xfId="4812" builtinId="8" hidden="1"/>
    <cellStyle name="Hyperlink" xfId="4814" builtinId="8" hidden="1"/>
    <cellStyle name="Hyperlink" xfId="4816" builtinId="8" hidden="1"/>
    <cellStyle name="Hyperlink" xfId="4818" builtinId="8" hidden="1"/>
    <cellStyle name="Hyperlink" xfId="4820" builtinId="8" hidden="1"/>
    <cellStyle name="Hyperlink" xfId="4822" builtinId="8" hidden="1"/>
    <cellStyle name="Hyperlink" xfId="4824" builtinId="8" hidden="1"/>
    <cellStyle name="Hyperlink" xfId="4826" builtinId="8" hidden="1"/>
    <cellStyle name="Hyperlink" xfId="4828" builtinId="8" hidden="1"/>
    <cellStyle name="Hyperlink" xfId="4830" builtinId="8" hidden="1"/>
    <cellStyle name="Hyperlink" xfId="4832" builtinId="8" hidden="1"/>
    <cellStyle name="Hyperlink" xfId="4834" builtinId="8" hidden="1"/>
    <cellStyle name="Hyperlink" xfId="4836" builtinId="8" hidden="1"/>
    <cellStyle name="Hyperlink" xfId="4838" builtinId="8" hidden="1"/>
    <cellStyle name="Hyperlink" xfId="4840" builtinId="8" hidden="1"/>
    <cellStyle name="Hyperlink" xfId="4842" builtinId="8" hidden="1"/>
    <cellStyle name="Hyperlink" xfId="4844" builtinId="8" hidden="1"/>
    <cellStyle name="Hyperlink" xfId="4846" builtinId="8" hidden="1"/>
    <cellStyle name="Hyperlink" xfId="4848" builtinId="8" hidden="1"/>
    <cellStyle name="Hyperlink" xfId="4850" builtinId="8" hidden="1"/>
    <cellStyle name="Hyperlink" xfId="4852" builtinId="8" hidden="1"/>
    <cellStyle name="Hyperlink" xfId="4854" builtinId="8" hidden="1"/>
    <cellStyle name="Hyperlink" xfId="4856" builtinId="8" hidden="1"/>
    <cellStyle name="Hyperlink" xfId="4858" builtinId="8" hidden="1"/>
    <cellStyle name="Hyperlink" xfId="4860" builtinId="8" hidden="1"/>
    <cellStyle name="Hyperlink" xfId="4862" builtinId="8" hidden="1"/>
    <cellStyle name="Hyperlink" xfId="4864" builtinId="8" hidden="1"/>
    <cellStyle name="Hyperlink" xfId="4866" builtinId="8" hidden="1"/>
    <cellStyle name="Hyperlink" xfId="4868" builtinId="8" hidden="1"/>
    <cellStyle name="Hyperlink" xfId="4870" builtinId="8" hidden="1"/>
    <cellStyle name="Hyperlink" xfId="4872" builtinId="8" hidden="1"/>
    <cellStyle name="Hyperlink" xfId="4874" builtinId="8" hidden="1"/>
    <cellStyle name="Hyperlink" xfId="4876" builtinId="8" hidden="1"/>
    <cellStyle name="Hyperlink" xfId="4878" builtinId="8" hidden="1"/>
    <cellStyle name="Hyperlink" xfId="4880" builtinId="8" hidden="1"/>
    <cellStyle name="Hyperlink" xfId="4882" builtinId="8" hidden="1"/>
    <cellStyle name="Hyperlink" xfId="4884" builtinId="8" hidden="1"/>
    <cellStyle name="Hyperlink" xfId="4886" builtinId="8" hidden="1"/>
    <cellStyle name="Hyperlink" xfId="4888" builtinId="8" hidden="1"/>
    <cellStyle name="Hyperlink" xfId="4890" builtinId="8" hidden="1"/>
    <cellStyle name="Hyperlink" xfId="4892" builtinId="8" hidden="1"/>
    <cellStyle name="Hyperlink" xfId="4894" builtinId="8" hidden="1"/>
    <cellStyle name="Hyperlink" xfId="4896" builtinId="8" hidden="1"/>
    <cellStyle name="Hyperlink" xfId="4898" builtinId="8" hidden="1"/>
    <cellStyle name="Hyperlink" xfId="4900" builtinId="8" hidden="1"/>
    <cellStyle name="Hyperlink" xfId="4902" builtinId="8" hidden="1"/>
    <cellStyle name="Hyperlink" xfId="4904" builtinId="8" hidden="1"/>
    <cellStyle name="Hyperlink" xfId="4906" builtinId="8" hidden="1"/>
    <cellStyle name="Hyperlink" xfId="4908" builtinId="8" hidden="1"/>
    <cellStyle name="Hyperlink" xfId="4910" builtinId="8" hidden="1"/>
    <cellStyle name="Hyperlink" xfId="4912" builtinId="8" hidden="1"/>
    <cellStyle name="Hyperlink" xfId="4914" builtinId="8" hidden="1"/>
    <cellStyle name="Hyperlink" xfId="4916" builtinId="8" hidden="1"/>
    <cellStyle name="Hyperlink" xfId="4918" builtinId="8" hidden="1"/>
    <cellStyle name="Hyperlink" xfId="4920" builtinId="8" hidden="1"/>
    <cellStyle name="Hyperlink" xfId="4922" builtinId="8" hidden="1"/>
    <cellStyle name="Hyperlink" xfId="4924" builtinId="8" hidden="1"/>
    <cellStyle name="Hyperlink" xfId="4926" builtinId="8" hidden="1"/>
    <cellStyle name="Hyperlink" xfId="4928" builtinId="8" hidden="1"/>
    <cellStyle name="Hyperlink" xfId="4930" builtinId="8" hidden="1"/>
    <cellStyle name="Hyperlink" xfId="4932" builtinId="8" hidden="1"/>
    <cellStyle name="Hyperlink" xfId="4934" builtinId="8" hidden="1"/>
    <cellStyle name="Hyperlink" xfId="4936" builtinId="8" hidden="1"/>
    <cellStyle name="Hyperlink" xfId="4938" builtinId="8" hidden="1"/>
    <cellStyle name="Hyperlink" xfId="4940" builtinId="8" hidden="1"/>
    <cellStyle name="Hyperlink" xfId="4942" builtinId="8" hidden="1"/>
    <cellStyle name="Hyperlink" xfId="4944" builtinId="8" hidden="1"/>
    <cellStyle name="Hyperlink" xfId="4946" builtinId="8" hidden="1"/>
    <cellStyle name="Hyperlink" xfId="4948" builtinId="8" hidden="1"/>
    <cellStyle name="Hyperlink" xfId="4950" builtinId="8" hidden="1"/>
    <cellStyle name="Hyperlink" xfId="4952" builtinId="8" hidden="1"/>
    <cellStyle name="Hyperlink" xfId="4954" builtinId="8" hidden="1"/>
    <cellStyle name="Hyperlink" xfId="4956" builtinId="8" hidden="1"/>
    <cellStyle name="Hyperlink" xfId="4958" builtinId="8" hidden="1"/>
    <cellStyle name="Hyperlink" xfId="4960" builtinId="8" hidden="1"/>
    <cellStyle name="Hyperlink" xfId="4962" builtinId="8" hidden="1"/>
    <cellStyle name="Hyperlink" xfId="4964" builtinId="8" hidden="1"/>
    <cellStyle name="Hyperlink" xfId="4966" builtinId="8" hidden="1"/>
    <cellStyle name="Hyperlink" xfId="4968" builtinId="8" hidden="1"/>
    <cellStyle name="Hyperlink" xfId="4970" builtinId="8" hidden="1"/>
    <cellStyle name="Hyperlink" xfId="4972" builtinId="8" hidden="1"/>
    <cellStyle name="Hyperlink" xfId="4974" builtinId="8" hidden="1"/>
    <cellStyle name="Hyperlink" xfId="4976" builtinId="8" hidden="1"/>
    <cellStyle name="Hyperlink" xfId="4978" builtinId="8" hidden="1"/>
    <cellStyle name="Hyperlink" xfId="4980" builtinId="8" hidden="1"/>
    <cellStyle name="Hyperlink" xfId="4982" builtinId="8" hidden="1"/>
    <cellStyle name="Hyperlink" xfId="4984" builtinId="8" hidden="1"/>
    <cellStyle name="Hyperlink" xfId="4986" builtinId="8" hidden="1"/>
    <cellStyle name="Hyperlink" xfId="4988" builtinId="8" hidden="1"/>
    <cellStyle name="Hyperlink" xfId="4990" builtinId="8" hidden="1"/>
    <cellStyle name="Hyperlink" xfId="4992" builtinId="8" hidden="1"/>
    <cellStyle name="Hyperlink" xfId="4994" builtinId="8" hidden="1"/>
    <cellStyle name="Hyperlink" xfId="4996" builtinId="8" hidden="1"/>
    <cellStyle name="Hyperlink" xfId="4998" builtinId="8" hidden="1"/>
    <cellStyle name="Hyperlink" xfId="5000" builtinId="8" hidden="1"/>
    <cellStyle name="Hyperlink" xfId="5002" builtinId="8" hidden="1"/>
    <cellStyle name="Hyperlink" xfId="5004" builtinId="8" hidden="1"/>
    <cellStyle name="Hyperlink" xfId="5006" builtinId="8" hidden="1"/>
    <cellStyle name="Hyperlink" xfId="5008" builtinId="8" hidden="1"/>
    <cellStyle name="Hyperlink" xfId="5010" builtinId="8" hidden="1"/>
    <cellStyle name="Hyperlink" xfId="5012" builtinId="8" hidden="1"/>
    <cellStyle name="Hyperlink" xfId="5014" builtinId="8" hidden="1"/>
    <cellStyle name="Hyperlink" xfId="5016" builtinId="8" hidden="1"/>
    <cellStyle name="Hyperlink" xfId="5018" builtinId="8" hidden="1"/>
    <cellStyle name="Hyperlink" xfId="5020" builtinId="8" hidden="1"/>
    <cellStyle name="Hyperlink" xfId="5022" builtinId="8" hidden="1"/>
    <cellStyle name="Hyperlink" xfId="5024" builtinId="8" hidden="1"/>
    <cellStyle name="Hyperlink" xfId="5026" builtinId="8" hidden="1"/>
    <cellStyle name="Hyperlink" xfId="5028" builtinId="8" hidden="1"/>
    <cellStyle name="Hyperlink" xfId="5030" builtinId="8" hidden="1"/>
    <cellStyle name="Hyperlink" xfId="5032" builtinId="8" hidden="1"/>
    <cellStyle name="Hyperlink" xfId="5034" builtinId="8" hidden="1"/>
    <cellStyle name="Hyperlink" xfId="5036" builtinId="8" hidden="1"/>
    <cellStyle name="Hyperlink" xfId="5038" builtinId="8" hidden="1"/>
    <cellStyle name="Hyperlink" xfId="5040" builtinId="8" hidden="1"/>
    <cellStyle name="Hyperlink" xfId="5042" builtinId="8" hidden="1"/>
    <cellStyle name="Hyperlink" xfId="5044" builtinId="8" hidden="1"/>
    <cellStyle name="Hyperlink" xfId="5046" builtinId="8" hidden="1"/>
    <cellStyle name="Hyperlink" xfId="5048" builtinId="8" hidden="1"/>
    <cellStyle name="Hyperlink" xfId="5050" builtinId="8" hidden="1"/>
    <cellStyle name="Hyperlink" xfId="5052" builtinId="8" hidden="1"/>
    <cellStyle name="Hyperlink" xfId="5054" builtinId="8" hidden="1"/>
    <cellStyle name="Hyperlink" xfId="5056" builtinId="8" hidden="1"/>
    <cellStyle name="Hyperlink" xfId="5058" builtinId="8" hidden="1"/>
    <cellStyle name="Hyperlink" xfId="5060" builtinId="8" hidden="1"/>
    <cellStyle name="Hyperlink" xfId="5062" builtinId="8" hidden="1"/>
    <cellStyle name="Hyperlink" xfId="5064" builtinId="8" hidden="1"/>
    <cellStyle name="Hyperlink" xfId="5066" builtinId="8" hidden="1"/>
    <cellStyle name="Hyperlink" xfId="5068" builtinId="8" hidden="1"/>
    <cellStyle name="Hyperlink" xfId="5070" builtinId="8" hidden="1"/>
    <cellStyle name="Hyperlink" xfId="5072" builtinId="8" hidden="1"/>
    <cellStyle name="Hyperlink" xfId="5074" builtinId="8" hidden="1"/>
    <cellStyle name="Hyperlink" xfId="5076" builtinId="8" hidden="1"/>
    <cellStyle name="Hyperlink" xfId="5078" builtinId="8" hidden="1"/>
    <cellStyle name="Hyperlink" xfId="5080" builtinId="8" hidden="1"/>
    <cellStyle name="Hyperlink" xfId="5082" builtinId="8" hidden="1"/>
    <cellStyle name="Hyperlink" xfId="5084" builtinId="8" hidden="1"/>
    <cellStyle name="Hyperlink" xfId="5086" builtinId="8" hidden="1"/>
    <cellStyle name="Hyperlink" xfId="5088" builtinId="8" hidden="1"/>
    <cellStyle name="Hyperlink" xfId="5090" builtinId="8" hidden="1"/>
    <cellStyle name="Hyperlink" xfId="5092" builtinId="8" hidden="1"/>
    <cellStyle name="Hyperlink" xfId="5094" builtinId="8" hidden="1"/>
    <cellStyle name="Hyperlink" xfId="5096" builtinId="8" hidden="1"/>
    <cellStyle name="Hyperlink" xfId="5098" builtinId="8" hidden="1"/>
    <cellStyle name="Hyperlink" xfId="5100" builtinId="8" hidden="1"/>
    <cellStyle name="Hyperlink" xfId="5102" builtinId="8" hidden="1"/>
    <cellStyle name="Hyperlink" xfId="5104" builtinId="8" hidden="1"/>
    <cellStyle name="Hyperlink" xfId="5106" builtinId="8" hidden="1"/>
    <cellStyle name="Hyperlink" xfId="5108" builtinId="8" hidden="1"/>
    <cellStyle name="Hyperlink" xfId="5110" builtinId="8" hidden="1"/>
    <cellStyle name="Hyperlink" xfId="5112" builtinId="8" hidden="1"/>
    <cellStyle name="Hyperlink" xfId="5114" builtinId="8" hidden="1"/>
    <cellStyle name="Hyperlink" xfId="5116" builtinId="8" hidden="1"/>
    <cellStyle name="Hyperlink" xfId="5118" builtinId="8" hidden="1"/>
    <cellStyle name="Hyperlink" xfId="5120" builtinId="8" hidden="1"/>
    <cellStyle name="Hyperlink" xfId="5122" builtinId="8" hidden="1"/>
    <cellStyle name="Hyperlink" xfId="5124" builtinId="8" hidden="1"/>
    <cellStyle name="Hyperlink" xfId="5126" builtinId="8" hidden="1"/>
    <cellStyle name="Hyperlink" xfId="5128" builtinId="8" hidden="1"/>
    <cellStyle name="Hyperlink" xfId="5130" builtinId="8" hidden="1"/>
    <cellStyle name="Hyperlink" xfId="5132" builtinId="8" hidden="1"/>
    <cellStyle name="Hyperlink" xfId="5134" builtinId="8" hidden="1"/>
    <cellStyle name="Hyperlink" xfId="5136" builtinId="8" hidden="1"/>
    <cellStyle name="Hyperlink" xfId="5138" builtinId="8" hidden="1"/>
    <cellStyle name="Hyperlink" xfId="5140" builtinId="8" hidden="1"/>
    <cellStyle name="Hyperlink" xfId="5142" builtinId="8" hidden="1"/>
    <cellStyle name="Hyperlink" xfId="5144" builtinId="8" hidden="1"/>
    <cellStyle name="Hyperlink" xfId="5146" builtinId="8" hidden="1"/>
    <cellStyle name="Hyperlink" xfId="5148" builtinId="8" hidden="1"/>
    <cellStyle name="Hyperlink" xfId="5150" builtinId="8" hidden="1"/>
    <cellStyle name="Hyperlink" xfId="5152" builtinId="8" hidden="1"/>
    <cellStyle name="Hyperlink" xfId="5154" builtinId="8" hidden="1"/>
    <cellStyle name="Hyperlink" xfId="5156" builtinId="8" hidden="1"/>
    <cellStyle name="Hyperlink" xfId="5158" builtinId="8" hidden="1"/>
    <cellStyle name="Hyperlink" xfId="5160" builtinId="8" hidden="1"/>
    <cellStyle name="Hyperlink" xfId="5162" builtinId="8" hidden="1"/>
    <cellStyle name="Hyperlink" xfId="5164" builtinId="8" hidden="1"/>
    <cellStyle name="Hyperlink" xfId="5166" builtinId="8" hidden="1"/>
    <cellStyle name="Hyperlink" xfId="5168" builtinId="8" hidden="1"/>
    <cellStyle name="Hyperlink" xfId="5170" builtinId="8" hidden="1"/>
    <cellStyle name="Hyperlink" xfId="5172" builtinId="8" hidden="1"/>
    <cellStyle name="Hyperlink" xfId="5174" builtinId="8" hidden="1"/>
    <cellStyle name="Hyperlink" xfId="5176" builtinId="8" hidden="1"/>
    <cellStyle name="Hyperlink" xfId="5178" builtinId="8" hidden="1"/>
    <cellStyle name="Hyperlink" xfId="5180" builtinId="8" hidden="1"/>
    <cellStyle name="Hyperlink" xfId="5182" builtinId="8" hidden="1"/>
    <cellStyle name="Hyperlink" xfId="5184" builtinId="8" hidden="1"/>
    <cellStyle name="Hyperlink" xfId="5186" builtinId="8" hidden="1"/>
    <cellStyle name="Hyperlink" xfId="5188" builtinId="8" hidden="1"/>
    <cellStyle name="Hyperlink" xfId="5190" builtinId="8" hidden="1"/>
    <cellStyle name="Hyperlink" xfId="5192" builtinId="8" hidden="1"/>
    <cellStyle name="Hyperlink" xfId="5194" builtinId="8" hidden="1"/>
    <cellStyle name="Hyperlink" xfId="5196" builtinId="8" hidden="1"/>
    <cellStyle name="Hyperlink" xfId="5198" builtinId="8" hidden="1"/>
    <cellStyle name="Hyperlink" xfId="5200" builtinId="8" hidden="1"/>
    <cellStyle name="Hyperlink" xfId="5202" builtinId="8" hidden="1"/>
    <cellStyle name="Hyperlink" xfId="5204" builtinId="8" hidden="1"/>
    <cellStyle name="Hyperlink" xfId="5206" builtinId="8" hidden="1"/>
    <cellStyle name="Hyperlink" xfId="5208" builtinId="8" hidden="1"/>
    <cellStyle name="Hyperlink" xfId="5210" builtinId="8" hidden="1"/>
    <cellStyle name="Hyperlink" xfId="5212" builtinId="8" hidden="1"/>
    <cellStyle name="Hyperlink" xfId="5214" builtinId="8" hidden="1"/>
    <cellStyle name="Hyperlink" xfId="5216" builtinId="8" hidden="1"/>
    <cellStyle name="Hyperlink" xfId="5218" builtinId="8" hidden="1"/>
    <cellStyle name="Hyperlink" xfId="5220" builtinId="8" hidden="1"/>
    <cellStyle name="Hyperlink" xfId="5222" builtinId="8" hidden="1"/>
    <cellStyle name="Hyperlink" xfId="5224" builtinId="8" hidden="1"/>
    <cellStyle name="Hyperlink" xfId="5226" builtinId="8" hidden="1"/>
    <cellStyle name="Hyperlink" xfId="5228" builtinId="8" hidden="1"/>
    <cellStyle name="Hyperlink" xfId="5230" builtinId="8" hidden="1"/>
    <cellStyle name="Hyperlink" xfId="5232" builtinId="8" hidden="1"/>
    <cellStyle name="Hyperlink" xfId="5234" builtinId="8" hidden="1"/>
    <cellStyle name="Hyperlink" xfId="5236" builtinId="8" hidden="1"/>
    <cellStyle name="Hyperlink" xfId="5238" builtinId="8" hidden="1"/>
    <cellStyle name="Hyperlink" xfId="5240" builtinId="8" hidden="1"/>
    <cellStyle name="Hyperlink" xfId="5242" builtinId="8" hidden="1"/>
    <cellStyle name="Hyperlink" xfId="5244" builtinId="8" hidden="1"/>
    <cellStyle name="Hyperlink" xfId="5246" builtinId="8" hidden="1"/>
    <cellStyle name="Hyperlink" xfId="5248" builtinId="8" hidden="1"/>
    <cellStyle name="Hyperlink" xfId="5250" builtinId="8" hidden="1"/>
    <cellStyle name="Hyperlink" xfId="5252" builtinId="8" hidden="1"/>
    <cellStyle name="Hyperlink" xfId="5254" builtinId="8" hidden="1"/>
    <cellStyle name="Hyperlink" xfId="5256" builtinId="8" hidden="1"/>
    <cellStyle name="Hyperlink" xfId="5258" builtinId="8" hidden="1"/>
    <cellStyle name="Hyperlink" xfId="5260" builtinId="8" hidden="1"/>
    <cellStyle name="Hyperlink" xfId="5262" builtinId="8" hidden="1"/>
    <cellStyle name="Hyperlink" xfId="5264" builtinId="8" hidden="1"/>
    <cellStyle name="Hyperlink" xfId="5266" builtinId="8" hidden="1"/>
    <cellStyle name="Hyperlink" xfId="5268" builtinId="8" hidden="1"/>
    <cellStyle name="Hyperlink" xfId="5270" builtinId="8" hidden="1"/>
    <cellStyle name="Hyperlink" xfId="5272" builtinId="8" hidden="1"/>
    <cellStyle name="Hyperlink" xfId="5274" builtinId="8" hidden="1"/>
    <cellStyle name="Hyperlink" xfId="5276" builtinId="8" hidden="1"/>
    <cellStyle name="Hyperlink" xfId="5278" builtinId="8" hidden="1"/>
    <cellStyle name="Hyperlink" xfId="5280" builtinId="8" hidden="1"/>
    <cellStyle name="Hyperlink" xfId="5282" builtinId="8" hidden="1"/>
    <cellStyle name="Hyperlink" xfId="5284" builtinId="8" hidden="1"/>
    <cellStyle name="Hyperlink" xfId="5286" builtinId="8" hidden="1"/>
    <cellStyle name="Hyperlink" xfId="5288" builtinId="8" hidden="1"/>
    <cellStyle name="Hyperlink" xfId="5290" builtinId="8" hidden="1"/>
    <cellStyle name="Hyperlink" xfId="5292" builtinId="8" hidden="1"/>
    <cellStyle name="Hyperlink" xfId="5294" builtinId="8" hidden="1"/>
    <cellStyle name="Hyperlink" xfId="5296" builtinId="8" hidden="1"/>
    <cellStyle name="Hyperlink" xfId="5298" builtinId="8" hidden="1"/>
    <cellStyle name="Hyperlink" xfId="5300" builtinId="8" hidden="1"/>
    <cellStyle name="Hyperlink" xfId="5302" builtinId="8" hidden="1"/>
    <cellStyle name="Hyperlink" xfId="5304" builtinId="8" hidden="1"/>
    <cellStyle name="Hyperlink" xfId="5306" builtinId="8" hidden="1"/>
    <cellStyle name="Hyperlink" xfId="5308" builtinId="8" hidden="1"/>
    <cellStyle name="Hyperlink" xfId="5310" builtinId="8" hidden="1"/>
    <cellStyle name="Hyperlink" xfId="5312" builtinId="8" hidden="1"/>
    <cellStyle name="Hyperlink" xfId="5314" builtinId="8" hidden="1"/>
    <cellStyle name="Hyperlink" xfId="5316" builtinId="8" hidden="1"/>
    <cellStyle name="Hyperlink" xfId="5318" builtinId="8" hidden="1"/>
    <cellStyle name="Hyperlink" xfId="5320" builtinId="8" hidden="1"/>
    <cellStyle name="Hyperlink" xfId="5322" builtinId="8" hidden="1"/>
    <cellStyle name="Hyperlink" xfId="5324" builtinId="8" hidden="1"/>
    <cellStyle name="Hyperlink" xfId="5326" builtinId="8" hidden="1"/>
    <cellStyle name="Hyperlink" xfId="5328" builtinId="8" hidden="1"/>
    <cellStyle name="Hyperlink" xfId="5330" builtinId="8" hidden="1"/>
    <cellStyle name="Hyperlink" xfId="5332" builtinId="8" hidden="1"/>
    <cellStyle name="Hyperlink" xfId="5334" builtinId="8" hidden="1"/>
    <cellStyle name="Hyperlink" xfId="5336" builtinId="8" hidden="1"/>
    <cellStyle name="Hyperlink" xfId="5338" builtinId="8" hidden="1"/>
    <cellStyle name="Hyperlink" xfId="5340" builtinId="8" hidden="1"/>
    <cellStyle name="Hyperlink" xfId="5342" builtinId="8" hidden="1"/>
    <cellStyle name="Hyperlink" xfId="5344" builtinId="8" hidden="1"/>
    <cellStyle name="Hyperlink" xfId="5346" builtinId="8" hidden="1"/>
    <cellStyle name="Hyperlink" xfId="5348" builtinId="8" hidden="1"/>
    <cellStyle name="Hyperlink" xfId="5350" builtinId="8" hidden="1"/>
    <cellStyle name="Hyperlink" xfId="5352" builtinId="8" hidden="1"/>
    <cellStyle name="Hyperlink" xfId="5354" builtinId="8" hidden="1"/>
    <cellStyle name="Hyperlink" xfId="5356" builtinId="8" hidden="1"/>
    <cellStyle name="Hyperlink" xfId="5358" builtinId="8" hidden="1"/>
    <cellStyle name="Hyperlink" xfId="5360" builtinId="8" hidden="1"/>
    <cellStyle name="Hyperlink" xfId="5362" builtinId="8" hidden="1"/>
    <cellStyle name="Hyperlink" xfId="5364" builtinId="8" hidden="1"/>
    <cellStyle name="Hyperlink" xfId="5366" builtinId="8" hidden="1"/>
    <cellStyle name="Hyperlink" xfId="5368" builtinId="8" hidden="1"/>
    <cellStyle name="Hyperlink" xfId="5370" builtinId="8" hidden="1"/>
    <cellStyle name="Hyperlink" xfId="5372" builtinId="8" hidden="1"/>
    <cellStyle name="Hyperlink" xfId="5374" builtinId="8" hidden="1"/>
    <cellStyle name="Hyperlink" xfId="5376" builtinId="8" hidden="1"/>
    <cellStyle name="Hyperlink" xfId="5378" builtinId="8" hidden="1"/>
    <cellStyle name="Hyperlink" xfId="5380" builtinId="8" hidden="1"/>
    <cellStyle name="Hyperlink" xfId="5382" builtinId="8" hidden="1"/>
    <cellStyle name="Hyperlink" xfId="5384" builtinId="8" hidden="1"/>
    <cellStyle name="Hyperlink" xfId="5386" builtinId="8" hidden="1"/>
    <cellStyle name="Hyperlink" xfId="5388" builtinId="8" hidden="1"/>
    <cellStyle name="Hyperlink" xfId="5390" builtinId="8" hidden="1"/>
    <cellStyle name="Hyperlink" xfId="5392" builtinId="8" hidden="1"/>
    <cellStyle name="Hyperlink" xfId="5394" builtinId="8" hidden="1"/>
    <cellStyle name="Hyperlink" xfId="5396" builtinId="8" hidden="1"/>
    <cellStyle name="Hyperlink" xfId="5398" builtinId="8" hidden="1"/>
    <cellStyle name="Hyperlink" xfId="5400" builtinId="8" hidden="1"/>
    <cellStyle name="Hyperlink" xfId="5402" builtinId="8" hidden="1"/>
    <cellStyle name="Hyperlink" xfId="5404" builtinId="8" hidden="1"/>
    <cellStyle name="Hyperlink" xfId="5406" builtinId="8" hidden="1"/>
    <cellStyle name="Hyperlink" xfId="5408" builtinId="8" hidden="1"/>
    <cellStyle name="Hyperlink" xfId="5410" builtinId="8" hidden="1"/>
    <cellStyle name="Hyperlink" xfId="5412" builtinId="8" hidden="1"/>
    <cellStyle name="Hyperlink" xfId="5414" builtinId="8" hidden="1"/>
    <cellStyle name="Hyperlink" xfId="5416" builtinId="8" hidden="1"/>
    <cellStyle name="Hyperlink" xfId="5418" builtinId="8" hidden="1"/>
    <cellStyle name="Hyperlink" xfId="5420" builtinId="8" hidden="1"/>
    <cellStyle name="Hyperlink" xfId="5422" builtinId="8" hidden="1"/>
    <cellStyle name="Hyperlink" xfId="5424" builtinId="8" hidden="1"/>
    <cellStyle name="Hyperlink" xfId="5426" builtinId="8" hidden="1"/>
    <cellStyle name="Hyperlink" xfId="5428" builtinId="8" hidden="1"/>
    <cellStyle name="Hyperlink" xfId="5430" builtinId="8" hidden="1"/>
    <cellStyle name="Hyperlink" xfId="5432" builtinId="8" hidden="1"/>
    <cellStyle name="Hyperlink" xfId="5434" builtinId="8" hidden="1"/>
    <cellStyle name="Hyperlink" xfId="5436" builtinId="8" hidden="1"/>
    <cellStyle name="Hyperlink" xfId="5438" builtinId="8" hidden="1"/>
    <cellStyle name="Hyperlink" xfId="5440" builtinId="8" hidden="1"/>
    <cellStyle name="Hyperlink" xfId="5442" builtinId="8" hidden="1"/>
    <cellStyle name="Hyperlink" xfId="5444" builtinId="8" hidden="1"/>
    <cellStyle name="Hyperlink" xfId="5446" builtinId="8" hidden="1"/>
    <cellStyle name="Hyperlink" xfId="5448" builtinId="8" hidden="1"/>
    <cellStyle name="Hyperlink" xfId="5450" builtinId="8" hidden="1"/>
    <cellStyle name="Hyperlink" xfId="5452" builtinId="8" hidden="1"/>
    <cellStyle name="Hyperlink" xfId="5454" builtinId="8" hidden="1"/>
    <cellStyle name="Hyperlink" xfId="5456" builtinId="8" hidden="1"/>
    <cellStyle name="Hyperlink" xfId="5458" builtinId="8" hidden="1"/>
    <cellStyle name="Hyperlink" xfId="5460" builtinId="8" hidden="1"/>
    <cellStyle name="Hyperlink" xfId="5462" builtinId="8" hidden="1"/>
    <cellStyle name="Hyperlink" xfId="5464" builtinId="8" hidden="1"/>
    <cellStyle name="Hyperlink" xfId="5466" builtinId="8" hidden="1"/>
    <cellStyle name="Hyperlink" xfId="5468" builtinId="8" hidden="1"/>
    <cellStyle name="Hyperlink" xfId="5470" builtinId="8" hidden="1"/>
    <cellStyle name="Hyperlink" xfId="5472" builtinId="8" hidden="1"/>
    <cellStyle name="Hyperlink" xfId="5474" builtinId="8" hidden="1"/>
    <cellStyle name="Hyperlink" xfId="5476" builtinId="8" hidden="1"/>
    <cellStyle name="Hyperlink" xfId="5478" builtinId="8" hidden="1"/>
    <cellStyle name="Hyperlink" xfId="5480" builtinId="8" hidden="1"/>
    <cellStyle name="Hyperlink" xfId="5482" builtinId="8" hidden="1"/>
    <cellStyle name="Hyperlink" xfId="5484" builtinId="8" hidden="1"/>
    <cellStyle name="Hyperlink" xfId="5486" builtinId="8" hidden="1"/>
    <cellStyle name="Hyperlink" xfId="5488" builtinId="8" hidden="1"/>
    <cellStyle name="Hyperlink" xfId="5490" builtinId="8" hidden="1"/>
    <cellStyle name="Hyperlink" xfId="5492" builtinId="8" hidden="1"/>
    <cellStyle name="Hyperlink" xfId="5494" builtinId="8" hidden="1"/>
    <cellStyle name="Hyperlink" xfId="5496" builtinId="8" hidden="1"/>
    <cellStyle name="Hyperlink" xfId="5498" builtinId="8" hidden="1"/>
    <cellStyle name="Hyperlink" xfId="5500" builtinId="8" hidden="1"/>
    <cellStyle name="Hyperlink" xfId="5502" builtinId="8" hidden="1"/>
    <cellStyle name="Hyperlink" xfId="5504" builtinId="8" hidden="1"/>
    <cellStyle name="Hyperlink" xfId="5506" builtinId="8" hidden="1"/>
    <cellStyle name="Hyperlink" xfId="5508" builtinId="8" hidden="1"/>
    <cellStyle name="Hyperlink" xfId="5510" builtinId="8" hidden="1"/>
    <cellStyle name="Hyperlink" xfId="5512" builtinId="8" hidden="1"/>
    <cellStyle name="Hyperlink" xfId="5514" builtinId="8" hidden="1"/>
    <cellStyle name="Hyperlink" xfId="5516" builtinId="8" hidden="1"/>
    <cellStyle name="Hyperlink" xfId="5518" builtinId="8" hidden="1"/>
    <cellStyle name="Hyperlink" xfId="5520" builtinId="8" hidden="1"/>
    <cellStyle name="Hyperlink" xfId="5522" builtinId="8" hidden="1"/>
    <cellStyle name="Hyperlink" xfId="5524" builtinId="8" hidden="1"/>
    <cellStyle name="Hyperlink" xfId="5526" builtinId="8" hidden="1"/>
    <cellStyle name="Hyperlink" xfId="5528" builtinId="8" hidden="1"/>
    <cellStyle name="Hyperlink" xfId="5530" builtinId="8" hidden="1"/>
    <cellStyle name="Hyperlink" xfId="5532" builtinId="8" hidden="1"/>
    <cellStyle name="Hyperlink" xfId="5534" builtinId="8" hidden="1"/>
    <cellStyle name="Hyperlink" xfId="5536" builtinId="8" hidden="1"/>
    <cellStyle name="Hyperlink" xfId="5538" builtinId="8" hidden="1"/>
    <cellStyle name="Hyperlink" xfId="5540" builtinId="8" hidden="1"/>
    <cellStyle name="Hyperlink" xfId="5542" builtinId="8" hidden="1"/>
    <cellStyle name="Hyperlink" xfId="5544" builtinId="8" hidden="1"/>
    <cellStyle name="Hyperlink" xfId="5546" builtinId="8" hidden="1"/>
    <cellStyle name="Hyperlink" xfId="5548" builtinId="8" hidden="1"/>
    <cellStyle name="Hyperlink" xfId="5550" builtinId="8" hidden="1"/>
    <cellStyle name="Hyperlink" xfId="5552" builtinId="8" hidden="1"/>
    <cellStyle name="Hyperlink" xfId="5554" builtinId="8" hidden="1"/>
    <cellStyle name="Hyperlink" xfId="5556" builtinId="8" hidden="1"/>
    <cellStyle name="Hyperlink" xfId="5558" builtinId="8" hidden="1"/>
    <cellStyle name="Hyperlink" xfId="5560" builtinId="8" hidden="1"/>
    <cellStyle name="Hyperlink" xfId="5562" builtinId="8" hidden="1"/>
    <cellStyle name="Hyperlink" xfId="5564" builtinId="8" hidden="1"/>
    <cellStyle name="Hyperlink" xfId="5566" builtinId="8" hidden="1"/>
    <cellStyle name="Hyperlink" xfId="5568" builtinId="8" hidden="1"/>
    <cellStyle name="Hyperlink" xfId="5570" builtinId="8" hidden="1"/>
    <cellStyle name="Hyperlink" xfId="5572" builtinId="8" hidden="1"/>
    <cellStyle name="Hyperlink" xfId="5574" builtinId="8" hidden="1"/>
    <cellStyle name="Hyperlink" xfId="5576" builtinId="8" hidden="1"/>
    <cellStyle name="Hyperlink" xfId="5578" builtinId="8" hidden="1"/>
    <cellStyle name="Hyperlink" xfId="5580" builtinId="8" hidden="1"/>
    <cellStyle name="Hyperlink" xfId="5582" builtinId="8" hidden="1"/>
    <cellStyle name="Hyperlink" xfId="5584" builtinId="8" hidden="1"/>
    <cellStyle name="Hyperlink" xfId="5586" builtinId="8" hidden="1"/>
    <cellStyle name="Hyperlink" xfId="5588" builtinId="8" hidden="1"/>
    <cellStyle name="Hyperlink" xfId="5590" builtinId="8" hidden="1"/>
    <cellStyle name="Hyperlink" xfId="5592" builtinId="8" hidden="1"/>
    <cellStyle name="Hyperlink" xfId="5594" builtinId="8" hidden="1"/>
    <cellStyle name="Hyperlink" xfId="5596" builtinId="8" hidden="1"/>
    <cellStyle name="Hyperlink" xfId="5598" builtinId="8" hidden="1"/>
    <cellStyle name="Hyperlink" xfId="5600" builtinId="8" hidden="1"/>
    <cellStyle name="Hyperlink" xfId="5602" builtinId="8" hidden="1"/>
    <cellStyle name="Hyperlink" xfId="5604" builtinId="8" hidden="1"/>
    <cellStyle name="Hyperlink" xfId="5606" builtinId="8" hidden="1"/>
    <cellStyle name="Hyperlink" xfId="5608" builtinId="8" hidden="1"/>
    <cellStyle name="Hyperlink" xfId="5610" builtinId="8" hidden="1"/>
    <cellStyle name="Hyperlink" xfId="5612" builtinId="8" hidden="1"/>
    <cellStyle name="Hyperlink" xfId="5614" builtinId="8" hidden="1"/>
    <cellStyle name="Hyperlink" xfId="5616" builtinId="8" hidden="1"/>
    <cellStyle name="Hyperlink" xfId="5618" builtinId="8" hidden="1"/>
    <cellStyle name="Hyperlink" xfId="5620" builtinId="8" hidden="1"/>
    <cellStyle name="Hyperlink" xfId="5622" builtinId="8" hidden="1"/>
    <cellStyle name="Hyperlink" xfId="5624" builtinId="8" hidden="1"/>
    <cellStyle name="Hyperlink" xfId="5626" builtinId="8" hidden="1"/>
    <cellStyle name="Hyperlink" xfId="5628" builtinId="8" hidden="1"/>
    <cellStyle name="Hyperlink" xfId="5630" builtinId="8" hidden="1"/>
    <cellStyle name="Hyperlink" xfId="5632" builtinId="8" hidden="1"/>
    <cellStyle name="Hyperlink" xfId="5634" builtinId="8" hidden="1"/>
    <cellStyle name="Hyperlink" xfId="5636" builtinId="8" hidden="1"/>
    <cellStyle name="Hyperlink" xfId="5638" builtinId="8" hidden="1"/>
    <cellStyle name="Hyperlink" xfId="5640" builtinId="8" hidden="1"/>
    <cellStyle name="Hyperlink" xfId="5642" builtinId="8" hidden="1"/>
    <cellStyle name="Hyperlink" xfId="5644" builtinId="8" hidden="1"/>
    <cellStyle name="Hyperlink" xfId="5646" builtinId="8" hidden="1"/>
    <cellStyle name="Hyperlink" xfId="5648" builtinId="8" hidden="1"/>
    <cellStyle name="Hyperlink" xfId="5650" builtinId="8" hidden="1"/>
    <cellStyle name="Hyperlink" xfId="5652" builtinId="8" hidden="1"/>
    <cellStyle name="Hyperlink" xfId="5654" builtinId="8" hidden="1"/>
    <cellStyle name="Hyperlink" xfId="5656" builtinId="8" hidden="1"/>
    <cellStyle name="Hyperlink" xfId="5658" builtinId="8" hidden="1"/>
    <cellStyle name="Hyperlink" xfId="5660" builtinId="8" hidden="1"/>
    <cellStyle name="Hyperlink" xfId="5662" builtinId="8" hidden="1"/>
    <cellStyle name="Hyperlink" xfId="5664" builtinId="8" hidden="1"/>
    <cellStyle name="Hyperlink" xfId="5666" builtinId="8" hidden="1"/>
    <cellStyle name="Hyperlink" xfId="5668" builtinId="8" hidden="1"/>
    <cellStyle name="Hyperlink" xfId="5670" builtinId="8" hidden="1"/>
    <cellStyle name="Hyperlink" xfId="5672" builtinId="8" hidden="1"/>
    <cellStyle name="Hyperlink" xfId="5674" builtinId="8" hidden="1"/>
    <cellStyle name="Hyperlink" xfId="5676" builtinId="8" hidden="1"/>
    <cellStyle name="Hyperlink" xfId="5678" builtinId="8" hidden="1"/>
    <cellStyle name="Hyperlink" xfId="5680" builtinId="8" hidden="1"/>
    <cellStyle name="Hyperlink" xfId="5682" builtinId="8" hidden="1"/>
    <cellStyle name="Hyperlink" xfId="5684" builtinId="8" hidden="1"/>
    <cellStyle name="Hyperlink" xfId="5686" builtinId="8" hidden="1"/>
    <cellStyle name="Hyperlink" xfId="5688" builtinId="8" hidden="1"/>
    <cellStyle name="Hyperlink" xfId="5690" builtinId="8" hidden="1"/>
    <cellStyle name="Hyperlink" xfId="5692" builtinId="8" hidden="1"/>
    <cellStyle name="Hyperlink" xfId="5694" builtinId="8" hidden="1"/>
    <cellStyle name="Hyperlink" xfId="5696" builtinId="8" hidden="1"/>
    <cellStyle name="Hyperlink" xfId="5698" builtinId="8" hidden="1"/>
    <cellStyle name="Hyperlink" xfId="5700" builtinId="8" hidden="1"/>
    <cellStyle name="Hyperlink" xfId="5702" builtinId="8" hidden="1"/>
    <cellStyle name="Hyperlink" xfId="5704" builtinId="8" hidden="1"/>
    <cellStyle name="Hyperlink" xfId="5706" builtinId="8" hidden="1"/>
    <cellStyle name="Hyperlink" xfId="5708" builtinId="8" hidden="1"/>
    <cellStyle name="Hyperlink" xfId="5710" builtinId="8" hidden="1"/>
    <cellStyle name="Hyperlink" xfId="5712" builtinId="8" hidden="1"/>
    <cellStyle name="Hyperlink" xfId="5714" builtinId="8" hidden="1"/>
    <cellStyle name="Hyperlink" xfId="5716" builtinId="8" hidden="1"/>
    <cellStyle name="Hyperlink" xfId="5718" builtinId="8" hidden="1"/>
    <cellStyle name="Hyperlink" xfId="5720" builtinId="8" hidden="1"/>
    <cellStyle name="Hyperlink" xfId="5722" builtinId="8" hidden="1"/>
    <cellStyle name="Hyperlink" xfId="5724" builtinId="8" hidden="1"/>
    <cellStyle name="Hyperlink" xfId="5726" builtinId="8" hidden="1"/>
    <cellStyle name="Hyperlink" xfId="5728" builtinId="8" hidden="1"/>
    <cellStyle name="Hyperlink" xfId="5730" builtinId="8" hidden="1"/>
    <cellStyle name="Hyperlink" xfId="5732" builtinId="8" hidden="1"/>
    <cellStyle name="Hyperlink" xfId="5734" builtinId="8" hidden="1"/>
    <cellStyle name="Hyperlink" xfId="5736" builtinId="8" hidden="1"/>
    <cellStyle name="Hyperlink" xfId="5738" builtinId="8" hidden="1"/>
    <cellStyle name="Hyperlink" xfId="5740" builtinId="8" hidden="1"/>
    <cellStyle name="Hyperlink" xfId="5742" builtinId="8" hidden="1"/>
    <cellStyle name="Hyperlink" xfId="5744" builtinId="8" hidden="1"/>
    <cellStyle name="Hyperlink" xfId="5746" builtinId="8" hidden="1"/>
    <cellStyle name="Hyperlink" xfId="5748" builtinId="8" hidden="1"/>
    <cellStyle name="Hyperlink" xfId="5750" builtinId="8" hidden="1"/>
    <cellStyle name="Hyperlink" xfId="5752" builtinId="8" hidden="1"/>
    <cellStyle name="Hyperlink" xfId="5754" builtinId="8" hidden="1"/>
    <cellStyle name="Hyperlink" xfId="5756" builtinId="8" hidden="1"/>
    <cellStyle name="Hyperlink" xfId="5758" builtinId="8" hidden="1"/>
    <cellStyle name="Hyperlink" xfId="5760" builtinId="8" hidden="1"/>
    <cellStyle name="Hyperlink" xfId="5762" builtinId="8" hidden="1"/>
    <cellStyle name="Hyperlink" xfId="5764" builtinId="8" hidden="1"/>
    <cellStyle name="Hyperlink" xfId="5766" builtinId="8" hidden="1"/>
    <cellStyle name="Hyperlink" xfId="5768" builtinId="8" hidden="1"/>
    <cellStyle name="Hyperlink" xfId="5770" builtinId="8" hidden="1"/>
    <cellStyle name="Hyperlink" xfId="5772" builtinId="8" hidden="1"/>
    <cellStyle name="Hyperlink" xfId="5774" builtinId="8" hidden="1"/>
    <cellStyle name="Hyperlink" xfId="5776" builtinId="8" hidden="1"/>
    <cellStyle name="Hyperlink" xfId="5778" builtinId="8" hidden="1"/>
    <cellStyle name="Hyperlink" xfId="5780" builtinId="8" hidden="1"/>
    <cellStyle name="Hyperlink" xfId="5782" builtinId="8" hidden="1"/>
    <cellStyle name="Hyperlink" xfId="5784" builtinId="8" hidden="1"/>
    <cellStyle name="Hyperlink" xfId="5786" builtinId="8" hidden="1"/>
    <cellStyle name="Hyperlink" xfId="5788" builtinId="8" hidden="1"/>
    <cellStyle name="Hyperlink" xfId="5790" builtinId="8" hidden="1"/>
    <cellStyle name="Hyperlink" xfId="5792" builtinId="8" hidden="1"/>
    <cellStyle name="Hyperlink" xfId="5794" builtinId="8" hidden="1"/>
    <cellStyle name="Hyperlink" xfId="5796" builtinId="8" hidden="1"/>
    <cellStyle name="Hyperlink" xfId="5798" builtinId="8" hidden="1"/>
    <cellStyle name="Hyperlink" xfId="5800" builtinId="8" hidden="1"/>
    <cellStyle name="Hyperlink" xfId="5802" builtinId="8" hidden="1"/>
    <cellStyle name="Hyperlink" xfId="5804" builtinId="8" hidden="1"/>
    <cellStyle name="Hyperlink" xfId="5806" builtinId="8" hidden="1"/>
    <cellStyle name="Hyperlink" xfId="5808" builtinId="8" hidden="1"/>
    <cellStyle name="Hyperlink" xfId="5810" builtinId="8" hidden="1"/>
    <cellStyle name="Hyperlink" xfId="5812" builtinId="8" hidden="1"/>
    <cellStyle name="Hyperlink" xfId="5814" builtinId="8" hidden="1"/>
    <cellStyle name="Hyperlink" xfId="5816" builtinId="8" hidden="1"/>
    <cellStyle name="Hyperlink" xfId="5818" builtinId="8" hidden="1"/>
    <cellStyle name="Hyperlink" xfId="5820" builtinId="8" hidden="1"/>
    <cellStyle name="Hyperlink" xfId="5822" builtinId="8" hidden="1"/>
    <cellStyle name="Hyperlink" xfId="5824" builtinId="8" hidden="1"/>
    <cellStyle name="Hyperlink" xfId="5826" builtinId="8" hidden="1"/>
    <cellStyle name="Hyperlink" xfId="5828" builtinId="8" hidden="1"/>
    <cellStyle name="Hyperlink" xfId="5830" builtinId="8" hidden="1"/>
    <cellStyle name="Hyperlink" xfId="5832" builtinId="8" hidden="1"/>
    <cellStyle name="Hyperlink" xfId="5834" builtinId="8" hidden="1"/>
    <cellStyle name="Hyperlink" xfId="5836" builtinId="8" hidden="1"/>
    <cellStyle name="Hyperlink" xfId="5838" builtinId="8" hidden="1"/>
    <cellStyle name="Hyperlink" xfId="5840" builtinId="8" hidden="1"/>
    <cellStyle name="Hyperlink" xfId="5842" builtinId="8" hidden="1"/>
    <cellStyle name="Hyperlink" xfId="5844" builtinId="8" hidden="1"/>
    <cellStyle name="Hyperlink" xfId="5846" builtinId="8" hidden="1"/>
    <cellStyle name="Hyperlink" xfId="5848" builtinId="8" hidden="1"/>
    <cellStyle name="Hyperlink" xfId="5850" builtinId="8" hidden="1"/>
    <cellStyle name="Hyperlink" xfId="5852" builtinId="8" hidden="1"/>
    <cellStyle name="Hyperlink" xfId="5854" builtinId="8" hidden="1"/>
    <cellStyle name="Hyperlink" xfId="5856" builtinId="8" hidden="1"/>
    <cellStyle name="Hyperlink" xfId="5858" builtinId="8" hidden="1"/>
    <cellStyle name="Hyperlink" xfId="5860" builtinId="8" hidden="1"/>
    <cellStyle name="Hyperlink" xfId="5862" builtinId="8" hidden="1"/>
    <cellStyle name="Hyperlink" xfId="5864" builtinId="8" hidden="1"/>
    <cellStyle name="Hyperlink" xfId="5866" builtinId="8" hidden="1"/>
    <cellStyle name="Hyperlink" xfId="5868" builtinId="8" hidden="1"/>
    <cellStyle name="Hyperlink" xfId="5870" builtinId="8" hidden="1"/>
    <cellStyle name="Hyperlink" xfId="5872" builtinId="8" hidden="1"/>
    <cellStyle name="Hyperlink" xfId="5874" builtinId="8" hidden="1"/>
    <cellStyle name="Hyperlink" xfId="5876" builtinId="8" hidden="1"/>
    <cellStyle name="Hyperlink" xfId="5878" builtinId="8" hidden="1"/>
    <cellStyle name="Hyperlink" xfId="5880" builtinId="8" hidden="1"/>
    <cellStyle name="Hyperlink" xfId="5882" builtinId="8" hidden="1"/>
    <cellStyle name="Hyperlink" xfId="5884" builtinId="8" hidden="1"/>
    <cellStyle name="Hyperlink" xfId="5886" builtinId="8" hidden="1"/>
    <cellStyle name="Hyperlink" xfId="5888" builtinId="8" hidden="1"/>
    <cellStyle name="Hyperlink" xfId="5890" builtinId="8" hidden="1"/>
    <cellStyle name="Hyperlink" xfId="5892" builtinId="8" hidden="1"/>
    <cellStyle name="Hyperlink" xfId="5894" builtinId="8" hidden="1"/>
    <cellStyle name="Hyperlink" xfId="5896" builtinId="8" hidden="1"/>
    <cellStyle name="Hyperlink" xfId="5898" builtinId="8" hidden="1"/>
    <cellStyle name="Hyperlink" xfId="5900" builtinId="8" hidden="1"/>
    <cellStyle name="Hyperlink" xfId="5902" builtinId="8" hidden="1"/>
    <cellStyle name="Hyperlink" xfId="5904" builtinId="8" hidden="1"/>
    <cellStyle name="Hyperlink" xfId="5906" builtinId="8" hidden="1"/>
    <cellStyle name="Hyperlink" xfId="5908" builtinId="8" hidden="1"/>
    <cellStyle name="Hyperlink" xfId="5910" builtinId="8" hidden="1"/>
    <cellStyle name="Hyperlink" xfId="5912" builtinId="8" hidden="1"/>
    <cellStyle name="Hyperlink" xfId="5914" builtinId="8" hidden="1"/>
    <cellStyle name="Hyperlink" xfId="5916" builtinId="8" hidden="1"/>
    <cellStyle name="Hyperlink" xfId="5918" builtinId="8" hidden="1"/>
    <cellStyle name="Hyperlink" xfId="5920" builtinId="8" hidden="1"/>
    <cellStyle name="Hyperlink" xfId="5922" builtinId="8" hidden="1"/>
    <cellStyle name="Hyperlink" xfId="5924" builtinId="8" hidden="1"/>
    <cellStyle name="Hyperlink" xfId="5926" builtinId="8" hidden="1"/>
    <cellStyle name="Hyperlink" xfId="5928" builtinId="8" hidden="1"/>
    <cellStyle name="Hyperlink" xfId="5930" builtinId="8" hidden="1"/>
    <cellStyle name="Hyperlink" xfId="5932" builtinId="8" hidden="1"/>
    <cellStyle name="Hyperlink" xfId="5934" builtinId="8" hidden="1"/>
    <cellStyle name="Hyperlink" xfId="5936" builtinId="8" hidden="1"/>
    <cellStyle name="Hyperlink" xfId="5938" builtinId="8" hidden="1"/>
    <cellStyle name="Hyperlink" xfId="5940" builtinId="8" hidden="1"/>
    <cellStyle name="Hyperlink" xfId="5942" builtinId="8" hidden="1"/>
    <cellStyle name="Hyperlink" xfId="5944" builtinId="8" hidden="1"/>
    <cellStyle name="Hyperlink" xfId="5946" builtinId="8" hidden="1"/>
    <cellStyle name="Hyperlink" xfId="5948" builtinId="8" hidden="1"/>
    <cellStyle name="Hyperlink" xfId="5950" builtinId="8" hidden="1"/>
    <cellStyle name="Hyperlink" xfId="5952" builtinId="8" hidden="1"/>
    <cellStyle name="Hyperlink" xfId="5954" builtinId="8" hidden="1"/>
    <cellStyle name="Hyperlink" xfId="5956" builtinId="8" hidden="1"/>
    <cellStyle name="Hyperlink" xfId="5958" builtinId="8" hidden="1"/>
    <cellStyle name="Hyperlink" xfId="5960" builtinId="8" hidden="1"/>
    <cellStyle name="Hyperlink" xfId="5962" builtinId="8" hidden="1"/>
    <cellStyle name="Hyperlink" xfId="5964" builtinId="8" hidden="1"/>
    <cellStyle name="Hyperlink" xfId="5966" builtinId="8" hidden="1"/>
    <cellStyle name="Hyperlink" xfId="5968" builtinId="8" hidden="1"/>
    <cellStyle name="Hyperlink" xfId="5970" builtinId="8" hidden="1"/>
    <cellStyle name="Hyperlink" xfId="5972" builtinId="8" hidden="1"/>
    <cellStyle name="Hyperlink" xfId="5974" builtinId="8" hidden="1"/>
    <cellStyle name="Hyperlink" xfId="5976" builtinId="8" hidden="1"/>
    <cellStyle name="Hyperlink" xfId="5978" builtinId="8" hidden="1"/>
    <cellStyle name="Hyperlink" xfId="5980" builtinId="8" hidden="1"/>
    <cellStyle name="Hyperlink" xfId="5982" builtinId="8" hidden="1"/>
    <cellStyle name="Hyperlink" xfId="5984" builtinId="8" hidden="1"/>
    <cellStyle name="Hyperlink" xfId="5986" builtinId="8" hidden="1"/>
    <cellStyle name="Hyperlink" xfId="5988" builtinId="8" hidden="1"/>
    <cellStyle name="Hyperlink" xfId="5990" builtinId="8" hidden="1"/>
    <cellStyle name="Hyperlink" xfId="5992" builtinId="8" hidden="1"/>
    <cellStyle name="Hyperlink" xfId="5994" builtinId="8" hidden="1"/>
    <cellStyle name="Hyperlink" xfId="5996" builtinId="8" hidden="1"/>
    <cellStyle name="Hyperlink" xfId="5998" builtinId="8" hidden="1"/>
    <cellStyle name="Hyperlink" xfId="6000" builtinId="8" hidden="1"/>
    <cellStyle name="Hyperlink" xfId="6002" builtinId="8" hidden="1"/>
    <cellStyle name="Hyperlink" xfId="6004" builtinId="8" hidden="1"/>
    <cellStyle name="Hyperlink" xfId="6006" builtinId="8" hidden="1"/>
    <cellStyle name="Hyperlink" xfId="6008" builtinId="8" hidden="1"/>
    <cellStyle name="Hyperlink" xfId="6010" builtinId="8" hidden="1"/>
    <cellStyle name="Hyperlink" xfId="6012" builtinId="8" hidden="1"/>
    <cellStyle name="Hyperlink" xfId="6014" builtinId="8" hidden="1"/>
    <cellStyle name="Hyperlink" xfId="6016" builtinId="8" hidden="1"/>
    <cellStyle name="Hyperlink" xfId="6018" builtinId="8" hidden="1"/>
    <cellStyle name="Hyperlink" xfId="6020" builtinId="8" hidden="1"/>
    <cellStyle name="Hyperlink" xfId="6022" builtinId="8" hidden="1"/>
    <cellStyle name="Hyperlink" xfId="6024" builtinId="8" hidden="1"/>
    <cellStyle name="Hyperlink" xfId="6026" builtinId="8" hidden="1"/>
    <cellStyle name="Hyperlink" xfId="6028" builtinId="8" hidden="1"/>
    <cellStyle name="Hyperlink" xfId="6030" builtinId="8" hidden="1"/>
    <cellStyle name="Hyperlink" xfId="6032" builtinId="8" hidden="1"/>
    <cellStyle name="Hyperlink" xfId="6034" builtinId="8" hidden="1"/>
    <cellStyle name="Hyperlink" xfId="6036" builtinId="8" hidden="1"/>
    <cellStyle name="Hyperlink" xfId="6038" builtinId="8" hidden="1"/>
    <cellStyle name="Hyperlink" xfId="6040" builtinId="8" hidden="1"/>
    <cellStyle name="Hyperlink" xfId="6042" builtinId="8" hidden="1"/>
    <cellStyle name="Hyperlink" xfId="6044" builtinId="8" hidden="1"/>
    <cellStyle name="Hyperlink" xfId="6046" builtinId="8" hidden="1"/>
    <cellStyle name="Hyperlink" xfId="6048" builtinId="8" hidden="1"/>
    <cellStyle name="Hyperlink" xfId="6050" builtinId="8" hidden="1"/>
    <cellStyle name="Hyperlink" xfId="6052" builtinId="8" hidden="1"/>
    <cellStyle name="Hyperlink" xfId="6054" builtinId="8" hidden="1"/>
    <cellStyle name="Hyperlink" xfId="6056" builtinId="8" hidden="1"/>
    <cellStyle name="Hyperlink" xfId="6058" builtinId="8" hidden="1"/>
    <cellStyle name="Hyperlink" xfId="6060" builtinId="8" hidden="1"/>
    <cellStyle name="Hyperlink" xfId="6062" builtinId="8" hidden="1"/>
    <cellStyle name="Hyperlink" xfId="6064" builtinId="8" hidden="1"/>
    <cellStyle name="Hyperlink" xfId="6066" builtinId="8" hidden="1"/>
    <cellStyle name="Hyperlink" xfId="6068" builtinId="8" hidden="1"/>
    <cellStyle name="Hyperlink" xfId="6070" builtinId="8" hidden="1"/>
    <cellStyle name="Hyperlink" xfId="6072" builtinId="8" hidden="1"/>
    <cellStyle name="Hyperlink" xfId="6074" builtinId="8" hidden="1"/>
    <cellStyle name="Hyperlink" xfId="6076" builtinId="8" hidden="1"/>
    <cellStyle name="Hyperlink" xfId="6078" builtinId="8" hidden="1"/>
    <cellStyle name="Hyperlink" xfId="6080" builtinId="8" hidden="1"/>
    <cellStyle name="Hyperlink" xfId="6082" builtinId="8" hidden="1"/>
    <cellStyle name="Hyperlink" xfId="6084" builtinId="8" hidden="1"/>
    <cellStyle name="Hyperlink" xfId="6086" builtinId="8" hidden="1"/>
    <cellStyle name="Hyperlink" xfId="6088" builtinId="8" hidden="1"/>
    <cellStyle name="Hyperlink" xfId="6090" builtinId="8" hidden="1"/>
    <cellStyle name="Hyperlink" xfId="6092" builtinId="8" hidden="1"/>
    <cellStyle name="Hyperlink" xfId="6094" builtinId="8" hidden="1"/>
    <cellStyle name="Hyperlink" xfId="6096" builtinId="8" hidden="1"/>
    <cellStyle name="Hyperlink" xfId="6098" builtinId="8" hidden="1"/>
    <cellStyle name="Hyperlink" xfId="6100" builtinId="8" hidden="1"/>
    <cellStyle name="Hyperlink" xfId="6102" builtinId="8" hidden="1"/>
    <cellStyle name="Hyperlink" xfId="6104" builtinId="8" hidden="1"/>
    <cellStyle name="Hyperlink" xfId="6106" builtinId="8" hidden="1"/>
    <cellStyle name="Hyperlink" xfId="6108" builtinId="8" hidden="1"/>
    <cellStyle name="Hyperlink" xfId="6110" builtinId="8" hidden="1"/>
    <cellStyle name="Hyperlink" xfId="6112" builtinId="8" hidden="1"/>
    <cellStyle name="Hyperlink" xfId="6114" builtinId="8" hidden="1"/>
    <cellStyle name="Hyperlink" xfId="6116" builtinId="8" hidden="1"/>
    <cellStyle name="Hyperlink" xfId="6118" builtinId="8" hidden="1"/>
    <cellStyle name="Hyperlink" xfId="6120" builtinId="8" hidden="1"/>
    <cellStyle name="Hyperlink" xfId="6122" builtinId="8" hidden="1"/>
    <cellStyle name="Hyperlink" xfId="6124" builtinId="8" hidden="1"/>
    <cellStyle name="Hyperlink" xfId="6126" builtinId="8" hidden="1"/>
    <cellStyle name="Hyperlink" xfId="6128" builtinId="8" hidden="1"/>
    <cellStyle name="Hyperlink" xfId="6130" builtinId="8" hidden="1"/>
    <cellStyle name="Hyperlink" xfId="6132" builtinId="8" hidden="1"/>
    <cellStyle name="Hyperlink" xfId="6134" builtinId="8" hidden="1"/>
    <cellStyle name="Hyperlink" xfId="6136" builtinId="8" hidden="1"/>
    <cellStyle name="Hyperlink" xfId="6138" builtinId="8" hidden="1"/>
    <cellStyle name="Hyperlink" xfId="6140" builtinId="8" hidden="1"/>
    <cellStyle name="Hyperlink" xfId="6142" builtinId="8" hidden="1"/>
    <cellStyle name="Hyperlink" xfId="6144" builtinId="8" hidden="1"/>
    <cellStyle name="Hyperlink" xfId="6146" builtinId="8" hidden="1"/>
    <cellStyle name="Hyperlink" xfId="6148" builtinId="8" hidden="1"/>
    <cellStyle name="Hyperlink" xfId="6150" builtinId="8" hidden="1"/>
    <cellStyle name="Hyperlink" xfId="6152" builtinId="8" hidden="1"/>
    <cellStyle name="Hyperlink" xfId="6154" builtinId="8" hidden="1"/>
    <cellStyle name="Hyperlink" xfId="6156" builtinId="8" hidden="1"/>
    <cellStyle name="Hyperlink" xfId="6158" builtinId="8" hidden="1"/>
    <cellStyle name="Hyperlink" xfId="6160" builtinId="8" hidden="1"/>
    <cellStyle name="Hyperlink" xfId="6162" builtinId="8" hidden="1"/>
    <cellStyle name="Hyperlink" xfId="6164" builtinId="8" hidden="1"/>
    <cellStyle name="Hyperlink" xfId="6166" builtinId="8" hidden="1"/>
    <cellStyle name="Hyperlink" xfId="6168" builtinId="8" hidden="1"/>
    <cellStyle name="Hyperlink" xfId="6170" builtinId="8" hidden="1"/>
    <cellStyle name="Hyperlink" xfId="6172" builtinId="8" hidden="1"/>
    <cellStyle name="Hyperlink" xfId="6174" builtinId="8" hidden="1"/>
    <cellStyle name="Hyperlink" xfId="6176" builtinId="8" hidden="1"/>
    <cellStyle name="Hyperlink" xfId="6178" builtinId="8" hidden="1"/>
    <cellStyle name="Hyperlink" xfId="6180" builtinId="8" hidden="1"/>
    <cellStyle name="Hyperlink" xfId="6182" builtinId="8" hidden="1"/>
    <cellStyle name="Hyperlink" xfId="6184" builtinId="8" hidden="1"/>
    <cellStyle name="Hyperlink" xfId="6186" builtinId="8" hidden="1"/>
    <cellStyle name="Hyperlink" xfId="6188" builtinId="8" hidden="1"/>
    <cellStyle name="Hyperlink" xfId="6190" builtinId="8" hidden="1"/>
    <cellStyle name="Hyperlink" xfId="6192" builtinId="8" hidden="1"/>
    <cellStyle name="Hyperlink" xfId="6194" builtinId="8" hidden="1"/>
    <cellStyle name="Hyperlink" xfId="6196" builtinId="8" hidden="1"/>
    <cellStyle name="Hyperlink" xfId="6198" builtinId="8" hidden="1"/>
    <cellStyle name="Hyperlink" xfId="6200" builtinId="8" hidden="1"/>
    <cellStyle name="Hyperlink" xfId="6202" builtinId="8" hidden="1"/>
    <cellStyle name="Hyperlink" xfId="6204" builtinId="8" hidden="1"/>
    <cellStyle name="Hyperlink" xfId="6206" builtinId="8" hidden="1"/>
    <cellStyle name="Hyperlink" xfId="6208" builtinId="8" hidden="1"/>
    <cellStyle name="Hyperlink" xfId="6210" builtinId="8" hidden="1"/>
    <cellStyle name="Hyperlink" xfId="6212" builtinId="8" hidden="1"/>
    <cellStyle name="Hyperlink" xfId="6214" builtinId="8" hidden="1"/>
    <cellStyle name="Hyperlink" xfId="6216" builtinId="8" hidden="1"/>
    <cellStyle name="Hyperlink" xfId="6218" builtinId="8" hidden="1"/>
    <cellStyle name="Hyperlink" xfId="6220" builtinId="8" hidden="1"/>
    <cellStyle name="Hyperlink" xfId="6222" builtinId="8" hidden="1"/>
    <cellStyle name="Hyperlink" xfId="6224" builtinId="8" hidden="1"/>
    <cellStyle name="Hyperlink" xfId="6226" builtinId="8" hidden="1"/>
    <cellStyle name="Hyperlink" xfId="6228" builtinId="8" hidden="1"/>
    <cellStyle name="Hyperlink" xfId="6230" builtinId="8" hidden="1"/>
    <cellStyle name="Hyperlink" xfId="6232" builtinId="8" hidden="1"/>
    <cellStyle name="Hyperlink" xfId="6234" builtinId="8" hidden="1"/>
    <cellStyle name="Hyperlink" xfId="6236" builtinId="8" hidden="1"/>
    <cellStyle name="Hyperlink" xfId="6238" builtinId="8" hidden="1"/>
    <cellStyle name="Hyperlink" xfId="6240" builtinId="8" hidden="1"/>
    <cellStyle name="Hyperlink" xfId="6242" builtinId="8" hidden="1"/>
    <cellStyle name="Hyperlink" xfId="6244" builtinId="8" hidden="1"/>
    <cellStyle name="Hyperlink" xfId="6246" builtinId="8" hidden="1"/>
    <cellStyle name="Hyperlink" xfId="6248" builtinId="8" hidden="1"/>
    <cellStyle name="Hyperlink" xfId="6250" builtinId="8" hidden="1"/>
    <cellStyle name="Hyperlink" xfId="6252" builtinId="8" hidden="1"/>
    <cellStyle name="Hyperlink" xfId="6254" builtinId="8" hidden="1"/>
    <cellStyle name="Hyperlink" xfId="6256" builtinId="8" hidden="1"/>
    <cellStyle name="Hyperlink" xfId="6258" builtinId="8" hidden="1"/>
    <cellStyle name="Hyperlink" xfId="6260" builtinId="8" hidden="1"/>
    <cellStyle name="Hyperlink" xfId="6262" builtinId="8" hidden="1"/>
    <cellStyle name="Hyperlink" xfId="6264" builtinId="8" hidden="1"/>
    <cellStyle name="Hyperlink" xfId="6266" builtinId="8" hidden="1"/>
    <cellStyle name="Hyperlink" xfId="6268" builtinId="8" hidden="1"/>
    <cellStyle name="Hyperlink" xfId="6270" builtinId="8" hidden="1"/>
    <cellStyle name="Hyperlink" xfId="6272" builtinId="8" hidden="1"/>
    <cellStyle name="Hyperlink" xfId="6274" builtinId="8" hidden="1"/>
    <cellStyle name="Hyperlink" xfId="6276" builtinId="8" hidden="1"/>
    <cellStyle name="Hyperlink" xfId="6278" builtinId="8" hidden="1"/>
    <cellStyle name="Hyperlink" xfId="6280" builtinId="8" hidden="1"/>
    <cellStyle name="Hyperlink" xfId="6282" builtinId="8" hidden="1"/>
    <cellStyle name="Hyperlink" xfId="6284" builtinId="8" hidden="1"/>
    <cellStyle name="Hyperlink" xfId="6286" builtinId="8" hidden="1"/>
    <cellStyle name="Hyperlink" xfId="6288" builtinId="8" hidden="1"/>
    <cellStyle name="Hyperlink" xfId="6290" builtinId="8" hidden="1"/>
    <cellStyle name="Hyperlink" xfId="6292" builtinId="8" hidden="1"/>
    <cellStyle name="Hyperlink" xfId="6294" builtinId="8" hidden="1"/>
    <cellStyle name="Hyperlink" xfId="6296" builtinId="8" hidden="1"/>
    <cellStyle name="Hyperlink" xfId="6298" builtinId="8" hidden="1"/>
    <cellStyle name="Hyperlink" xfId="6300" builtinId="8" hidden="1"/>
    <cellStyle name="Hyperlink" xfId="6302" builtinId="8" hidden="1"/>
    <cellStyle name="Hyperlink" xfId="6304" builtinId="8" hidden="1"/>
    <cellStyle name="Hyperlink" xfId="6306" builtinId="8" hidden="1"/>
    <cellStyle name="Hyperlink" xfId="6308" builtinId="8" hidden="1"/>
    <cellStyle name="Hyperlink" xfId="6310" builtinId="8" hidden="1"/>
    <cellStyle name="Hyperlink" xfId="6312" builtinId="8" hidden="1"/>
    <cellStyle name="Hyperlink" xfId="6314" builtinId="8" hidden="1"/>
    <cellStyle name="Hyperlink" xfId="6316" builtinId="8" hidden="1"/>
    <cellStyle name="Hyperlink" xfId="6318" builtinId="8" hidden="1"/>
    <cellStyle name="Hyperlink" xfId="6320" builtinId="8" hidden="1"/>
    <cellStyle name="Hyperlink" xfId="6322" builtinId="8" hidden="1"/>
    <cellStyle name="Hyperlink" xfId="6324" builtinId="8" hidden="1"/>
    <cellStyle name="Hyperlink" xfId="6326" builtinId="8" hidden="1"/>
    <cellStyle name="Hyperlink" xfId="6328" builtinId="8" hidden="1"/>
    <cellStyle name="Hyperlink" xfId="6330" builtinId="8" hidden="1"/>
    <cellStyle name="Hyperlink" xfId="6332" builtinId="8" hidden="1"/>
    <cellStyle name="Hyperlink" xfId="6334" builtinId="8" hidden="1"/>
    <cellStyle name="Hyperlink" xfId="6336" builtinId="8" hidden="1"/>
    <cellStyle name="Hyperlink" xfId="6338" builtinId="8" hidden="1"/>
    <cellStyle name="Hyperlink" xfId="6340" builtinId="8" hidden="1"/>
    <cellStyle name="Hyperlink" xfId="6342" builtinId="8" hidden="1"/>
    <cellStyle name="Hyperlink" xfId="6344" builtinId="8" hidden="1"/>
    <cellStyle name="Hyperlink" xfId="6346" builtinId="8" hidden="1"/>
    <cellStyle name="Hyperlink" xfId="6348" builtinId="8" hidden="1"/>
    <cellStyle name="Hyperlink" xfId="6350" builtinId="8" hidden="1"/>
    <cellStyle name="Hyperlink" xfId="6352" builtinId="8" hidden="1"/>
    <cellStyle name="Hyperlink" xfId="6354" builtinId="8" hidden="1"/>
    <cellStyle name="Hyperlink" xfId="6356" builtinId="8" hidden="1"/>
    <cellStyle name="Hyperlink" xfId="6358" builtinId="8" hidden="1"/>
    <cellStyle name="Hyperlink" xfId="6360" builtinId="8" hidden="1"/>
    <cellStyle name="Hyperlink" xfId="6362" builtinId="8" hidden="1"/>
    <cellStyle name="Hyperlink" xfId="6364" builtinId="8" hidden="1"/>
    <cellStyle name="Hyperlink" xfId="6366" builtinId="8" hidden="1"/>
    <cellStyle name="Hyperlink" xfId="6368" builtinId="8" hidden="1"/>
    <cellStyle name="Hyperlink" xfId="6370" builtinId="8" hidden="1"/>
    <cellStyle name="Hyperlink" xfId="6372" builtinId="8" hidden="1"/>
    <cellStyle name="Hyperlink" xfId="6374" builtinId="8" hidden="1"/>
    <cellStyle name="Hyperlink" xfId="6376" builtinId="8" hidden="1"/>
    <cellStyle name="Hyperlink" xfId="6378" builtinId="8" hidden="1"/>
    <cellStyle name="Hyperlink" xfId="6380" builtinId="8" hidden="1"/>
    <cellStyle name="Hyperlink" xfId="6382" builtinId="8" hidden="1"/>
    <cellStyle name="Hyperlink" xfId="6384" builtinId="8" hidden="1"/>
    <cellStyle name="Hyperlink" xfId="6386" builtinId="8" hidden="1"/>
    <cellStyle name="Hyperlink" xfId="6388" builtinId="8" hidden="1"/>
    <cellStyle name="Hyperlink" xfId="6390" builtinId="8" hidden="1"/>
    <cellStyle name="Hyperlink" xfId="6392" builtinId="8" hidden="1"/>
    <cellStyle name="Hyperlink" xfId="6394" builtinId="8" hidden="1"/>
    <cellStyle name="Hyperlink" xfId="6396" builtinId="8" hidden="1"/>
    <cellStyle name="Hyperlink" xfId="6398" builtinId="8" hidden="1"/>
    <cellStyle name="Hyperlink" xfId="6400" builtinId="8" hidden="1"/>
    <cellStyle name="Hyperlink" xfId="6402" builtinId="8" hidden="1"/>
    <cellStyle name="Hyperlink" xfId="6404" builtinId="8" hidden="1"/>
    <cellStyle name="Hyperlink" xfId="6406" builtinId="8" hidden="1"/>
    <cellStyle name="Hyperlink" xfId="6408" builtinId="8" hidden="1"/>
    <cellStyle name="Hyperlink" xfId="6410" builtinId="8" hidden="1"/>
    <cellStyle name="Hyperlink" xfId="6412" builtinId="8" hidden="1"/>
    <cellStyle name="Hyperlink" xfId="6414" builtinId="8" hidden="1"/>
    <cellStyle name="Hyperlink" xfId="6416" builtinId="8" hidden="1"/>
    <cellStyle name="Hyperlink" xfId="6418" builtinId="8" hidden="1"/>
    <cellStyle name="Hyperlink" xfId="6420" builtinId="8" hidden="1"/>
    <cellStyle name="Hyperlink" xfId="6422" builtinId="8" hidden="1"/>
    <cellStyle name="Hyperlink" xfId="6424" builtinId="8" hidden="1"/>
    <cellStyle name="Hyperlink" xfId="6426" builtinId="8" hidden="1"/>
    <cellStyle name="Hyperlink" xfId="6428" builtinId="8" hidden="1"/>
    <cellStyle name="Hyperlink" xfId="6430" builtinId="8" hidden="1"/>
    <cellStyle name="Hyperlink" xfId="6432" builtinId="8" hidden="1"/>
    <cellStyle name="Hyperlink" xfId="6434" builtinId="8" hidden="1"/>
    <cellStyle name="Hyperlink" xfId="6436" builtinId="8" hidden="1"/>
    <cellStyle name="Hyperlink" xfId="6438" builtinId="8" hidden="1"/>
    <cellStyle name="Hyperlink" xfId="6440" builtinId="8" hidden="1"/>
    <cellStyle name="Hyperlink" xfId="6442" builtinId="8" hidden="1"/>
    <cellStyle name="Hyperlink" xfId="6444" builtinId="8" hidden="1"/>
    <cellStyle name="Hyperlink" xfId="6446" builtinId="8" hidden="1"/>
    <cellStyle name="Hyperlink" xfId="6448" builtinId="8" hidden="1"/>
    <cellStyle name="Hyperlink" xfId="6450" builtinId="8" hidden="1"/>
    <cellStyle name="Hyperlink" xfId="6452" builtinId="8" hidden="1"/>
    <cellStyle name="Hyperlink" xfId="6454" builtinId="8" hidden="1"/>
    <cellStyle name="Hyperlink" xfId="6456" builtinId="8" hidden="1"/>
    <cellStyle name="Hyperlink" xfId="6458" builtinId="8" hidden="1"/>
    <cellStyle name="Hyperlink" xfId="6460" builtinId="8" hidden="1"/>
    <cellStyle name="Hyperlink" xfId="6462" builtinId="8" hidden="1"/>
    <cellStyle name="Hyperlink" xfId="6464" builtinId="8" hidden="1"/>
    <cellStyle name="Hyperlink" xfId="6466" builtinId="8" hidden="1"/>
    <cellStyle name="Hyperlink" xfId="6468" builtinId="8" hidden="1"/>
    <cellStyle name="Hyperlink" xfId="6470" builtinId="8" hidden="1"/>
    <cellStyle name="Hyperlink" xfId="6472" builtinId="8" hidden="1"/>
    <cellStyle name="Hyperlink" xfId="6474" builtinId="8" hidden="1"/>
    <cellStyle name="Hyperlink" xfId="6476" builtinId="8" hidden="1"/>
    <cellStyle name="Hyperlink" xfId="6478" builtinId="8" hidden="1"/>
    <cellStyle name="Hyperlink" xfId="6480" builtinId="8" hidden="1"/>
    <cellStyle name="Hyperlink" xfId="6482" builtinId="8" hidden="1"/>
    <cellStyle name="Hyperlink" xfId="6484" builtinId="8" hidden="1"/>
    <cellStyle name="Hyperlink" xfId="6486" builtinId="8" hidden="1"/>
    <cellStyle name="Hyperlink" xfId="6488" builtinId="8" hidden="1"/>
    <cellStyle name="Hyperlink" xfId="6490" builtinId="8" hidden="1"/>
    <cellStyle name="Hyperlink" xfId="6492" builtinId="8" hidden="1"/>
    <cellStyle name="Hyperlink" xfId="6494" builtinId="8" hidden="1"/>
    <cellStyle name="Hyperlink" xfId="6496" builtinId="8" hidden="1"/>
    <cellStyle name="Hyperlink" xfId="6498" builtinId="8" hidden="1"/>
    <cellStyle name="Hyperlink" xfId="6500" builtinId="8" hidden="1"/>
    <cellStyle name="Hyperlink" xfId="6502" builtinId="8" hidden="1"/>
    <cellStyle name="Hyperlink" xfId="6504" builtinId="8" hidden="1"/>
    <cellStyle name="Hyperlink" xfId="6506" builtinId="8" hidden="1"/>
    <cellStyle name="Hyperlink" xfId="6508" builtinId="8" hidden="1"/>
    <cellStyle name="Hyperlink" xfId="6510" builtinId="8" hidden="1"/>
    <cellStyle name="Hyperlink" xfId="6512" builtinId="8" hidden="1"/>
    <cellStyle name="Hyperlink" xfId="6514" builtinId="8" hidden="1"/>
    <cellStyle name="Hyperlink" xfId="6516" builtinId="8" hidden="1"/>
    <cellStyle name="Hyperlink" xfId="6518" builtinId="8" hidden="1"/>
    <cellStyle name="Hyperlink" xfId="6520" builtinId="8" hidden="1"/>
    <cellStyle name="Hyperlink" xfId="6522" builtinId="8" hidden="1"/>
    <cellStyle name="Hyperlink" xfId="6524" builtinId="8" hidden="1"/>
    <cellStyle name="Hyperlink" xfId="6526" builtinId="8" hidden="1"/>
    <cellStyle name="Hyperlink" xfId="6528" builtinId="8" hidden="1"/>
    <cellStyle name="Hyperlink" xfId="6530" builtinId="8" hidden="1"/>
    <cellStyle name="Hyperlink" xfId="6532" builtinId="8" hidden="1"/>
    <cellStyle name="Hyperlink" xfId="6534" builtinId="8" hidden="1"/>
    <cellStyle name="Hyperlink" xfId="6536" builtinId="8" hidden="1"/>
    <cellStyle name="Hyperlink" xfId="6538" builtinId="8" hidden="1"/>
    <cellStyle name="Hyperlink" xfId="6540" builtinId="8" hidden="1"/>
    <cellStyle name="Hyperlink" xfId="6542" builtinId="8" hidden="1"/>
    <cellStyle name="Hyperlink" xfId="6544" builtinId="8" hidden="1"/>
    <cellStyle name="Hyperlink" xfId="6546" builtinId="8" hidden="1"/>
    <cellStyle name="Hyperlink" xfId="6548" builtinId="8" hidden="1"/>
    <cellStyle name="Hyperlink" xfId="6550" builtinId="8" hidden="1"/>
    <cellStyle name="Hyperlink" xfId="6552" builtinId="8" hidden="1"/>
    <cellStyle name="Hyperlink" xfId="6554" builtinId="8" hidden="1"/>
    <cellStyle name="Hyperlink" xfId="6556" builtinId="8" hidden="1"/>
    <cellStyle name="Hyperlink" xfId="6558" builtinId="8" hidden="1"/>
    <cellStyle name="Hyperlink" xfId="6560" builtinId="8" hidden="1"/>
    <cellStyle name="Hyperlink" xfId="6562" builtinId="8" hidden="1"/>
    <cellStyle name="Hyperlink" xfId="6564" builtinId="8" hidden="1"/>
    <cellStyle name="Hyperlink" xfId="6566" builtinId="8" hidden="1"/>
    <cellStyle name="Hyperlink" xfId="6568" builtinId="8" hidden="1"/>
    <cellStyle name="Hyperlink" xfId="6570" builtinId="8" hidden="1"/>
    <cellStyle name="Hyperlink" xfId="6572" builtinId="8" hidden="1"/>
    <cellStyle name="Hyperlink" xfId="6574" builtinId="8" hidden="1"/>
    <cellStyle name="Hyperlink" xfId="6576" builtinId="8" hidden="1"/>
    <cellStyle name="Hyperlink" xfId="6578" builtinId="8" hidden="1"/>
    <cellStyle name="Hyperlink" xfId="6580" builtinId="8" hidden="1"/>
    <cellStyle name="Hyperlink" xfId="6582" builtinId="8" hidden="1"/>
    <cellStyle name="Hyperlink" xfId="6584" builtinId="8" hidden="1"/>
    <cellStyle name="Hyperlink" xfId="6586" builtinId="8" hidden="1"/>
    <cellStyle name="Hyperlink" xfId="6588" builtinId="8" hidden="1"/>
    <cellStyle name="Hyperlink" xfId="6590" builtinId="8" hidden="1"/>
    <cellStyle name="Hyperlink" xfId="6592" builtinId="8" hidden="1"/>
    <cellStyle name="Hyperlink" xfId="6594" builtinId="8" hidden="1"/>
    <cellStyle name="Hyperlink" xfId="6596" builtinId="8" hidden="1"/>
    <cellStyle name="Hyperlink" xfId="6598" builtinId="8" hidden="1"/>
    <cellStyle name="Hyperlink" xfId="6600" builtinId="8" hidden="1"/>
    <cellStyle name="Hyperlink" xfId="6602" builtinId="8" hidden="1"/>
    <cellStyle name="Hyperlink" xfId="6604" builtinId="8" hidden="1"/>
    <cellStyle name="Hyperlink" xfId="6606" builtinId="8" hidden="1"/>
    <cellStyle name="Hyperlink" xfId="6608" builtinId="8" hidden="1"/>
    <cellStyle name="Hyperlink" xfId="6610" builtinId="8" hidden="1"/>
    <cellStyle name="Hyperlink" xfId="6612" builtinId="8" hidden="1"/>
    <cellStyle name="Hyperlink" xfId="6614" builtinId="8" hidden="1"/>
    <cellStyle name="Hyperlink" xfId="6616" builtinId="8" hidden="1"/>
    <cellStyle name="Hyperlink" xfId="6618" builtinId="8" hidden="1"/>
    <cellStyle name="Hyperlink" xfId="6620" builtinId="8" hidden="1"/>
    <cellStyle name="Hyperlink" xfId="6622" builtinId="8" hidden="1"/>
    <cellStyle name="Hyperlink" xfId="6624" builtinId="8" hidden="1"/>
    <cellStyle name="Hyperlink" xfId="6626" builtinId="8" hidden="1"/>
    <cellStyle name="Hyperlink" xfId="6628" builtinId="8" hidden="1"/>
    <cellStyle name="Hyperlink" xfId="6630" builtinId="8" hidden="1"/>
    <cellStyle name="Hyperlink" xfId="6632" builtinId="8" hidden="1"/>
    <cellStyle name="Hyperlink" xfId="6634" builtinId="8" hidden="1"/>
    <cellStyle name="Hyperlink" xfId="6636" builtinId="8" hidden="1"/>
    <cellStyle name="Hyperlink" xfId="6638" builtinId="8" hidden="1"/>
    <cellStyle name="Hyperlink" xfId="6640" builtinId="8" hidden="1"/>
    <cellStyle name="Hyperlink" xfId="6642" builtinId="8" hidden="1"/>
    <cellStyle name="Hyperlink" xfId="6644" builtinId="8" hidden="1"/>
    <cellStyle name="Hyperlink" xfId="6646" builtinId="8" hidden="1"/>
    <cellStyle name="Hyperlink" xfId="6648" builtinId="8" hidden="1"/>
    <cellStyle name="Hyperlink" xfId="6650" builtinId="8" hidden="1"/>
    <cellStyle name="Hyperlink" xfId="6652" builtinId="8" hidden="1"/>
    <cellStyle name="Hyperlink" xfId="6654" builtinId="8" hidden="1"/>
    <cellStyle name="Hyperlink" xfId="6656" builtinId="8" hidden="1"/>
    <cellStyle name="Hyperlink" xfId="6658" builtinId="8" hidden="1"/>
    <cellStyle name="Hyperlink" xfId="6660" builtinId="8" hidden="1"/>
    <cellStyle name="Hyperlink" xfId="6662" builtinId="8" hidden="1"/>
    <cellStyle name="Hyperlink" xfId="6664" builtinId="8" hidden="1"/>
    <cellStyle name="Hyperlink" xfId="6666" builtinId="8" hidden="1"/>
    <cellStyle name="Hyperlink" xfId="6668" builtinId="8" hidden="1"/>
    <cellStyle name="Hyperlink" xfId="6670" builtinId="8" hidden="1"/>
    <cellStyle name="Hyperlink" xfId="6672" builtinId="8" hidden="1"/>
    <cellStyle name="Hyperlink" xfId="6674" builtinId="8" hidden="1"/>
    <cellStyle name="Hyperlink" xfId="6676" builtinId="8" hidden="1"/>
    <cellStyle name="Hyperlink" xfId="6678" builtinId="8" hidden="1"/>
    <cellStyle name="Hyperlink" xfId="6680" builtinId="8" hidden="1"/>
    <cellStyle name="Hyperlink" xfId="6682" builtinId="8" hidden="1"/>
    <cellStyle name="Hyperlink" xfId="6684" builtinId="8" hidden="1"/>
    <cellStyle name="Hyperlink" xfId="6686" builtinId="8" hidden="1"/>
    <cellStyle name="Hyperlink" xfId="6688" builtinId="8" hidden="1"/>
    <cellStyle name="Hyperlink" xfId="6690" builtinId="8" hidden="1"/>
    <cellStyle name="Hyperlink" xfId="6692" builtinId="8" hidden="1"/>
    <cellStyle name="Hyperlink" xfId="6694" builtinId="8" hidden="1"/>
    <cellStyle name="Hyperlink" xfId="6696" builtinId="8" hidden="1"/>
    <cellStyle name="Hyperlink" xfId="6698" builtinId="8" hidden="1"/>
    <cellStyle name="Hyperlink" xfId="6700" builtinId="8" hidden="1"/>
    <cellStyle name="Hyperlink" xfId="6702" builtinId="8" hidden="1"/>
    <cellStyle name="Hyperlink" xfId="6704" builtinId="8" hidden="1"/>
    <cellStyle name="Hyperlink" xfId="6706" builtinId="8" hidden="1"/>
    <cellStyle name="Hyperlink" xfId="6708" builtinId="8" hidden="1"/>
    <cellStyle name="Hyperlink" xfId="6710" builtinId="8" hidden="1"/>
    <cellStyle name="Hyperlink" xfId="6712" builtinId="8" hidden="1"/>
    <cellStyle name="Hyperlink" xfId="6714" builtinId="8" hidden="1"/>
    <cellStyle name="Hyperlink" xfId="6716" builtinId="8" hidden="1"/>
    <cellStyle name="Hyperlink" xfId="6718" builtinId="8" hidden="1"/>
    <cellStyle name="Hyperlink" xfId="6720" builtinId="8" hidden="1"/>
    <cellStyle name="Hyperlink" xfId="6722" builtinId="8" hidden="1"/>
    <cellStyle name="Hyperlink" xfId="6724" builtinId="8" hidden="1"/>
    <cellStyle name="Hyperlink" xfId="6726" builtinId="8" hidden="1"/>
    <cellStyle name="Hyperlink" xfId="6728" builtinId="8" hidden="1"/>
    <cellStyle name="Hyperlink" xfId="6730" builtinId="8" hidden="1"/>
    <cellStyle name="Hyperlink" xfId="6732" builtinId="8" hidden="1"/>
    <cellStyle name="Hyperlink" xfId="6734" builtinId="8" hidden="1"/>
    <cellStyle name="Hyperlink" xfId="6736" builtinId="8" hidden="1"/>
    <cellStyle name="Hyperlink" xfId="6738" builtinId="8" hidden="1"/>
    <cellStyle name="Hyperlink" xfId="6740" builtinId="8" hidden="1"/>
    <cellStyle name="Hyperlink" xfId="6742" builtinId="8" hidden="1"/>
    <cellStyle name="Hyperlink" xfId="6744" builtinId="8" hidden="1"/>
    <cellStyle name="Hyperlink" xfId="6746" builtinId="8" hidden="1"/>
    <cellStyle name="Hyperlink" xfId="6748" builtinId="8" hidden="1"/>
    <cellStyle name="Hyperlink" xfId="6750" builtinId="8" hidden="1"/>
    <cellStyle name="Hyperlink" xfId="6752" builtinId="8" hidden="1"/>
    <cellStyle name="Hyperlink" xfId="6754" builtinId="8" hidden="1"/>
    <cellStyle name="Hyperlink" xfId="6756" builtinId="8" hidden="1"/>
    <cellStyle name="Hyperlink" xfId="6758" builtinId="8" hidden="1"/>
    <cellStyle name="Hyperlink" xfId="6760" builtinId="8" hidden="1"/>
    <cellStyle name="Hyperlink" xfId="6762" builtinId="8" hidden="1"/>
    <cellStyle name="Hyperlink" xfId="6764" builtinId="8" hidden="1"/>
    <cellStyle name="Hyperlink" xfId="6766" builtinId="8" hidden="1"/>
    <cellStyle name="Hyperlink" xfId="6768" builtinId="8" hidden="1"/>
    <cellStyle name="Hyperlink" xfId="6770" builtinId="8" hidden="1"/>
    <cellStyle name="Hyperlink" xfId="6772" builtinId="8" hidden="1"/>
    <cellStyle name="Hyperlink" xfId="6774" builtinId="8" hidden="1"/>
    <cellStyle name="Hyperlink" xfId="6776" builtinId="8" hidden="1"/>
    <cellStyle name="Hyperlink" xfId="6778" builtinId="8" hidden="1"/>
    <cellStyle name="Hyperlink" xfId="6780" builtinId="8" hidden="1"/>
    <cellStyle name="Hyperlink" xfId="6782" builtinId="8" hidden="1"/>
    <cellStyle name="Hyperlink" xfId="6784" builtinId="8" hidden="1"/>
    <cellStyle name="Hyperlink" xfId="6786" builtinId="8" hidden="1"/>
    <cellStyle name="Hyperlink" xfId="6788" builtinId="8" hidden="1"/>
    <cellStyle name="Hyperlink" xfId="6790" builtinId="8" hidden="1"/>
    <cellStyle name="Hyperlink" xfId="6792" builtinId="8" hidden="1"/>
    <cellStyle name="Hyperlink" xfId="6794" builtinId="8" hidden="1"/>
    <cellStyle name="Hyperlink" xfId="6796" builtinId="8" hidden="1"/>
    <cellStyle name="Hyperlink" xfId="6798" builtinId="8" hidden="1"/>
    <cellStyle name="Hyperlink" xfId="6800" builtinId="8" hidden="1"/>
    <cellStyle name="Hyperlink" xfId="6802" builtinId="8" hidden="1"/>
    <cellStyle name="Hyperlink" xfId="6804" builtinId="8" hidden="1"/>
    <cellStyle name="Hyperlink" xfId="6806" builtinId="8" hidden="1"/>
    <cellStyle name="Hyperlink" xfId="6808" builtinId="8" hidden="1"/>
    <cellStyle name="Hyperlink" xfId="6810" builtinId="8" hidden="1"/>
    <cellStyle name="Hyperlink" xfId="6812" builtinId="8" hidden="1"/>
    <cellStyle name="Hyperlink" xfId="6814" builtinId="8" hidden="1"/>
    <cellStyle name="Hyperlink" xfId="6816" builtinId="8" hidden="1"/>
    <cellStyle name="Hyperlink" xfId="6818" builtinId="8" hidden="1"/>
    <cellStyle name="Hyperlink" xfId="6820" builtinId="8" hidden="1"/>
    <cellStyle name="Hyperlink" xfId="6822" builtinId="8" hidden="1"/>
    <cellStyle name="Hyperlink" xfId="6824" builtinId="8" hidden="1"/>
    <cellStyle name="Hyperlink" xfId="6826" builtinId="8" hidden="1"/>
    <cellStyle name="Hyperlink" xfId="6828" builtinId="8" hidden="1"/>
    <cellStyle name="Hyperlink" xfId="6830" builtinId="8" hidden="1"/>
    <cellStyle name="Hyperlink" xfId="6832" builtinId="8" hidden="1"/>
    <cellStyle name="Hyperlink" xfId="6834" builtinId="8" hidden="1"/>
    <cellStyle name="Hyperlink" xfId="6836" builtinId="8" hidden="1"/>
    <cellStyle name="Hyperlink" xfId="6838" builtinId="8" hidden="1"/>
    <cellStyle name="Hyperlink" xfId="6840" builtinId="8" hidden="1"/>
    <cellStyle name="Hyperlink" xfId="6842" builtinId="8" hidden="1"/>
    <cellStyle name="Hyperlink" xfId="6844" builtinId="8" hidden="1"/>
    <cellStyle name="Hyperlink" xfId="6846" builtinId="8" hidden="1"/>
    <cellStyle name="Hyperlink" xfId="6848" builtinId="8" hidden="1"/>
    <cellStyle name="Hyperlink" xfId="6850" builtinId="8" hidden="1"/>
    <cellStyle name="Hyperlink" xfId="6852" builtinId="8" hidden="1"/>
    <cellStyle name="Hyperlink" xfId="6854" builtinId="8" hidden="1"/>
    <cellStyle name="Hyperlink" xfId="6856" builtinId="8" hidden="1"/>
    <cellStyle name="Hyperlink" xfId="6858" builtinId="8" hidden="1"/>
    <cellStyle name="Hyperlink" xfId="6860" builtinId="8" hidden="1"/>
    <cellStyle name="Hyperlink" xfId="6862" builtinId="8" hidden="1"/>
    <cellStyle name="Hyperlink" xfId="6864" builtinId="8" hidden="1"/>
    <cellStyle name="Hyperlink" xfId="6866" builtinId="8" hidden="1"/>
    <cellStyle name="Hyperlink" xfId="6868" builtinId="8" hidden="1"/>
    <cellStyle name="Hyperlink" xfId="6870" builtinId="8" hidden="1"/>
    <cellStyle name="Hyperlink" xfId="6872" builtinId="8" hidden="1"/>
    <cellStyle name="Hyperlink" xfId="6874" builtinId="8" hidden="1"/>
    <cellStyle name="Hyperlink" xfId="6876" builtinId="8" hidden="1"/>
    <cellStyle name="Hyperlink" xfId="6878" builtinId="8" hidden="1"/>
    <cellStyle name="Hyperlink" xfId="6880" builtinId="8" hidden="1"/>
    <cellStyle name="Hyperlink" xfId="6882" builtinId="8" hidden="1"/>
    <cellStyle name="Hyperlink" xfId="6884" builtinId="8" hidden="1"/>
    <cellStyle name="Hyperlink" xfId="6886" builtinId="8" hidden="1"/>
    <cellStyle name="Hyperlink" xfId="6888" builtinId="8" hidden="1"/>
    <cellStyle name="Hyperlink" xfId="6890" builtinId="8" hidden="1"/>
    <cellStyle name="Hyperlink" xfId="6892" builtinId="8" hidden="1"/>
    <cellStyle name="Hyperlink" xfId="6894" builtinId="8" hidden="1"/>
    <cellStyle name="Hyperlink" xfId="6896" builtinId="8" hidden="1"/>
    <cellStyle name="Hyperlink" xfId="6898" builtinId="8" hidden="1"/>
    <cellStyle name="Hyperlink" xfId="6900" builtinId="8" hidden="1"/>
    <cellStyle name="Hyperlink" xfId="6902" builtinId="8" hidden="1"/>
    <cellStyle name="Hyperlink" xfId="6904" builtinId="8" hidden="1"/>
    <cellStyle name="Hyperlink" xfId="6906" builtinId="8" hidden="1"/>
    <cellStyle name="Hyperlink" xfId="6908" builtinId="8" hidden="1"/>
    <cellStyle name="Hyperlink" xfId="6910" builtinId="8" hidden="1"/>
    <cellStyle name="Hyperlink" xfId="6912" builtinId="8" hidden="1"/>
    <cellStyle name="Hyperlink" xfId="6914" builtinId="8" hidden="1"/>
    <cellStyle name="Hyperlink" xfId="6916" builtinId="8" hidden="1"/>
    <cellStyle name="Hyperlink" xfId="6918" builtinId="8" hidden="1"/>
    <cellStyle name="Hyperlink" xfId="6920" builtinId="8" hidden="1"/>
    <cellStyle name="Hyperlink" xfId="6922" builtinId="8" hidden="1"/>
    <cellStyle name="Hyperlink" xfId="6924" builtinId="8" hidden="1"/>
    <cellStyle name="Hyperlink" xfId="6926" builtinId="8" hidden="1"/>
    <cellStyle name="Hyperlink" xfId="6928" builtinId="8" hidden="1"/>
    <cellStyle name="Hyperlink" xfId="6930" builtinId="8" hidden="1"/>
    <cellStyle name="Hyperlink" xfId="6932" builtinId="8" hidden="1"/>
    <cellStyle name="Hyperlink" xfId="6934" builtinId="8" hidden="1"/>
    <cellStyle name="Hyperlink" xfId="6936" builtinId="8" hidden="1"/>
    <cellStyle name="Hyperlink" xfId="6938" builtinId="8" hidden="1"/>
    <cellStyle name="Hyperlink" xfId="6940" builtinId="8" hidden="1"/>
    <cellStyle name="Hyperlink" xfId="6942" builtinId="8" hidden="1"/>
    <cellStyle name="Hyperlink" xfId="6944" builtinId="8" hidden="1"/>
    <cellStyle name="Hyperlink" xfId="6946" builtinId="8" hidden="1"/>
    <cellStyle name="Hyperlink" xfId="6948" builtinId="8" hidden="1"/>
    <cellStyle name="Hyperlink" xfId="6950" builtinId="8" hidden="1"/>
    <cellStyle name="Hyperlink" xfId="6952" builtinId="8" hidden="1"/>
    <cellStyle name="Hyperlink" xfId="6954" builtinId="8" hidden="1"/>
    <cellStyle name="Hyperlink" xfId="6956" builtinId="8" hidden="1"/>
    <cellStyle name="Hyperlink" xfId="6958" builtinId="8" hidden="1"/>
    <cellStyle name="Hyperlink" xfId="6960" builtinId="8" hidden="1"/>
    <cellStyle name="Hyperlink" xfId="6962" builtinId="8" hidden="1"/>
    <cellStyle name="Hyperlink" xfId="6964" builtinId="8" hidden="1"/>
    <cellStyle name="Hyperlink" xfId="6966" builtinId="8" hidden="1"/>
    <cellStyle name="Hyperlink" xfId="6968" builtinId="8" hidden="1"/>
    <cellStyle name="Hyperlink" xfId="6970" builtinId="8" hidden="1"/>
    <cellStyle name="Hyperlink" xfId="6972" builtinId="8" hidden="1"/>
    <cellStyle name="Hyperlink" xfId="6974" builtinId="8" hidden="1"/>
    <cellStyle name="Hyperlink" xfId="6976" builtinId="8" hidden="1"/>
    <cellStyle name="Hyperlink" xfId="6978" builtinId="8" hidden="1"/>
    <cellStyle name="Hyperlink" xfId="6980" builtinId="8" hidden="1"/>
    <cellStyle name="Hyperlink" xfId="6982" builtinId="8" hidden="1"/>
    <cellStyle name="Hyperlink" xfId="6984" builtinId="8" hidden="1"/>
    <cellStyle name="Hyperlink" xfId="6986" builtinId="8" hidden="1"/>
    <cellStyle name="Hyperlink" xfId="6988" builtinId="8" hidden="1"/>
    <cellStyle name="Hyperlink" xfId="6990" builtinId="8" hidden="1"/>
    <cellStyle name="Hyperlink" xfId="6992" builtinId="8" hidden="1"/>
    <cellStyle name="Hyperlink" xfId="6994" builtinId="8" hidden="1"/>
    <cellStyle name="Hyperlink" xfId="6996" builtinId="8" hidden="1"/>
    <cellStyle name="Hyperlink" xfId="6998" builtinId="8" hidden="1"/>
    <cellStyle name="Hyperlink" xfId="7000" builtinId="8" hidden="1"/>
    <cellStyle name="Hyperlink" xfId="7002" builtinId="8" hidden="1"/>
    <cellStyle name="Hyperlink" xfId="7004" builtinId="8" hidden="1"/>
    <cellStyle name="Hyperlink" xfId="7006" builtinId="8" hidden="1"/>
    <cellStyle name="Hyperlink" xfId="7008" builtinId="8" hidden="1"/>
    <cellStyle name="Hyperlink" xfId="7010" builtinId="8" hidden="1"/>
    <cellStyle name="Hyperlink" xfId="7012" builtinId="8" hidden="1"/>
    <cellStyle name="Hyperlink" xfId="7014" builtinId="8" hidden="1"/>
    <cellStyle name="Hyperlink" xfId="7016" builtinId="8" hidden="1"/>
    <cellStyle name="Hyperlink" xfId="7018" builtinId="8" hidden="1"/>
    <cellStyle name="Hyperlink" xfId="7020" builtinId="8" hidden="1"/>
    <cellStyle name="Hyperlink" xfId="7022" builtinId="8" hidden="1"/>
    <cellStyle name="Hyperlink" xfId="7024" builtinId="8" hidden="1"/>
    <cellStyle name="Hyperlink" xfId="7026" builtinId="8" hidden="1"/>
    <cellStyle name="Hyperlink" xfId="7028" builtinId="8" hidden="1"/>
    <cellStyle name="Hyperlink" xfId="7030" builtinId="8" hidden="1"/>
    <cellStyle name="Hyperlink" xfId="7032" builtinId="8" hidden="1"/>
    <cellStyle name="Hyperlink" xfId="7034" builtinId="8" hidden="1"/>
    <cellStyle name="Hyperlink" xfId="7036" builtinId="8" hidden="1"/>
    <cellStyle name="Hyperlink" xfId="7038" builtinId="8" hidden="1"/>
    <cellStyle name="Hyperlink" xfId="7040" builtinId="8" hidden="1"/>
    <cellStyle name="Hyperlink" xfId="7042" builtinId="8" hidden="1"/>
    <cellStyle name="Hyperlink" xfId="7044" builtinId="8" hidden="1"/>
    <cellStyle name="Hyperlink" xfId="7046" builtinId="8" hidden="1"/>
    <cellStyle name="Hyperlink" xfId="7048" builtinId="8" hidden="1"/>
    <cellStyle name="Hyperlink" xfId="7050" builtinId="8" hidden="1"/>
    <cellStyle name="Hyperlink" xfId="7052" builtinId="8" hidden="1"/>
    <cellStyle name="Hyperlink" xfId="7054" builtinId="8" hidden="1"/>
    <cellStyle name="Hyperlink" xfId="7056" builtinId="8" hidden="1"/>
    <cellStyle name="Hyperlink" xfId="7058" builtinId="8" hidden="1"/>
    <cellStyle name="Hyperlink" xfId="7060" builtinId="8" hidden="1"/>
    <cellStyle name="Hyperlink" xfId="7062" builtinId="8" hidden="1"/>
    <cellStyle name="Hyperlink" xfId="7064" builtinId="8" hidden="1"/>
    <cellStyle name="Hyperlink" xfId="7066" builtinId="8" hidden="1"/>
    <cellStyle name="Hyperlink" xfId="7068" builtinId="8" hidden="1"/>
    <cellStyle name="Hyperlink" xfId="7070" builtinId="8" hidden="1"/>
    <cellStyle name="Hyperlink" xfId="7072" builtinId="8" hidden="1"/>
    <cellStyle name="Hyperlink" xfId="7074" builtinId="8" hidden="1"/>
    <cellStyle name="Hyperlink" xfId="7076" builtinId="8" hidden="1"/>
    <cellStyle name="Hyperlink" xfId="7078" builtinId="8" hidden="1"/>
    <cellStyle name="Hyperlink" xfId="7080" builtinId="8" hidden="1"/>
    <cellStyle name="Hyperlink" xfId="7082" builtinId="8" hidden="1"/>
    <cellStyle name="Hyperlink" xfId="7084" builtinId="8" hidden="1"/>
    <cellStyle name="Hyperlink" xfId="7086" builtinId="8" hidden="1"/>
    <cellStyle name="Hyperlink" xfId="7088" builtinId="8" hidden="1"/>
    <cellStyle name="Hyperlink" xfId="7090" builtinId="8" hidden="1"/>
    <cellStyle name="Hyperlink" xfId="7092" builtinId="8" hidden="1"/>
    <cellStyle name="Hyperlink" xfId="7094" builtinId="8" hidden="1"/>
    <cellStyle name="Hyperlink" xfId="7096" builtinId="8" hidden="1"/>
    <cellStyle name="Hyperlink" xfId="7098" builtinId="8" hidden="1"/>
    <cellStyle name="Hyperlink" xfId="7100" builtinId="8" hidden="1"/>
    <cellStyle name="Hyperlink" xfId="7102" builtinId="8" hidden="1"/>
    <cellStyle name="Hyperlink" xfId="7104" builtinId="8" hidden="1"/>
    <cellStyle name="Hyperlink" xfId="7106" builtinId="8" hidden="1"/>
    <cellStyle name="Hyperlink" xfId="7108" builtinId="8" hidden="1"/>
    <cellStyle name="Hyperlink" xfId="7110" builtinId="8" hidden="1"/>
    <cellStyle name="Hyperlink" xfId="7112" builtinId="8" hidden="1"/>
    <cellStyle name="Hyperlink" xfId="7114" builtinId="8" hidden="1"/>
    <cellStyle name="Hyperlink" xfId="7116" builtinId="8" hidden="1"/>
    <cellStyle name="Hyperlink" xfId="7118" builtinId="8" hidden="1"/>
    <cellStyle name="Hyperlink" xfId="7120" builtinId="8" hidden="1"/>
    <cellStyle name="Hyperlink" xfId="7122" builtinId="8" hidden="1"/>
    <cellStyle name="Hyperlink" xfId="7124" builtinId="8" hidden="1"/>
    <cellStyle name="Hyperlink" xfId="7126" builtinId="8" hidden="1"/>
    <cellStyle name="Hyperlink" xfId="7128" builtinId="8" hidden="1"/>
    <cellStyle name="Hyperlink" xfId="7130" builtinId="8" hidden="1"/>
    <cellStyle name="Hyperlink" xfId="7132" builtinId="8" hidden="1"/>
    <cellStyle name="Hyperlink" xfId="7134" builtinId="8" hidden="1"/>
    <cellStyle name="Hyperlink" xfId="7136" builtinId="8" hidden="1"/>
    <cellStyle name="Hyperlink" xfId="7138" builtinId="8" hidden="1"/>
    <cellStyle name="Hyperlink" xfId="7140" builtinId="8" hidden="1"/>
    <cellStyle name="Hyperlink" xfId="7142" builtinId="8" hidden="1"/>
    <cellStyle name="Hyperlink" xfId="7144" builtinId="8" hidden="1"/>
    <cellStyle name="Hyperlink" xfId="7146" builtinId="8" hidden="1"/>
    <cellStyle name="Hyperlink" xfId="7148" builtinId="8" hidden="1"/>
    <cellStyle name="Hyperlink" xfId="7150" builtinId="8" hidden="1"/>
    <cellStyle name="Hyperlink" xfId="7152" builtinId="8" hidden="1"/>
    <cellStyle name="Hyperlink" xfId="7154" builtinId="8" hidden="1"/>
    <cellStyle name="Hyperlink" xfId="7156" builtinId="8" hidden="1"/>
    <cellStyle name="Hyperlink" xfId="7158" builtinId="8" hidden="1"/>
    <cellStyle name="Hyperlink" xfId="7160" builtinId="8" hidden="1"/>
    <cellStyle name="Hyperlink" xfId="7162" builtinId="8" hidden="1"/>
    <cellStyle name="Hyperlink" xfId="7164" builtinId="8" hidden="1"/>
    <cellStyle name="Hyperlink" xfId="7166" builtinId="8" hidden="1"/>
    <cellStyle name="Hyperlink" xfId="7168" builtinId="8" hidden="1"/>
    <cellStyle name="Hyperlink" xfId="7170" builtinId="8" hidden="1"/>
    <cellStyle name="Hyperlink" xfId="7172" builtinId="8" hidden="1"/>
    <cellStyle name="Hyperlink" xfId="7174" builtinId="8" hidden="1"/>
    <cellStyle name="Hyperlink" xfId="7176" builtinId="8" hidden="1"/>
    <cellStyle name="Hyperlink" xfId="7178" builtinId="8" hidden="1"/>
    <cellStyle name="Hyperlink" xfId="7180" builtinId="8" hidden="1"/>
    <cellStyle name="Hyperlink" xfId="7182" builtinId="8" hidden="1"/>
    <cellStyle name="Hyperlink" xfId="7184" builtinId="8" hidden="1"/>
    <cellStyle name="Hyperlink" xfId="7186" builtinId="8" hidden="1"/>
    <cellStyle name="Hyperlink" xfId="7188" builtinId="8" hidden="1"/>
    <cellStyle name="Hyperlink" xfId="7190" builtinId="8" hidden="1"/>
    <cellStyle name="Hyperlink" xfId="7192" builtinId="8" hidden="1"/>
    <cellStyle name="Hyperlink" xfId="7194" builtinId="8" hidden="1"/>
    <cellStyle name="Hyperlink" xfId="7196" builtinId="8" hidden="1"/>
    <cellStyle name="Hyperlink" xfId="7198" builtinId="8" hidden="1"/>
    <cellStyle name="Hyperlink" xfId="7200" builtinId="8" hidden="1"/>
    <cellStyle name="Hyperlink" xfId="7202" builtinId="8" hidden="1"/>
    <cellStyle name="Hyperlink" xfId="7204" builtinId="8" hidden="1"/>
    <cellStyle name="Hyperlink" xfId="7206" builtinId="8" hidden="1"/>
    <cellStyle name="Hyperlink" xfId="7208" builtinId="8" hidden="1"/>
    <cellStyle name="Hyperlink" xfId="7210" builtinId="8" hidden="1"/>
    <cellStyle name="Hyperlink" xfId="7212" builtinId="8" hidden="1"/>
    <cellStyle name="Hyperlink" xfId="7214" builtinId="8" hidden="1"/>
    <cellStyle name="Hyperlink" xfId="7216" builtinId="8" hidden="1"/>
    <cellStyle name="Hyperlink" xfId="7218" builtinId="8" hidden="1"/>
    <cellStyle name="Hyperlink" xfId="7220" builtinId="8" hidden="1"/>
    <cellStyle name="Hyperlink" xfId="7222" builtinId="8" hidden="1"/>
    <cellStyle name="Hyperlink" xfId="7224" builtinId="8" hidden="1"/>
    <cellStyle name="Hyperlink" xfId="7226" builtinId="8" hidden="1"/>
    <cellStyle name="Hyperlink" xfId="7228" builtinId="8" hidden="1"/>
    <cellStyle name="Hyperlink" xfId="7230" builtinId="8" hidden="1"/>
    <cellStyle name="Hyperlink" xfId="7232" builtinId="8" hidden="1"/>
    <cellStyle name="Hyperlink" xfId="7234" builtinId="8" hidden="1"/>
    <cellStyle name="Hyperlink" xfId="7236" builtinId="8" hidden="1"/>
    <cellStyle name="Hyperlink" xfId="7238" builtinId="8" hidden="1"/>
    <cellStyle name="Hyperlink" xfId="7240" builtinId="8" hidden="1"/>
    <cellStyle name="Hyperlink" xfId="7242" builtinId="8" hidden="1"/>
    <cellStyle name="Hyperlink" xfId="7244" builtinId="8" hidden="1"/>
    <cellStyle name="Hyperlink" xfId="7246" builtinId="8" hidden="1"/>
    <cellStyle name="Hyperlink" xfId="7248" builtinId="8" hidden="1"/>
    <cellStyle name="Hyperlink" xfId="7250" builtinId="8" hidden="1"/>
    <cellStyle name="Hyperlink" xfId="7252" builtinId="8" hidden="1"/>
    <cellStyle name="Hyperlink" xfId="7254" builtinId="8" hidden="1"/>
    <cellStyle name="Hyperlink" xfId="7256" builtinId="8" hidden="1"/>
    <cellStyle name="Hyperlink" xfId="7258" builtinId="8" hidden="1"/>
    <cellStyle name="Hyperlink" xfId="7260" builtinId="8" hidden="1"/>
    <cellStyle name="Hyperlink" xfId="7262" builtinId="8" hidden="1"/>
    <cellStyle name="Hyperlink" xfId="7264" builtinId="8" hidden="1"/>
    <cellStyle name="Hyperlink" xfId="7266" builtinId="8" hidden="1"/>
    <cellStyle name="Hyperlink" xfId="7268" builtinId="8" hidden="1"/>
    <cellStyle name="Hyperlink" xfId="7270" builtinId="8" hidden="1"/>
    <cellStyle name="Hyperlink" xfId="7272" builtinId="8" hidden="1"/>
    <cellStyle name="Hyperlink" xfId="7274" builtinId="8" hidden="1"/>
    <cellStyle name="Hyperlink" xfId="7276" builtinId="8" hidden="1"/>
    <cellStyle name="Hyperlink" xfId="7278" builtinId="8" hidden="1"/>
    <cellStyle name="Hyperlink" xfId="7280" builtinId="8" hidden="1"/>
    <cellStyle name="Hyperlink" xfId="7282" builtinId="8" hidden="1"/>
    <cellStyle name="Hyperlink" xfId="7284" builtinId="8" hidden="1"/>
    <cellStyle name="Hyperlink" xfId="7286" builtinId="8" hidden="1"/>
    <cellStyle name="Hyperlink" xfId="7288" builtinId="8" hidden="1"/>
    <cellStyle name="Hyperlink" xfId="7290" builtinId="8" hidden="1"/>
    <cellStyle name="Hyperlink" xfId="7292" builtinId="8" hidden="1"/>
    <cellStyle name="Hyperlink" xfId="7294" builtinId="8" hidden="1"/>
    <cellStyle name="Hyperlink" xfId="7296" builtinId="8" hidden="1"/>
    <cellStyle name="Hyperlink" xfId="7298" builtinId="8" hidden="1"/>
    <cellStyle name="Hyperlink" xfId="7300" builtinId="8" hidden="1"/>
    <cellStyle name="Hyperlink" xfId="7302" builtinId="8" hidden="1"/>
    <cellStyle name="Hyperlink" xfId="7304" builtinId="8" hidden="1"/>
    <cellStyle name="Hyperlink" xfId="7306" builtinId="8" hidden="1"/>
    <cellStyle name="Hyperlink" xfId="7308" builtinId="8" hidden="1"/>
    <cellStyle name="Hyperlink" xfId="7310" builtinId="8" hidden="1"/>
    <cellStyle name="Hyperlink" xfId="7312" builtinId="8" hidden="1"/>
    <cellStyle name="Hyperlink" xfId="7314" builtinId="8" hidden="1"/>
    <cellStyle name="Hyperlink" xfId="7316" builtinId="8" hidden="1"/>
    <cellStyle name="Hyperlink" xfId="7318" builtinId="8" hidden="1"/>
    <cellStyle name="Hyperlink" xfId="7320" builtinId="8" hidden="1"/>
    <cellStyle name="Hyperlink" xfId="7322" builtinId="8" hidden="1"/>
    <cellStyle name="Hyperlink" xfId="7324" builtinId="8" hidden="1"/>
    <cellStyle name="Hyperlink" xfId="7326" builtinId="8" hidden="1"/>
    <cellStyle name="Hyperlink" xfId="7328" builtinId="8" hidden="1"/>
    <cellStyle name="Hyperlink" xfId="7330" builtinId="8" hidden="1"/>
    <cellStyle name="Hyperlink" xfId="7332" builtinId="8" hidden="1"/>
    <cellStyle name="Hyperlink" xfId="7334" builtinId="8" hidden="1"/>
    <cellStyle name="Hyperlink" xfId="7336" builtinId="8" hidden="1"/>
    <cellStyle name="Hyperlink" xfId="7338" builtinId="8" hidden="1"/>
    <cellStyle name="Hyperlink" xfId="7340" builtinId="8" hidden="1"/>
    <cellStyle name="Hyperlink" xfId="7342" builtinId="8" hidden="1"/>
    <cellStyle name="Hyperlink" xfId="7344" builtinId="8" hidden="1"/>
    <cellStyle name="Hyperlink" xfId="7346" builtinId="8" hidden="1"/>
    <cellStyle name="Hyperlink" xfId="7348" builtinId="8" hidden="1"/>
    <cellStyle name="Hyperlink" xfId="7350" builtinId="8" hidden="1"/>
    <cellStyle name="Hyperlink" xfId="7352" builtinId="8" hidden="1"/>
    <cellStyle name="Hyperlink" xfId="7354" builtinId="8" hidden="1"/>
    <cellStyle name="Hyperlink" xfId="7356" builtinId="8" hidden="1"/>
    <cellStyle name="Hyperlink" xfId="7358" builtinId="8" hidden="1"/>
    <cellStyle name="Hyperlink" xfId="7360" builtinId="8" hidden="1"/>
    <cellStyle name="Hyperlink" xfId="7362" builtinId="8" hidden="1"/>
    <cellStyle name="Hyperlink" xfId="7364" builtinId="8" hidden="1"/>
    <cellStyle name="Hyperlink" xfId="7366" builtinId="8" hidden="1"/>
    <cellStyle name="Hyperlink" xfId="7368" builtinId="8" hidden="1"/>
    <cellStyle name="Hyperlink" xfId="7370" builtinId="8" hidden="1"/>
    <cellStyle name="Hyperlink" xfId="7372" builtinId="8" hidden="1"/>
    <cellStyle name="Hyperlink" xfId="7374" builtinId="8" hidden="1"/>
    <cellStyle name="Hyperlink" xfId="7376" builtinId="8" hidden="1"/>
    <cellStyle name="Hyperlink" xfId="7378" builtinId="8" hidden="1"/>
    <cellStyle name="Hyperlink" xfId="7380" builtinId="8" hidden="1"/>
    <cellStyle name="Hyperlink" xfId="7382" builtinId="8" hidden="1"/>
    <cellStyle name="Hyperlink" xfId="7384" builtinId="8" hidden="1"/>
    <cellStyle name="Hyperlink" xfId="7386" builtinId="8" hidden="1"/>
    <cellStyle name="Hyperlink" xfId="7388" builtinId="8" hidden="1"/>
    <cellStyle name="Hyperlink" xfId="7390" builtinId="8" hidden="1"/>
    <cellStyle name="Hyperlink" xfId="7392" builtinId="8" hidden="1"/>
    <cellStyle name="Hyperlink" xfId="7394" builtinId="8" hidden="1"/>
    <cellStyle name="Hyperlink" xfId="7396" builtinId="8" hidden="1"/>
    <cellStyle name="Hyperlink" xfId="7398" builtinId="8" hidden="1"/>
    <cellStyle name="Hyperlink" xfId="7400" builtinId="8" hidden="1"/>
    <cellStyle name="Hyperlink" xfId="7402" builtinId="8" hidden="1"/>
    <cellStyle name="Hyperlink" xfId="7404" builtinId="8" hidden="1"/>
    <cellStyle name="Hyperlink" xfId="7406" builtinId="8" hidden="1"/>
    <cellStyle name="Hyperlink" xfId="7408" builtinId="8" hidden="1"/>
    <cellStyle name="Hyperlink" xfId="7410" builtinId="8" hidden="1"/>
    <cellStyle name="Hyperlink" xfId="7412" builtinId="8" hidden="1"/>
    <cellStyle name="Hyperlink" xfId="7414" builtinId="8" hidden="1"/>
    <cellStyle name="Hyperlink" xfId="7416" builtinId="8" hidden="1"/>
    <cellStyle name="Hyperlink" xfId="7418" builtinId="8" hidden="1"/>
    <cellStyle name="Hyperlink" xfId="7420" builtinId="8" hidden="1"/>
    <cellStyle name="Hyperlink" xfId="7422" builtinId="8" hidden="1"/>
    <cellStyle name="Hyperlink" xfId="7424" builtinId="8" hidden="1"/>
    <cellStyle name="Hyperlink" xfId="7426" builtinId="8" hidden="1"/>
    <cellStyle name="Hyperlink" xfId="7428" builtinId="8" hidden="1"/>
    <cellStyle name="Hyperlink" xfId="7430" builtinId="8" hidden="1"/>
    <cellStyle name="Hyperlink" xfId="7432" builtinId="8" hidden="1"/>
    <cellStyle name="Hyperlink" xfId="7434" builtinId="8" hidden="1"/>
    <cellStyle name="Hyperlink" xfId="7436" builtinId="8" hidden="1"/>
    <cellStyle name="Hyperlink" xfId="7438" builtinId="8" hidden="1"/>
    <cellStyle name="Hyperlink" xfId="7440" builtinId="8" hidden="1"/>
    <cellStyle name="Hyperlink" xfId="7442" builtinId="8" hidden="1"/>
    <cellStyle name="Hyperlink" xfId="7444" builtinId="8" hidden="1"/>
    <cellStyle name="Hyperlink" xfId="7446" builtinId="8" hidden="1"/>
    <cellStyle name="Hyperlink" xfId="7448" builtinId="8" hidden="1"/>
    <cellStyle name="Hyperlink" xfId="7450" builtinId="8" hidden="1"/>
    <cellStyle name="Hyperlink" xfId="7452" builtinId="8" hidden="1"/>
    <cellStyle name="Hyperlink" xfId="7454" builtinId="8" hidden="1"/>
    <cellStyle name="Hyperlink" xfId="7456" builtinId="8" hidden="1"/>
    <cellStyle name="Hyperlink" xfId="7458" builtinId="8" hidden="1"/>
    <cellStyle name="Hyperlink" xfId="7460" builtinId="8" hidden="1"/>
    <cellStyle name="Hyperlink" xfId="7462" builtinId="8" hidden="1"/>
    <cellStyle name="Hyperlink" xfId="7464" builtinId="8" hidden="1"/>
    <cellStyle name="Hyperlink" xfId="7466" builtinId="8" hidden="1"/>
    <cellStyle name="Hyperlink" xfId="7468" builtinId="8" hidden="1"/>
    <cellStyle name="Hyperlink" xfId="7470" builtinId="8" hidden="1"/>
    <cellStyle name="Hyperlink" xfId="7472" builtinId="8" hidden="1"/>
    <cellStyle name="Hyperlink" xfId="7474" builtinId="8" hidden="1"/>
    <cellStyle name="Hyperlink" xfId="7476" builtinId="8" hidden="1"/>
    <cellStyle name="Hyperlink" xfId="7478" builtinId="8" hidden="1"/>
    <cellStyle name="Hyperlink" xfId="7480" builtinId="8" hidden="1"/>
    <cellStyle name="Hyperlink" xfId="7482" builtinId="8" hidden="1"/>
    <cellStyle name="Hyperlink" xfId="7484" builtinId="8" hidden="1"/>
    <cellStyle name="Hyperlink" xfId="7486" builtinId="8" hidden="1"/>
    <cellStyle name="Hyperlink" xfId="7488" builtinId="8" hidden="1"/>
    <cellStyle name="Hyperlink" xfId="7490" builtinId="8" hidden="1"/>
    <cellStyle name="Hyperlink" xfId="7492" builtinId="8" hidden="1"/>
    <cellStyle name="Hyperlink" xfId="7494" builtinId="8" hidden="1"/>
    <cellStyle name="Hyperlink" xfId="7496" builtinId="8" hidden="1"/>
    <cellStyle name="Hyperlink" xfId="7498" builtinId="8" hidden="1"/>
    <cellStyle name="Hyperlink" xfId="7500" builtinId="8" hidden="1"/>
    <cellStyle name="Hyperlink" xfId="7502" builtinId="8" hidden="1"/>
    <cellStyle name="Hyperlink" xfId="7504" builtinId="8" hidden="1"/>
    <cellStyle name="Hyperlink" xfId="7506" builtinId="8" hidden="1"/>
    <cellStyle name="Hyperlink" xfId="7508" builtinId="8" hidden="1"/>
    <cellStyle name="Hyperlink" xfId="7510" builtinId="8" hidden="1"/>
    <cellStyle name="Hyperlink" xfId="7512" builtinId="8" hidden="1"/>
    <cellStyle name="Hyperlink" xfId="7514" builtinId="8" hidden="1"/>
    <cellStyle name="Hyperlink" xfId="7516" builtinId="8" hidden="1"/>
    <cellStyle name="Hyperlink" xfId="7518" builtinId="8" hidden="1"/>
    <cellStyle name="Hyperlink" xfId="7520" builtinId="8" hidden="1"/>
    <cellStyle name="Hyperlink" xfId="7522" builtinId="8" hidden="1"/>
    <cellStyle name="Hyperlink" xfId="7524" builtinId="8" hidden="1"/>
    <cellStyle name="Hyperlink" xfId="7526" builtinId="8" hidden="1"/>
    <cellStyle name="Hyperlink" xfId="7528" builtinId="8" hidden="1"/>
    <cellStyle name="Hyperlink" xfId="7530" builtinId="8" hidden="1"/>
    <cellStyle name="Hyperlink" xfId="7532" builtinId="8" hidden="1"/>
    <cellStyle name="Hyperlink" xfId="7534" builtinId="8" hidden="1"/>
    <cellStyle name="Hyperlink" xfId="7536" builtinId="8" hidden="1"/>
    <cellStyle name="Hyperlink" xfId="7538" builtinId="8" hidden="1"/>
    <cellStyle name="Hyperlink" xfId="7540" builtinId="8" hidden="1"/>
    <cellStyle name="Hyperlink" xfId="7542" builtinId="8" hidden="1"/>
    <cellStyle name="Hyperlink" xfId="7544" builtinId="8" hidden="1"/>
    <cellStyle name="Hyperlink" xfId="7546" builtinId="8" hidden="1"/>
    <cellStyle name="Hyperlink" xfId="7548" builtinId="8" hidden="1"/>
    <cellStyle name="Hyperlink" xfId="7550" builtinId="8" hidden="1"/>
    <cellStyle name="Hyperlink" xfId="7552" builtinId="8" hidden="1"/>
    <cellStyle name="Hyperlink" xfId="7554" builtinId="8" hidden="1"/>
    <cellStyle name="Hyperlink" xfId="7556" builtinId="8" hidden="1"/>
    <cellStyle name="Hyperlink" xfId="7558" builtinId="8" hidden="1"/>
    <cellStyle name="Hyperlink" xfId="7560" builtinId="8" hidden="1"/>
    <cellStyle name="Hyperlink" xfId="7562" builtinId="8" hidden="1"/>
    <cellStyle name="Hyperlink" xfId="7564" builtinId="8" hidden="1"/>
    <cellStyle name="Hyperlink" xfId="7566" builtinId="8" hidden="1"/>
    <cellStyle name="Hyperlink" xfId="7568" builtinId="8" hidden="1"/>
    <cellStyle name="Hyperlink" xfId="7570" builtinId="8" hidden="1"/>
    <cellStyle name="Hyperlink" xfId="7572" builtinId="8" hidden="1"/>
    <cellStyle name="Hyperlink" xfId="7574" builtinId="8" hidden="1"/>
    <cellStyle name="Hyperlink" xfId="7576" builtinId="8" hidden="1"/>
    <cellStyle name="Hyperlink" xfId="7578" builtinId="8" hidden="1"/>
    <cellStyle name="Hyperlink" xfId="7580" builtinId="8" hidden="1"/>
    <cellStyle name="Hyperlink" xfId="7582" builtinId="8" hidden="1"/>
    <cellStyle name="Hyperlink" xfId="7584" builtinId="8" hidden="1"/>
    <cellStyle name="Hyperlink" xfId="7586" builtinId="8" hidden="1"/>
    <cellStyle name="Hyperlink" xfId="7588" builtinId="8" hidden="1"/>
    <cellStyle name="Hyperlink" xfId="7590" builtinId="8" hidden="1"/>
    <cellStyle name="Hyperlink" xfId="7592" builtinId="8" hidden="1"/>
    <cellStyle name="Hyperlink" xfId="7594" builtinId="8" hidden="1"/>
    <cellStyle name="Hyperlink" xfId="7596" builtinId="8" hidden="1"/>
    <cellStyle name="Hyperlink" xfId="7598" builtinId="8" hidden="1"/>
    <cellStyle name="Hyperlink" xfId="7600" builtinId="8" hidden="1"/>
    <cellStyle name="Hyperlink" xfId="7602" builtinId="8" hidden="1"/>
    <cellStyle name="Hyperlink" xfId="7604" builtinId="8" hidden="1"/>
    <cellStyle name="Hyperlink" xfId="7606" builtinId="8" hidden="1"/>
    <cellStyle name="Hyperlink" xfId="7608" builtinId="8" hidden="1"/>
    <cellStyle name="Hyperlink" xfId="7610" builtinId="8" hidden="1"/>
    <cellStyle name="Hyperlink" xfId="7612" builtinId="8" hidden="1"/>
    <cellStyle name="Hyperlink" xfId="7614" builtinId="8" hidden="1"/>
    <cellStyle name="Hyperlink" xfId="7616" builtinId="8" hidden="1"/>
    <cellStyle name="Hyperlink" xfId="7618" builtinId="8" hidden="1"/>
    <cellStyle name="Hyperlink" xfId="7620" builtinId="8" hidden="1"/>
    <cellStyle name="Hyperlink" xfId="7622" builtinId="8" hidden="1"/>
    <cellStyle name="Hyperlink" xfId="7624" builtinId="8" hidden="1"/>
    <cellStyle name="Hyperlink" xfId="7626" builtinId="8" hidden="1"/>
    <cellStyle name="Hyperlink" xfId="7628" builtinId="8" hidden="1"/>
    <cellStyle name="Hyperlink" xfId="7630" builtinId="8" hidden="1"/>
    <cellStyle name="Hyperlink" xfId="7632" builtinId="8" hidden="1"/>
    <cellStyle name="Hyperlink" xfId="7634" builtinId="8" hidden="1"/>
    <cellStyle name="Hyperlink" xfId="7636" builtinId="8" hidden="1"/>
    <cellStyle name="Hyperlink" xfId="7638" builtinId="8" hidden="1"/>
    <cellStyle name="Hyperlink" xfId="7640" builtinId="8" hidden="1"/>
    <cellStyle name="Hyperlink" xfId="7642" builtinId="8" hidden="1"/>
    <cellStyle name="Hyperlink" xfId="7644" builtinId="8" hidden="1"/>
    <cellStyle name="Hyperlink" xfId="7646" builtinId="8" hidden="1"/>
    <cellStyle name="Hyperlink" xfId="7648" builtinId="8" hidden="1"/>
    <cellStyle name="Hyperlink" xfId="7650" builtinId="8" hidden="1"/>
    <cellStyle name="Hyperlink" xfId="7652" builtinId="8" hidden="1"/>
    <cellStyle name="Hyperlink" xfId="7654" builtinId="8" hidden="1"/>
    <cellStyle name="Hyperlink" xfId="7656" builtinId="8" hidden="1"/>
    <cellStyle name="Hyperlink" xfId="7658" builtinId="8" hidden="1"/>
    <cellStyle name="Hyperlink" xfId="7660" builtinId="8" hidden="1"/>
    <cellStyle name="Hyperlink" xfId="7662" builtinId="8" hidden="1"/>
    <cellStyle name="Hyperlink" xfId="7664" builtinId="8" hidden="1"/>
    <cellStyle name="Hyperlink" xfId="7666" builtinId="8" hidden="1"/>
    <cellStyle name="Hyperlink" xfId="7668" builtinId="8" hidden="1"/>
    <cellStyle name="Hyperlink" xfId="7670" builtinId="8" hidden="1"/>
    <cellStyle name="Hyperlink" xfId="7672" builtinId="8" hidden="1"/>
    <cellStyle name="Hyperlink" xfId="7674" builtinId="8" hidden="1"/>
    <cellStyle name="Hyperlink" xfId="7676" builtinId="8" hidden="1"/>
    <cellStyle name="Hyperlink" xfId="7678" builtinId="8" hidden="1"/>
    <cellStyle name="Hyperlink" xfId="7680" builtinId="8" hidden="1"/>
    <cellStyle name="Hyperlink" xfId="7682" builtinId="8" hidden="1"/>
    <cellStyle name="Hyperlink" xfId="7684" builtinId="8" hidden="1"/>
    <cellStyle name="Hyperlink" xfId="7686" builtinId="8" hidden="1"/>
    <cellStyle name="Hyperlink" xfId="7688" builtinId="8" hidden="1"/>
    <cellStyle name="Hyperlink" xfId="7690" builtinId="8" hidden="1"/>
    <cellStyle name="Hyperlink" xfId="7692" builtinId="8" hidden="1"/>
    <cellStyle name="Hyperlink" xfId="7694" builtinId="8" hidden="1"/>
    <cellStyle name="Hyperlink" xfId="7696" builtinId="8" hidden="1"/>
    <cellStyle name="Hyperlink" xfId="7698" builtinId="8" hidden="1"/>
    <cellStyle name="Hyperlink" xfId="7700" builtinId="8" hidden="1"/>
    <cellStyle name="Hyperlink" xfId="7702" builtinId="8" hidden="1"/>
    <cellStyle name="Hyperlink" xfId="7704" builtinId="8" hidden="1"/>
    <cellStyle name="Hyperlink" xfId="7706" builtinId="8" hidden="1"/>
    <cellStyle name="Hyperlink" xfId="7708" builtinId="8" hidden="1"/>
    <cellStyle name="Hyperlink" xfId="7710" builtinId="8" hidden="1"/>
    <cellStyle name="Hyperlink" xfId="7712" builtinId="8" hidden="1"/>
    <cellStyle name="Hyperlink" xfId="7714" builtinId="8" hidden="1"/>
    <cellStyle name="Hyperlink" xfId="7716" builtinId="8" hidden="1"/>
    <cellStyle name="Hyperlink" xfId="7718" builtinId="8" hidden="1"/>
    <cellStyle name="Hyperlink" xfId="7720" builtinId="8" hidden="1"/>
    <cellStyle name="Hyperlink" xfId="7722" builtinId="8" hidden="1"/>
    <cellStyle name="Hyperlink" xfId="7724" builtinId="8" hidden="1"/>
    <cellStyle name="Hyperlink" xfId="7726" builtinId="8" hidden="1"/>
    <cellStyle name="Hyperlink" xfId="7728" builtinId="8" hidden="1"/>
    <cellStyle name="Hyperlink" xfId="7730" builtinId="8" hidden="1"/>
    <cellStyle name="Hyperlink" xfId="7732" builtinId="8" hidden="1"/>
    <cellStyle name="Hyperlink" xfId="7734" builtinId="8" hidden="1"/>
    <cellStyle name="Hyperlink" xfId="7736" builtinId="8" hidden="1"/>
    <cellStyle name="Hyperlink" xfId="7738" builtinId="8" hidden="1"/>
    <cellStyle name="Hyperlink" xfId="7740" builtinId="8" hidden="1"/>
    <cellStyle name="Hyperlink" xfId="7742" builtinId="8" hidden="1"/>
    <cellStyle name="Hyperlink" xfId="7744" builtinId="8" hidden="1"/>
    <cellStyle name="Hyperlink" xfId="7746" builtinId="8" hidden="1"/>
    <cellStyle name="Hyperlink" xfId="7748" builtinId="8" hidden="1"/>
    <cellStyle name="Hyperlink" xfId="7750" builtinId="8" hidden="1"/>
    <cellStyle name="Hyperlink" xfId="7752" builtinId="8" hidden="1"/>
    <cellStyle name="Hyperlink" xfId="7754" builtinId="8" hidden="1"/>
    <cellStyle name="Hyperlink" xfId="7756" builtinId="8" hidden="1"/>
    <cellStyle name="Hyperlink" xfId="7758" builtinId="8" hidden="1"/>
    <cellStyle name="Hyperlink" xfId="7760" builtinId="8" hidden="1"/>
    <cellStyle name="Hyperlink" xfId="7762" builtinId="8" hidden="1"/>
    <cellStyle name="Hyperlink" xfId="7764" builtinId="8" hidden="1"/>
    <cellStyle name="Hyperlink" xfId="7766" builtinId="8" hidden="1"/>
    <cellStyle name="Hyperlink" xfId="7768" builtinId="8" hidden="1"/>
    <cellStyle name="Hyperlink" xfId="7770" builtinId="8" hidden="1"/>
    <cellStyle name="Hyperlink" xfId="7772" builtinId="8" hidden="1"/>
    <cellStyle name="Hyperlink" xfId="7774" builtinId="8" hidden="1"/>
    <cellStyle name="Hyperlink" xfId="7776" builtinId="8" hidden="1"/>
    <cellStyle name="Hyperlink" xfId="7778" builtinId="8" hidden="1"/>
    <cellStyle name="Hyperlink" xfId="7780" builtinId="8" hidden="1"/>
    <cellStyle name="Hyperlink" xfId="7782" builtinId="8" hidden="1"/>
    <cellStyle name="Hyperlink" xfId="7784" builtinId="8" hidden="1"/>
    <cellStyle name="Hyperlink" xfId="7786" builtinId="8" hidden="1"/>
    <cellStyle name="Hyperlink" xfId="7788" builtinId="8" hidden="1"/>
    <cellStyle name="Hyperlink" xfId="7790" builtinId="8" hidden="1"/>
    <cellStyle name="Hyperlink" xfId="7792" builtinId="8" hidden="1"/>
    <cellStyle name="Hyperlink" xfId="7794" builtinId="8" hidden="1"/>
    <cellStyle name="Hyperlink" xfId="7796" builtinId="8" hidden="1"/>
    <cellStyle name="Hyperlink" xfId="7798" builtinId="8" hidden="1"/>
    <cellStyle name="Hyperlink" xfId="7800" builtinId="8" hidden="1"/>
    <cellStyle name="Hyperlink" xfId="7802" builtinId="8" hidden="1"/>
    <cellStyle name="Hyperlink" xfId="7804" builtinId="8" hidden="1"/>
    <cellStyle name="Hyperlink" xfId="7806" builtinId="8" hidden="1"/>
    <cellStyle name="Hyperlink" xfId="7808" builtinId="8" hidden="1"/>
    <cellStyle name="Hyperlink" xfId="7810" builtinId="8" hidden="1"/>
    <cellStyle name="Hyperlink" xfId="7812" builtinId="8" hidden="1"/>
    <cellStyle name="Hyperlink" xfId="7814" builtinId="8" hidden="1"/>
    <cellStyle name="Hyperlink" xfId="7816" builtinId="8" hidden="1"/>
    <cellStyle name="Hyperlink" xfId="7818" builtinId="8" hidden="1"/>
    <cellStyle name="Hyperlink" xfId="7820" builtinId="8" hidden="1"/>
    <cellStyle name="Hyperlink" xfId="7822" builtinId="8" hidden="1"/>
    <cellStyle name="Hyperlink" xfId="7824" builtinId="8" hidden="1"/>
    <cellStyle name="Hyperlink" xfId="7826" builtinId="8" hidden="1"/>
    <cellStyle name="Hyperlink" xfId="7828" builtinId="8" hidden="1"/>
    <cellStyle name="Hyperlink" xfId="7830" builtinId="8" hidden="1"/>
    <cellStyle name="Hyperlink" xfId="7832" builtinId="8" hidden="1"/>
    <cellStyle name="Hyperlink" xfId="7834" builtinId="8" hidden="1"/>
    <cellStyle name="Hyperlink" xfId="7836" builtinId="8" hidden="1"/>
    <cellStyle name="Hyperlink" xfId="7838" builtinId="8" hidden="1"/>
    <cellStyle name="Hyperlink" xfId="7840" builtinId="8" hidden="1"/>
    <cellStyle name="Hyperlink" xfId="7842" builtinId="8" hidden="1"/>
    <cellStyle name="Hyperlink" xfId="7844" builtinId="8" hidden="1"/>
    <cellStyle name="Hyperlink" xfId="7846" builtinId="8" hidden="1"/>
    <cellStyle name="Hyperlink" xfId="7848" builtinId="8" hidden="1"/>
    <cellStyle name="Hyperlink" xfId="7850" builtinId="8" hidden="1"/>
    <cellStyle name="Hyperlink" xfId="7852" builtinId="8" hidden="1"/>
    <cellStyle name="Hyperlink" xfId="7854" builtinId="8" hidden="1"/>
    <cellStyle name="Hyperlink" xfId="7856" builtinId="8" hidden="1"/>
    <cellStyle name="Hyperlink" xfId="7858" builtinId="8" hidden="1"/>
    <cellStyle name="Hyperlink" xfId="7860" builtinId="8" hidden="1"/>
    <cellStyle name="Hyperlink" xfId="7862" builtinId="8" hidden="1"/>
    <cellStyle name="Hyperlink" xfId="7864" builtinId="8" hidden="1"/>
    <cellStyle name="Hyperlink" xfId="7866" builtinId="8" hidden="1"/>
    <cellStyle name="Hyperlink" xfId="7868" builtinId="8" hidden="1"/>
    <cellStyle name="Hyperlink" xfId="7870" builtinId="8" hidden="1"/>
    <cellStyle name="Hyperlink" xfId="7872" builtinId="8" hidden="1"/>
    <cellStyle name="Hyperlink" xfId="7874" builtinId="8" hidden="1"/>
    <cellStyle name="Hyperlink" xfId="7876" builtinId="8" hidden="1"/>
    <cellStyle name="Hyperlink" xfId="7878" builtinId="8" hidden="1"/>
    <cellStyle name="Hyperlink" xfId="7880" builtinId="8" hidden="1"/>
    <cellStyle name="Hyperlink" xfId="7882" builtinId="8" hidden="1"/>
    <cellStyle name="Hyperlink" xfId="7884" builtinId="8" hidden="1"/>
    <cellStyle name="Hyperlink" xfId="7886" builtinId="8" hidden="1"/>
    <cellStyle name="Hyperlink" xfId="7888" builtinId="8" hidden="1"/>
    <cellStyle name="Hyperlink" xfId="7890" builtinId="8" hidden="1"/>
    <cellStyle name="Hyperlink" xfId="7892" builtinId="8" hidden="1"/>
    <cellStyle name="Hyperlink" xfId="7894" builtinId="8" hidden="1"/>
    <cellStyle name="Hyperlink" xfId="7896" builtinId="8" hidden="1"/>
    <cellStyle name="Hyperlink" xfId="7898" builtinId="8" hidden="1"/>
    <cellStyle name="Hyperlink" xfId="7900" builtinId="8" hidden="1"/>
    <cellStyle name="Hyperlink" xfId="7902" builtinId="8" hidden="1"/>
    <cellStyle name="Hyperlink" xfId="7904" builtinId="8" hidden="1"/>
    <cellStyle name="Hyperlink" xfId="7906" builtinId="8" hidden="1"/>
    <cellStyle name="Hyperlink" xfId="7908" builtinId="8" hidden="1"/>
    <cellStyle name="Hyperlink" xfId="7910" builtinId="8" hidden="1"/>
    <cellStyle name="Hyperlink" xfId="7912" builtinId="8" hidden="1"/>
    <cellStyle name="Hyperlink" xfId="7914" builtinId="8" hidden="1"/>
    <cellStyle name="Hyperlink" xfId="7916" builtinId="8" hidden="1"/>
    <cellStyle name="Hyperlink" xfId="7918" builtinId="8" hidden="1"/>
    <cellStyle name="Hyperlink" xfId="7920" builtinId="8" hidden="1"/>
    <cellStyle name="Hyperlink" xfId="7922" builtinId="8" hidden="1"/>
    <cellStyle name="Hyperlink" xfId="7924" builtinId="8" hidden="1"/>
    <cellStyle name="Hyperlink" xfId="7926" builtinId="8" hidden="1"/>
    <cellStyle name="Hyperlink" xfId="7928" builtinId="8" hidden="1"/>
    <cellStyle name="Hyperlink" xfId="7930" builtinId="8" hidden="1"/>
    <cellStyle name="Hyperlink" xfId="7932" builtinId="8" hidden="1"/>
    <cellStyle name="Hyperlink" xfId="7934" builtinId="8" hidden="1"/>
    <cellStyle name="Hyperlink" xfId="7936" builtinId="8" hidden="1"/>
    <cellStyle name="Hyperlink" xfId="7938" builtinId="8" hidden="1"/>
    <cellStyle name="Hyperlink" xfId="7940" builtinId="8" hidden="1"/>
    <cellStyle name="Hyperlink" xfId="7942" builtinId="8" hidden="1"/>
    <cellStyle name="Hyperlink" xfId="7944" builtinId="8" hidden="1"/>
    <cellStyle name="Hyperlink" xfId="7946" builtinId="8" hidden="1"/>
    <cellStyle name="Hyperlink" xfId="7948" builtinId="8" hidden="1"/>
    <cellStyle name="Hyperlink" xfId="7950" builtinId="8" hidden="1"/>
    <cellStyle name="Hyperlink" xfId="7952" builtinId="8" hidden="1"/>
    <cellStyle name="Hyperlink" xfId="7954" builtinId="8" hidden="1"/>
    <cellStyle name="Hyperlink" xfId="7956" builtinId="8" hidden="1"/>
    <cellStyle name="Hyperlink" xfId="7958" builtinId="8" hidden="1"/>
    <cellStyle name="Hyperlink" xfId="7960" builtinId="8" hidden="1"/>
    <cellStyle name="Hyperlink" xfId="7962" builtinId="8" hidden="1"/>
    <cellStyle name="Hyperlink" xfId="7964" builtinId="8" hidden="1"/>
    <cellStyle name="Hyperlink" xfId="7966" builtinId="8" hidden="1"/>
    <cellStyle name="Hyperlink" xfId="7968" builtinId="8" hidden="1"/>
    <cellStyle name="Hyperlink" xfId="7970" builtinId="8" hidden="1"/>
    <cellStyle name="Hyperlink" xfId="7972" builtinId="8" hidden="1"/>
    <cellStyle name="Hyperlink" xfId="7974" builtinId="8" hidden="1"/>
    <cellStyle name="Hyperlink" xfId="7976" builtinId="8" hidden="1"/>
    <cellStyle name="Hyperlink" xfId="7978" builtinId="8" hidden="1"/>
    <cellStyle name="Hyperlink" xfId="7980" builtinId="8" hidden="1"/>
    <cellStyle name="Hyperlink" xfId="7982" builtinId="8" hidden="1"/>
    <cellStyle name="Hyperlink" xfId="7984" builtinId="8" hidden="1"/>
    <cellStyle name="Hyperlink" xfId="7986" builtinId="8" hidden="1"/>
    <cellStyle name="Hyperlink" xfId="7988" builtinId="8" hidden="1"/>
    <cellStyle name="Hyperlink" xfId="7990" builtinId="8" hidden="1"/>
    <cellStyle name="Hyperlink" xfId="7992" builtinId="8" hidden="1"/>
    <cellStyle name="Hyperlink" xfId="7994" builtinId="8" hidden="1"/>
    <cellStyle name="Hyperlink" xfId="7996" builtinId="8" hidden="1"/>
    <cellStyle name="Hyperlink" xfId="7998" builtinId="8" hidden="1"/>
    <cellStyle name="Hyperlink" xfId="8000" builtinId="8" hidden="1"/>
    <cellStyle name="Hyperlink" xfId="8002" builtinId="8" hidden="1"/>
    <cellStyle name="Hyperlink" xfId="8004" builtinId="8" hidden="1"/>
    <cellStyle name="Hyperlink" xfId="8006" builtinId="8" hidden="1"/>
    <cellStyle name="Hyperlink" xfId="8008" builtinId="8" hidden="1"/>
    <cellStyle name="Hyperlink" xfId="8010" builtinId="8" hidden="1"/>
    <cellStyle name="Hyperlink" xfId="8012" builtinId="8" hidden="1"/>
    <cellStyle name="Hyperlink" xfId="8014" builtinId="8" hidden="1"/>
    <cellStyle name="Hyperlink" xfId="8016" builtinId="8" hidden="1"/>
    <cellStyle name="Hyperlink" xfId="8018" builtinId="8" hidden="1"/>
    <cellStyle name="Hyperlink" xfId="8020" builtinId="8" hidden="1"/>
    <cellStyle name="Hyperlink" xfId="8022" builtinId="8" hidden="1"/>
    <cellStyle name="Hyperlink" xfId="8024" builtinId="8" hidden="1"/>
    <cellStyle name="Hyperlink" xfId="8026" builtinId="8" hidden="1"/>
    <cellStyle name="Hyperlink" xfId="8028" builtinId="8" hidden="1"/>
    <cellStyle name="Hyperlink" xfId="8030" builtinId="8" hidden="1"/>
    <cellStyle name="Hyperlink" xfId="8032" builtinId="8" hidden="1"/>
    <cellStyle name="Hyperlink" xfId="8034" builtinId="8" hidden="1"/>
    <cellStyle name="Hyperlink" xfId="8036" builtinId="8" hidden="1"/>
    <cellStyle name="Hyperlink" xfId="8038" builtinId="8" hidden="1"/>
    <cellStyle name="Hyperlink" xfId="8040" builtinId="8" hidden="1"/>
    <cellStyle name="Hyperlink" xfId="8042" builtinId="8" hidden="1"/>
    <cellStyle name="Hyperlink" xfId="8044" builtinId="8" hidden="1"/>
    <cellStyle name="Hyperlink" xfId="8046" builtinId="8" hidden="1"/>
    <cellStyle name="Hyperlink" xfId="8048" builtinId="8" hidden="1"/>
    <cellStyle name="Hyperlink" xfId="8050" builtinId="8" hidden="1"/>
    <cellStyle name="Hyperlink" xfId="8052" builtinId="8" hidden="1"/>
    <cellStyle name="Hyperlink" xfId="8054" builtinId="8" hidden="1"/>
    <cellStyle name="Hyperlink" xfId="8056" builtinId="8" hidden="1"/>
    <cellStyle name="Hyperlink" xfId="8058" builtinId="8" hidden="1"/>
    <cellStyle name="Hyperlink" xfId="8060" builtinId="8" hidden="1"/>
    <cellStyle name="Hyperlink" xfId="8062" builtinId="8" hidden="1"/>
    <cellStyle name="Hyperlink" xfId="8064" builtinId="8" hidden="1"/>
    <cellStyle name="Hyperlink" xfId="8066" builtinId="8" hidden="1"/>
    <cellStyle name="Hyperlink" xfId="8068" builtinId="8" hidden="1"/>
    <cellStyle name="Hyperlink" xfId="8070" builtinId="8" hidden="1"/>
    <cellStyle name="Hyperlink" xfId="8072" builtinId="8" hidden="1"/>
    <cellStyle name="Hyperlink" xfId="8074" builtinId="8" hidden="1"/>
    <cellStyle name="Hyperlink" xfId="8076" builtinId="8" hidden="1"/>
    <cellStyle name="Hyperlink" xfId="8078" builtinId="8" hidden="1"/>
    <cellStyle name="Hyperlink" xfId="8080" builtinId="8" hidden="1"/>
    <cellStyle name="Hyperlink" xfId="8082" builtinId="8" hidden="1"/>
    <cellStyle name="Hyperlink" xfId="8084" builtinId="8" hidden="1"/>
    <cellStyle name="Hyperlink" xfId="8086" builtinId="8" hidden="1"/>
    <cellStyle name="Hyperlink" xfId="8088" builtinId="8" hidden="1"/>
    <cellStyle name="Hyperlink" xfId="8090" builtinId="8" hidden="1"/>
    <cellStyle name="Hyperlink" xfId="8092" builtinId="8" hidden="1"/>
    <cellStyle name="Hyperlink" xfId="8094" builtinId="8" hidden="1"/>
    <cellStyle name="Hyperlink" xfId="8096" builtinId="8" hidden="1"/>
    <cellStyle name="Hyperlink" xfId="8098" builtinId="8" hidden="1"/>
    <cellStyle name="Hyperlink" xfId="8100" builtinId="8" hidden="1"/>
    <cellStyle name="Hyperlink" xfId="8102" builtinId="8" hidden="1"/>
    <cellStyle name="Hyperlink" xfId="8104" builtinId="8" hidden="1"/>
    <cellStyle name="Hyperlink" xfId="8106" builtinId="8" hidden="1"/>
    <cellStyle name="Hyperlink" xfId="8108" builtinId="8" hidden="1"/>
    <cellStyle name="Hyperlink" xfId="8110" builtinId="8" hidden="1"/>
    <cellStyle name="Hyperlink" xfId="8112" builtinId="8" hidden="1"/>
    <cellStyle name="Hyperlink" xfId="8114" builtinId="8" hidden="1"/>
    <cellStyle name="Hyperlink" xfId="8116" builtinId="8" hidden="1"/>
    <cellStyle name="Hyperlink" xfId="8118" builtinId="8" hidden="1"/>
    <cellStyle name="Hyperlink" xfId="8120" builtinId="8" hidden="1"/>
    <cellStyle name="Hyperlink" xfId="8122" builtinId="8" hidden="1"/>
    <cellStyle name="Hyperlink" xfId="8124" builtinId="8" hidden="1"/>
    <cellStyle name="Hyperlink" xfId="8126" builtinId="8" hidden="1"/>
    <cellStyle name="Hyperlink" xfId="8128" builtinId="8" hidden="1"/>
    <cellStyle name="Hyperlink" xfId="8130" builtinId="8" hidden="1"/>
    <cellStyle name="Hyperlink" xfId="8132" builtinId="8" hidden="1"/>
    <cellStyle name="Hyperlink" xfId="8134" builtinId="8" hidden="1"/>
    <cellStyle name="Hyperlink" xfId="8136" builtinId="8" hidden="1"/>
    <cellStyle name="Hyperlink" xfId="8138" builtinId="8" hidden="1"/>
    <cellStyle name="Hyperlink" xfId="8140" builtinId="8" hidden="1"/>
    <cellStyle name="Hyperlink" xfId="8142" builtinId="8" hidden="1"/>
    <cellStyle name="Hyperlink" xfId="8144" builtinId="8" hidden="1"/>
    <cellStyle name="Hyperlink" xfId="8146" builtinId="8" hidden="1"/>
    <cellStyle name="Hyperlink" xfId="8148" builtinId="8" hidden="1"/>
    <cellStyle name="Hyperlink" xfId="8150" builtinId="8" hidden="1"/>
    <cellStyle name="Hyperlink" xfId="8152" builtinId="8" hidden="1"/>
    <cellStyle name="Hyperlink" xfId="8154" builtinId="8" hidden="1"/>
    <cellStyle name="Hyperlink" xfId="8156" builtinId="8" hidden="1"/>
    <cellStyle name="Hyperlink" xfId="8158" builtinId="8" hidden="1"/>
    <cellStyle name="Hyperlink" xfId="8160" builtinId="8" hidden="1"/>
    <cellStyle name="Hyperlink" xfId="8162" builtinId="8" hidden="1"/>
    <cellStyle name="Hyperlink" xfId="8164" builtinId="8" hidden="1"/>
    <cellStyle name="Hyperlink" xfId="8166" builtinId="8" hidden="1"/>
    <cellStyle name="Hyperlink" xfId="8168" builtinId="8" hidden="1"/>
    <cellStyle name="Hyperlink" xfId="8170" builtinId="8" hidden="1"/>
    <cellStyle name="Hyperlink" xfId="8172" builtinId="8" hidden="1"/>
    <cellStyle name="Hyperlink" xfId="8174" builtinId="8" hidden="1"/>
    <cellStyle name="Hyperlink" xfId="8176" builtinId="8" hidden="1"/>
    <cellStyle name="Hyperlink" xfId="8178" builtinId="8" hidden="1"/>
    <cellStyle name="Hyperlink" xfId="8180" builtinId="8" hidden="1"/>
    <cellStyle name="Hyperlink" xfId="8182" builtinId="8" hidden="1"/>
    <cellStyle name="Hyperlink" xfId="8184" builtinId="8" hidden="1"/>
    <cellStyle name="Hyperlink" xfId="8186" builtinId="8" hidden="1"/>
    <cellStyle name="Hyperlink" xfId="8188" builtinId="8" hidden="1"/>
    <cellStyle name="Hyperlink" xfId="8190" builtinId="8" hidden="1"/>
    <cellStyle name="Hyperlink" xfId="8192" builtinId="8" hidden="1"/>
    <cellStyle name="Hyperlink" xfId="8194" builtinId="8" hidden="1"/>
    <cellStyle name="Hyperlink" xfId="8196" builtinId="8" hidden="1"/>
    <cellStyle name="Hyperlink" xfId="8198" builtinId="8" hidden="1"/>
    <cellStyle name="Hyperlink" xfId="8200" builtinId="8" hidden="1"/>
    <cellStyle name="Hyperlink" xfId="8202" builtinId="8" hidden="1"/>
    <cellStyle name="Hyperlink" xfId="8204" builtinId="8" hidden="1"/>
    <cellStyle name="Hyperlink" xfId="8206" builtinId="8" hidden="1"/>
    <cellStyle name="Hyperlink" xfId="8208" builtinId="8" hidden="1"/>
    <cellStyle name="Hyperlink" xfId="8210" builtinId="8" hidden="1"/>
    <cellStyle name="Hyperlink" xfId="8212" builtinId="8" hidden="1"/>
    <cellStyle name="Hyperlink" xfId="8214" builtinId="8" hidden="1"/>
    <cellStyle name="Hyperlink" xfId="8216" builtinId="8" hidden="1"/>
    <cellStyle name="Hyperlink" xfId="8218" builtinId="8" hidden="1"/>
    <cellStyle name="Hyperlink" xfId="8220" builtinId="8" hidden="1"/>
    <cellStyle name="Hyperlink" xfId="8222" builtinId="8" hidden="1"/>
    <cellStyle name="Hyperlink" xfId="8224" builtinId="8" hidden="1"/>
    <cellStyle name="Hyperlink" xfId="8226" builtinId="8" hidden="1"/>
    <cellStyle name="Hyperlink" xfId="8228" builtinId="8" hidden="1"/>
    <cellStyle name="Hyperlink" xfId="8230" builtinId="8" hidden="1"/>
    <cellStyle name="Hyperlink" xfId="8232" builtinId="8" hidden="1"/>
    <cellStyle name="Hyperlink" xfId="8234" builtinId="8" hidden="1"/>
    <cellStyle name="Hyperlink" xfId="8236" builtinId="8" hidden="1"/>
    <cellStyle name="Hyperlink" xfId="8238" builtinId="8" hidden="1"/>
    <cellStyle name="Hyperlink" xfId="8240" builtinId="8" hidden="1"/>
    <cellStyle name="Hyperlink" xfId="8242" builtinId="8" hidden="1"/>
    <cellStyle name="Hyperlink" xfId="8244" builtinId="8" hidden="1"/>
    <cellStyle name="Hyperlink" xfId="8246" builtinId="8" hidden="1"/>
    <cellStyle name="Hyperlink" xfId="8248" builtinId="8" hidden="1"/>
    <cellStyle name="Hyperlink" xfId="8250" builtinId="8" hidden="1"/>
    <cellStyle name="Hyperlink" xfId="8252" builtinId="8" hidden="1"/>
    <cellStyle name="Hyperlink" xfId="8254" builtinId="8" hidden="1"/>
    <cellStyle name="Hyperlink" xfId="8256" builtinId="8" hidden="1"/>
    <cellStyle name="Hyperlink" xfId="8258" builtinId="8" hidden="1"/>
    <cellStyle name="Hyperlink" xfId="8260" builtinId="8" hidden="1"/>
    <cellStyle name="Hyperlink" xfId="8262" builtinId="8" hidden="1"/>
    <cellStyle name="Hyperlink" xfId="8264" builtinId="8" hidden="1"/>
    <cellStyle name="Hyperlink" xfId="8266" builtinId="8" hidden="1"/>
    <cellStyle name="Hyperlink" xfId="8268" builtinId="8" hidden="1"/>
    <cellStyle name="Hyperlink" xfId="8270" builtinId="8" hidden="1"/>
    <cellStyle name="Hyperlink" xfId="8272" builtinId="8" hidden="1"/>
    <cellStyle name="Hyperlink" xfId="8274" builtinId="8" hidden="1"/>
    <cellStyle name="Hyperlink" xfId="8276" builtinId="8" hidden="1"/>
    <cellStyle name="Hyperlink" xfId="8278" builtinId="8" hidden="1"/>
    <cellStyle name="Hyperlink" xfId="8280" builtinId="8" hidden="1"/>
    <cellStyle name="Hyperlink" xfId="8282" builtinId="8" hidden="1"/>
    <cellStyle name="Hyperlink" xfId="8284" builtinId="8" hidden="1"/>
    <cellStyle name="Hyperlink" xfId="8286" builtinId="8" hidden="1"/>
    <cellStyle name="Hyperlink" xfId="8288" builtinId="8" hidden="1"/>
    <cellStyle name="Hyperlink" xfId="8290" builtinId="8" hidden="1"/>
    <cellStyle name="Hyperlink" xfId="8292" builtinId="8" hidden="1"/>
    <cellStyle name="Hyperlink" xfId="8294" builtinId="8" hidden="1"/>
    <cellStyle name="Hyperlink" xfId="8296" builtinId="8" hidden="1"/>
    <cellStyle name="Hyperlink" xfId="8298" builtinId="8" hidden="1"/>
    <cellStyle name="Hyperlink" xfId="8300" builtinId="8" hidden="1"/>
    <cellStyle name="Hyperlink" xfId="8302" builtinId="8" hidden="1"/>
    <cellStyle name="Hyperlink" xfId="8304" builtinId="8" hidden="1"/>
    <cellStyle name="Hyperlink" xfId="8306" builtinId="8" hidden="1"/>
    <cellStyle name="Hyperlink" xfId="8308" builtinId="8" hidden="1"/>
    <cellStyle name="Hyperlink" xfId="8310" builtinId="8" hidden="1"/>
    <cellStyle name="Hyperlink" xfId="8312" builtinId="8" hidden="1"/>
    <cellStyle name="Hyperlink" xfId="8314" builtinId="8" hidden="1"/>
    <cellStyle name="Hyperlink" xfId="8316" builtinId="8" hidden="1"/>
    <cellStyle name="Hyperlink" xfId="8318" builtinId="8" hidden="1"/>
    <cellStyle name="Hyperlink" xfId="8320" builtinId="8" hidden="1"/>
    <cellStyle name="Hyperlink" xfId="8322" builtinId="8" hidden="1"/>
    <cellStyle name="Hyperlink" xfId="8324" builtinId="8" hidden="1"/>
    <cellStyle name="Hyperlink" xfId="8326" builtinId="8" hidden="1"/>
    <cellStyle name="Hyperlink" xfId="8328" builtinId="8" hidden="1"/>
    <cellStyle name="Hyperlink" xfId="8330" builtinId="8" hidden="1"/>
    <cellStyle name="Hyperlink" xfId="8332" builtinId="8" hidden="1"/>
    <cellStyle name="Hyperlink" xfId="8334" builtinId="8" hidden="1"/>
    <cellStyle name="Hyperlink" xfId="8336" builtinId="8" hidden="1"/>
    <cellStyle name="Hyperlink" xfId="8338" builtinId="8" hidden="1"/>
    <cellStyle name="Hyperlink" xfId="8340" builtinId="8" hidden="1"/>
    <cellStyle name="Hyperlink" xfId="8342" builtinId="8" hidden="1"/>
    <cellStyle name="Hyperlink" xfId="8344" builtinId="8" hidden="1"/>
    <cellStyle name="Hyperlink" xfId="8346" builtinId="8" hidden="1"/>
    <cellStyle name="Hyperlink" xfId="8348" builtinId="8" hidden="1"/>
    <cellStyle name="Hyperlink" xfId="8350" builtinId="8" hidden="1"/>
    <cellStyle name="Hyperlink" xfId="8352" builtinId="8" hidden="1"/>
    <cellStyle name="Hyperlink" xfId="8354" builtinId="8" hidden="1"/>
    <cellStyle name="Hyperlink" xfId="8356" builtinId="8" hidden="1"/>
    <cellStyle name="Hyperlink" xfId="8358" builtinId="8" hidden="1"/>
    <cellStyle name="Hyperlink" xfId="8360" builtinId="8" hidden="1"/>
    <cellStyle name="Hyperlink" xfId="8362" builtinId="8" hidden="1"/>
    <cellStyle name="Hyperlink" xfId="8364" builtinId="8" hidden="1"/>
    <cellStyle name="Hyperlink" xfId="8366" builtinId="8" hidden="1"/>
    <cellStyle name="Hyperlink" xfId="8368" builtinId="8" hidden="1"/>
    <cellStyle name="Hyperlink" xfId="8370" builtinId="8" hidden="1"/>
    <cellStyle name="Hyperlink" xfId="8372" builtinId="8" hidden="1"/>
    <cellStyle name="Hyperlink" xfId="8374" builtinId="8" hidden="1"/>
    <cellStyle name="Hyperlink" xfId="8376" builtinId="8" hidden="1"/>
    <cellStyle name="Hyperlink" xfId="8378" builtinId="8" hidden="1"/>
    <cellStyle name="Hyperlink" xfId="8380" builtinId="8" hidden="1"/>
    <cellStyle name="Hyperlink" xfId="8382" builtinId="8" hidden="1"/>
    <cellStyle name="Hyperlink" xfId="8384" builtinId="8" hidden="1"/>
    <cellStyle name="Hyperlink" xfId="8386" builtinId="8" hidden="1"/>
    <cellStyle name="Hyperlink" xfId="8388" builtinId="8" hidden="1"/>
    <cellStyle name="Hyperlink" xfId="8390" builtinId="8" hidden="1"/>
    <cellStyle name="Hyperlink" xfId="8392" builtinId="8" hidden="1"/>
    <cellStyle name="Hyperlink" xfId="8394" builtinId="8" hidden="1"/>
    <cellStyle name="Hyperlink" xfId="8396" builtinId="8" hidden="1"/>
    <cellStyle name="Hyperlink" xfId="8398" builtinId="8" hidden="1"/>
    <cellStyle name="Hyperlink" xfId="8400" builtinId="8" hidden="1"/>
    <cellStyle name="Hyperlink" xfId="8402" builtinId="8" hidden="1"/>
    <cellStyle name="Hyperlink" xfId="8404" builtinId="8" hidden="1"/>
    <cellStyle name="Hyperlink" xfId="8406" builtinId="8" hidden="1"/>
    <cellStyle name="Hyperlink" xfId="8408" builtinId="8" hidden="1"/>
    <cellStyle name="Hyperlink" xfId="8410" builtinId="8" hidden="1"/>
    <cellStyle name="Hyperlink" xfId="8412" builtinId="8" hidden="1"/>
    <cellStyle name="Hyperlink" xfId="8414" builtinId="8" hidden="1"/>
    <cellStyle name="Hyperlink" xfId="8416" builtinId="8" hidden="1"/>
    <cellStyle name="Hyperlink" xfId="8418" builtinId="8" hidden="1"/>
    <cellStyle name="Hyperlink" xfId="8420" builtinId="8" hidden="1"/>
    <cellStyle name="Hyperlink" xfId="8422" builtinId="8" hidden="1"/>
    <cellStyle name="Hyperlink" xfId="8424" builtinId="8" hidden="1"/>
    <cellStyle name="Hyperlink" xfId="8426" builtinId="8" hidden="1"/>
    <cellStyle name="Hyperlink" xfId="8428" builtinId="8" hidden="1"/>
    <cellStyle name="Hyperlink" xfId="8430" builtinId="8" hidden="1"/>
    <cellStyle name="Hyperlink" xfId="8432" builtinId="8" hidden="1"/>
    <cellStyle name="Hyperlink" xfId="8434" builtinId="8" hidden="1"/>
    <cellStyle name="Hyperlink" xfId="8436" builtinId="8" hidden="1"/>
    <cellStyle name="Hyperlink" xfId="8438" builtinId="8" hidden="1"/>
    <cellStyle name="Hyperlink" xfId="8440" builtinId="8" hidden="1"/>
    <cellStyle name="Hyperlink" xfId="8442" builtinId="8" hidden="1"/>
    <cellStyle name="Hyperlink" xfId="8444" builtinId="8" hidden="1"/>
    <cellStyle name="Hyperlink" xfId="8446" builtinId="8" hidden="1"/>
    <cellStyle name="Hyperlink" xfId="8448" builtinId="8" hidden="1"/>
    <cellStyle name="Hyperlink" xfId="8450" builtinId="8" hidden="1"/>
    <cellStyle name="Hyperlink" xfId="8452" builtinId="8" hidden="1"/>
    <cellStyle name="Hyperlink" xfId="8454" builtinId="8" hidden="1"/>
    <cellStyle name="Hyperlink" xfId="8456" builtinId="8" hidden="1"/>
    <cellStyle name="Hyperlink" xfId="8458" builtinId="8" hidden="1"/>
    <cellStyle name="Hyperlink" xfId="8460" builtinId="8" hidden="1"/>
    <cellStyle name="Hyperlink" xfId="8462" builtinId="8" hidden="1"/>
    <cellStyle name="Hyperlink" xfId="8464" builtinId="8" hidden="1"/>
    <cellStyle name="Hyperlink" xfId="8466" builtinId="8" hidden="1"/>
    <cellStyle name="Hyperlink" xfId="8468" builtinId="8" hidden="1"/>
    <cellStyle name="Hyperlink" xfId="8470" builtinId="8" hidden="1"/>
    <cellStyle name="Hyperlink" xfId="8472" builtinId="8" hidden="1"/>
    <cellStyle name="Hyperlink" xfId="8474" builtinId="8" hidden="1"/>
    <cellStyle name="Hyperlink" xfId="8476" builtinId="8" hidden="1"/>
    <cellStyle name="Hyperlink" xfId="8478" builtinId="8" hidden="1"/>
    <cellStyle name="Hyperlink" xfId="8480" builtinId="8" hidden="1"/>
    <cellStyle name="Hyperlink" xfId="8482" builtinId="8" hidden="1"/>
    <cellStyle name="Hyperlink" xfId="8484" builtinId="8" hidden="1"/>
    <cellStyle name="Hyperlink" xfId="8486" builtinId="8" hidden="1"/>
    <cellStyle name="Hyperlink" xfId="8488" builtinId="8" hidden="1"/>
    <cellStyle name="Hyperlink" xfId="8490" builtinId="8" hidden="1"/>
    <cellStyle name="Hyperlink" xfId="8492" builtinId="8" hidden="1"/>
    <cellStyle name="Hyperlink" xfId="8494" builtinId="8" hidden="1"/>
    <cellStyle name="Hyperlink" xfId="8496" builtinId="8" hidden="1"/>
    <cellStyle name="Hyperlink" xfId="8498" builtinId="8" hidden="1"/>
    <cellStyle name="Hyperlink" xfId="8500" builtinId="8" hidden="1"/>
    <cellStyle name="Hyperlink" xfId="8502" builtinId="8" hidden="1"/>
    <cellStyle name="Hyperlink" xfId="8504" builtinId="8" hidden="1"/>
    <cellStyle name="Hyperlink" xfId="8506" builtinId="8" hidden="1"/>
    <cellStyle name="Hyperlink" xfId="8508" builtinId="8" hidden="1"/>
    <cellStyle name="Hyperlink" xfId="8510" builtinId="8" hidden="1"/>
    <cellStyle name="Hyperlink" xfId="8512" builtinId="8" hidden="1"/>
    <cellStyle name="Hyperlink" xfId="8514" builtinId="8" hidden="1"/>
    <cellStyle name="Hyperlink" xfId="8516" builtinId="8" hidden="1"/>
    <cellStyle name="Hyperlink" xfId="8518" builtinId="8" hidden="1"/>
    <cellStyle name="Hyperlink" xfId="8520" builtinId="8" hidden="1"/>
    <cellStyle name="Hyperlink" xfId="8522" builtinId="8" hidden="1"/>
    <cellStyle name="Hyperlink" xfId="8524" builtinId="8" hidden="1"/>
    <cellStyle name="Hyperlink" xfId="8526" builtinId="8" hidden="1"/>
    <cellStyle name="Hyperlink" xfId="8528" builtinId="8" hidden="1"/>
    <cellStyle name="Hyperlink" xfId="8530" builtinId="8" hidden="1"/>
    <cellStyle name="Hyperlink" xfId="8532" builtinId="8" hidden="1"/>
    <cellStyle name="Hyperlink" xfId="8534" builtinId="8" hidden="1"/>
    <cellStyle name="Hyperlink" xfId="8536" builtinId="8" hidden="1"/>
    <cellStyle name="Hyperlink" xfId="8538" builtinId="8" hidden="1"/>
    <cellStyle name="Hyperlink" xfId="8540" builtinId="8" hidden="1"/>
    <cellStyle name="Hyperlink" xfId="8542" builtinId="8" hidden="1"/>
    <cellStyle name="Hyperlink" xfId="8544" builtinId="8" hidden="1"/>
    <cellStyle name="Hyperlink" xfId="8546" builtinId="8" hidden="1"/>
    <cellStyle name="Hyperlink" xfId="8548" builtinId="8" hidden="1"/>
    <cellStyle name="Hyperlink" xfId="8550" builtinId="8" hidden="1"/>
    <cellStyle name="Hyperlink" xfId="8552" builtinId="8" hidden="1"/>
    <cellStyle name="Hyperlink" xfId="8554" builtinId="8" hidden="1"/>
    <cellStyle name="Hyperlink" xfId="8556" builtinId="8" hidden="1"/>
    <cellStyle name="Hyperlink" xfId="8558" builtinId="8" hidden="1"/>
    <cellStyle name="Hyperlink" xfId="8560" builtinId="8" hidden="1"/>
    <cellStyle name="Hyperlink" xfId="8562" builtinId="8" hidden="1"/>
    <cellStyle name="Hyperlink" xfId="8564" builtinId="8" hidden="1"/>
    <cellStyle name="Hyperlink" xfId="8566" builtinId="8" hidden="1"/>
    <cellStyle name="Hyperlink" xfId="8568" builtinId="8" hidden="1"/>
    <cellStyle name="Hyperlink" xfId="8570" builtinId="8" hidden="1"/>
    <cellStyle name="Hyperlink" xfId="8572" builtinId="8" hidden="1"/>
    <cellStyle name="Hyperlink" xfId="8574" builtinId="8" hidden="1"/>
    <cellStyle name="Hyperlink" xfId="8576" builtinId="8" hidden="1"/>
    <cellStyle name="Hyperlink" xfId="8578" builtinId="8" hidden="1"/>
    <cellStyle name="Hyperlink" xfId="8580" builtinId="8" hidden="1"/>
    <cellStyle name="Hyperlink" xfId="8582" builtinId="8" hidden="1"/>
    <cellStyle name="Hyperlink" xfId="8584" builtinId="8" hidden="1"/>
    <cellStyle name="Hyperlink" xfId="8586" builtinId="8" hidden="1"/>
    <cellStyle name="Hyperlink" xfId="8588" builtinId="8" hidden="1"/>
    <cellStyle name="Hyperlink" xfId="8590" builtinId="8" hidden="1"/>
    <cellStyle name="Hyperlink" xfId="8592" builtinId="8" hidden="1"/>
    <cellStyle name="Hyperlink" xfId="8594" builtinId="8" hidden="1"/>
    <cellStyle name="Hyperlink" xfId="8596" builtinId="8" hidden="1"/>
    <cellStyle name="Hyperlink" xfId="8598" builtinId="8" hidden="1"/>
    <cellStyle name="Hyperlink" xfId="8600" builtinId="8" hidden="1"/>
    <cellStyle name="Hyperlink" xfId="8602" builtinId="8" hidden="1"/>
    <cellStyle name="Hyperlink" xfId="8604" builtinId="8" hidden="1"/>
    <cellStyle name="Hyperlink" xfId="8606" builtinId="8" hidden="1"/>
    <cellStyle name="Hyperlink" xfId="8608" builtinId="8" hidden="1"/>
    <cellStyle name="Hyperlink" xfId="8610" builtinId="8" hidden="1"/>
    <cellStyle name="Hyperlink" xfId="8612" builtinId="8" hidden="1"/>
    <cellStyle name="Hyperlink" xfId="8614" builtinId="8" hidden="1"/>
    <cellStyle name="Hyperlink" xfId="8616" builtinId="8" hidden="1"/>
    <cellStyle name="Hyperlink" xfId="8618" builtinId="8" hidden="1"/>
    <cellStyle name="Hyperlink" xfId="8620" builtinId="8" hidden="1"/>
    <cellStyle name="Hyperlink" xfId="8622" builtinId="8" hidden="1"/>
    <cellStyle name="Hyperlink" xfId="8624" builtinId="8" hidden="1"/>
    <cellStyle name="Hyperlink" xfId="8626" builtinId="8" hidden="1"/>
    <cellStyle name="Hyperlink" xfId="8628" builtinId="8" hidden="1"/>
    <cellStyle name="Hyperlink" xfId="8630" builtinId="8" hidden="1"/>
    <cellStyle name="Hyperlink" xfId="8632" builtinId="8" hidden="1"/>
    <cellStyle name="Hyperlink" xfId="8634" builtinId="8" hidden="1"/>
    <cellStyle name="Hyperlink" xfId="8636" builtinId="8" hidden="1"/>
    <cellStyle name="Hyperlink" xfId="8638" builtinId="8" hidden="1"/>
    <cellStyle name="Hyperlink" xfId="8640" builtinId="8" hidden="1"/>
    <cellStyle name="Hyperlink" xfId="8642" builtinId="8" hidden="1"/>
    <cellStyle name="Hyperlink" xfId="8644" builtinId="8" hidden="1"/>
    <cellStyle name="Hyperlink" xfId="8646" builtinId="8" hidden="1"/>
    <cellStyle name="Hyperlink" xfId="8648" builtinId="8" hidden="1"/>
    <cellStyle name="Hyperlink" xfId="8650" builtinId="8" hidden="1"/>
    <cellStyle name="Hyperlink" xfId="8652" builtinId="8" hidden="1"/>
    <cellStyle name="Hyperlink" xfId="8654" builtinId="8" hidden="1"/>
    <cellStyle name="Hyperlink" xfId="8656" builtinId="8" hidden="1"/>
    <cellStyle name="Hyperlink" xfId="8658" builtinId="8" hidden="1"/>
    <cellStyle name="Hyperlink" xfId="8660" builtinId="8" hidden="1"/>
    <cellStyle name="Hyperlink" xfId="8662" builtinId="8" hidden="1"/>
    <cellStyle name="Hyperlink" xfId="8664" builtinId="8" hidden="1"/>
    <cellStyle name="Hyperlink" xfId="8666" builtinId="8" hidden="1"/>
    <cellStyle name="Hyperlink" xfId="8668" builtinId="8" hidden="1"/>
    <cellStyle name="Hyperlink" xfId="8670" builtinId="8" hidden="1"/>
    <cellStyle name="Hyperlink" xfId="8672" builtinId="8" hidden="1"/>
    <cellStyle name="Hyperlink" xfId="8674" builtinId="8" hidden="1"/>
    <cellStyle name="Hyperlink" xfId="8676" builtinId="8" hidden="1"/>
    <cellStyle name="Hyperlink" xfId="8678" builtinId="8" hidden="1"/>
    <cellStyle name="Hyperlink" xfId="8680" builtinId="8" hidden="1"/>
    <cellStyle name="Hyperlink" xfId="8682" builtinId="8" hidden="1"/>
    <cellStyle name="Hyperlink" xfId="8684" builtinId="8" hidden="1"/>
    <cellStyle name="Hyperlink" xfId="8686" builtinId="8" hidden="1"/>
    <cellStyle name="Hyperlink" xfId="8688" builtinId="8" hidden="1"/>
    <cellStyle name="Hyperlink" xfId="8690" builtinId="8" hidden="1"/>
    <cellStyle name="Hyperlink" xfId="8692" builtinId="8" hidden="1"/>
    <cellStyle name="Hyperlink" xfId="8694" builtinId="8" hidden="1"/>
    <cellStyle name="Hyperlink" xfId="8696" builtinId="8" hidden="1"/>
    <cellStyle name="Hyperlink" xfId="8698" builtinId="8" hidden="1"/>
    <cellStyle name="Hyperlink" xfId="8700" builtinId="8" hidden="1"/>
    <cellStyle name="Hyperlink" xfId="8702" builtinId="8" hidden="1"/>
    <cellStyle name="Hyperlink" xfId="8704" builtinId="8" hidden="1"/>
    <cellStyle name="Hyperlink" xfId="8706" builtinId="8" hidden="1"/>
    <cellStyle name="Hyperlink" xfId="8708" builtinId="8" hidden="1"/>
    <cellStyle name="Hyperlink" xfId="8710" builtinId="8" hidden="1"/>
    <cellStyle name="Hyperlink" xfId="8712" builtinId="8" hidden="1"/>
    <cellStyle name="Hyperlink" xfId="8714" builtinId="8" hidden="1"/>
    <cellStyle name="Hyperlink" xfId="8716" builtinId="8" hidden="1"/>
    <cellStyle name="Hyperlink" xfId="8718" builtinId="8" hidden="1"/>
    <cellStyle name="Hyperlink" xfId="8720" builtinId="8" hidden="1"/>
    <cellStyle name="Hyperlink" xfId="8722" builtinId="8" hidden="1"/>
    <cellStyle name="Hyperlink" xfId="8724" builtinId="8" hidden="1"/>
    <cellStyle name="Hyperlink" xfId="8726" builtinId="8" hidden="1"/>
    <cellStyle name="Hyperlink" xfId="8728" builtinId="8" hidden="1"/>
    <cellStyle name="Hyperlink" xfId="8730" builtinId="8" hidden="1"/>
    <cellStyle name="Hyperlink" xfId="8732" builtinId="8" hidden="1"/>
    <cellStyle name="Hyperlink" xfId="8734" builtinId="8" hidden="1"/>
    <cellStyle name="Hyperlink" xfId="8736" builtinId="8" hidden="1"/>
    <cellStyle name="Hyperlink" xfId="8738" builtinId="8" hidden="1"/>
    <cellStyle name="Hyperlink" xfId="8740" builtinId="8" hidden="1"/>
    <cellStyle name="Hyperlink" xfId="8742" builtinId="8" hidden="1"/>
    <cellStyle name="Hyperlink" xfId="8744" builtinId="8" hidden="1"/>
    <cellStyle name="Hyperlink" xfId="8746" builtinId="8" hidden="1"/>
    <cellStyle name="Hyperlink" xfId="8748" builtinId="8" hidden="1"/>
    <cellStyle name="Hyperlink" xfId="8750" builtinId="8" hidden="1"/>
    <cellStyle name="Hyperlink" xfId="8752" builtinId="8" hidden="1"/>
    <cellStyle name="Hyperlink" xfId="8754" builtinId="8" hidden="1"/>
    <cellStyle name="Hyperlink" xfId="8756" builtinId="8" hidden="1"/>
    <cellStyle name="Hyperlink" xfId="8758" builtinId="8" hidden="1"/>
    <cellStyle name="Hyperlink" xfId="8760" builtinId="8" hidden="1"/>
    <cellStyle name="Hyperlink" xfId="8762" builtinId="8" hidden="1"/>
    <cellStyle name="Hyperlink" xfId="8764" builtinId="8" hidden="1"/>
    <cellStyle name="Hyperlink" xfId="8766" builtinId="8" hidden="1"/>
    <cellStyle name="Hyperlink" xfId="8768" builtinId="8" hidden="1"/>
    <cellStyle name="Hyperlink" xfId="8770" builtinId="8" hidden="1"/>
    <cellStyle name="Hyperlink" xfId="8772" builtinId="8" hidden="1"/>
    <cellStyle name="Hyperlink" xfId="8774" builtinId="8" hidden="1"/>
    <cellStyle name="Hyperlink" xfId="8776" builtinId="8" hidden="1"/>
    <cellStyle name="Hyperlink" xfId="8778" builtinId="8" hidden="1"/>
    <cellStyle name="Hyperlink" xfId="8780" builtinId="8" hidden="1"/>
    <cellStyle name="Hyperlink" xfId="8782" builtinId="8" hidden="1"/>
    <cellStyle name="Hyperlink" xfId="8784" builtinId="8" hidden="1"/>
    <cellStyle name="Hyperlink" xfId="8786" builtinId="8" hidden="1"/>
    <cellStyle name="Hyperlink" xfId="8788" builtinId="8" hidden="1"/>
    <cellStyle name="Hyperlink" xfId="8790" builtinId="8" hidden="1"/>
    <cellStyle name="Hyperlink" xfId="8792" builtinId="8" hidden="1"/>
    <cellStyle name="Hyperlink" xfId="8794" builtinId="8" hidden="1"/>
    <cellStyle name="Hyperlink" xfId="8796" builtinId="8" hidden="1"/>
    <cellStyle name="Hyperlink" xfId="8798" builtinId="8" hidden="1"/>
    <cellStyle name="Hyperlink" xfId="8800" builtinId="8" hidden="1"/>
    <cellStyle name="Hyperlink" xfId="8802" builtinId="8" hidden="1"/>
    <cellStyle name="Hyperlink" xfId="8804" builtinId="8" hidden="1"/>
    <cellStyle name="Hyperlink" xfId="8806" builtinId="8" hidden="1"/>
    <cellStyle name="Hyperlink" xfId="8808" builtinId="8" hidden="1"/>
    <cellStyle name="Hyperlink" xfId="8810" builtinId="8" hidden="1"/>
    <cellStyle name="Hyperlink" xfId="8812" builtinId="8" hidden="1"/>
    <cellStyle name="Hyperlink" xfId="8814" builtinId="8" hidden="1"/>
    <cellStyle name="Hyperlink" xfId="8816" builtinId="8" hidden="1"/>
    <cellStyle name="Hyperlink" xfId="8818" builtinId="8" hidden="1"/>
    <cellStyle name="Hyperlink" xfId="8820" builtinId="8" hidden="1"/>
    <cellStyle name="Hyperlink" xfId="8822" builtinId="8" hidden="1"/>
    <cellStyle name="Hyperlink" xfId="8824" builtinId="8" hidden="1"/>
    <cellStyle name="Hyperlink" xfId="8826" builtinId="8" hidden="1"/>
    <cellStyle name="Hyperlink" xfId="8828" builtinId="8" hidden="1"/>
    <cellStyle name="Hyperlink" xfId="8830" builtinId="8" hidden="1"/>
    <cellStyle name="Hyperlink" xfId="8832" builtinId="8" hidden="1"/>
    <cellStyle name="Hyperlink" xfId="8834" builtinId="8" hidden="1"/>
    <cellStyle name="Hyperlink" xfId="8836" builtinId="8" hidden="1"/>
    <cellStyle name="Hyperlink" xfId="8838" builtinId="8" hidden="1"/>
    <cellStyle name="Hyperlink" xfId="8840" builtinId="8" hidden="1"/>
    <cellStyle name="Hyperlink" xfId="8842" builtinId="8" hidden="1"/>
    <cellStyle name="Hyperlink" xfId="8844" builtinId="8" hidden="1"/>
    <cellStyle name="Hyperlink" xfId="8846" builtinId="8" hidden="1"/>
    <cellStyle name="Hyperlink" xfId="8848" builtinId="8" hidden="1"/>
    <cellStyle name="Hyperlink" xfId="8850" builtinId="8" hidden="1"/>
    <cellStyle name="Hyperlink" xfId="8852" builtinId="8" hidden="1"/>
    <cellStyle name="Hyperlink" xfId="8854" builtinId="8" hidden="1"/>
    <cellStyle name="Hyperlink" xfId="8856" builtinId="8" hidden="1"/>
    <cellStyle name="Hyperlink" xfId="8858" builtinId="8" hidden="1"/>
    <cellStyle name="Hyperlink" xfId="8860" builtinId="8" hidden="1"/>
    <cellStyle name="Hyperlink" xfId="8862" builtinId="8" hidden="1"/>
    <cellStyle name="Hyperlink" xfId="8864" builtinId="8" hidden="1"/>
    <cellStyle name="Hyperlink" xfId="8866" builtinId="8" hidden="1"/>
    <cellStyle name="Hyperlink" xfId="8868" builtinId="8" hidden="1"/>
    <cellStyle name="Hyperlink" xfId="8870" builtinId="8" hidden="1"/>
    <cellStyle name="Hyperlink" xfId="8872" builtinId="8" hidden="1"/>
    <cellStyle name="Hyperlink" xfId="8874" builtinId="8" hidden="1"/>
    <cellStyle name="Hyperlink" xfId="8876" builtinId="8" hidden="1"/>
    <cellStyle name="Hyperlink" xfId="8878" builtinId="8" hidden="1"/>
    <cellStyle name="Hyperlink" xfId="8880" builtinId="8" hidden="1"/>
    <cellStyle name="Hyperlink" xfId="8882" builtinId="8" hidden="1"/>
    <cellStyle name="Hyperlink" xfId="8884" builtinId="8" hidden="1"/>
    <cellStyle name="Hyperlink" xfId="8886" builtinId="8" hidden="1"/>
    <cellStyle name="Hyperlink" xfId="8888" builtinId="8" hidden="1"/>
    <cellStyle name="Hyperlink" xfId="8890" builtinId="8" hidden="1"/>
    <cellStyle name="Hyperlink" xfId="8892" builtinId="8" hidden="1"/>
    <cellStyle name="Hyperlink" xfId="8894" builtinId="8" hidden="1"/>
    <cellStyle name="Hyperlink" xfId="8896" builtinId="8" hidden="1"/>
    <cellStyle name="Hyperlink" xfId="8898" builtinId="8" hidden="1"/>
    <cellStyle name="Hyperlink" xfId="8900" builtinId="8" hidden="1"/>
    <cellStyle name="Hyperlink" xfId="8902" builtinId="8" hidden="1"/>
    <cellStyle name="Hyperlink" xfId="8904" builtinId="8" hidden="1"/>
    <cellStyle name="Hyperlink" xfId="8906" builtinId="8" hidden="1"/>
    <cellStyle name="Hyperlink" xfId="8908" builtinId="8" hidden="1"/>
    <cellStyle name="Hyperlink" xfId="8910" builtinId="8" hidden="1"/>
    <cellStyle name="Hyperlink" xfId="8912" builtinId="8" hidden="1"/>
    <cellStyle name="Hyperlink" xfId="8914" builtinId="8" hidden="1"/>
    <cellStyle name="Hyperlink" xfId="8916" builtinId="8" hidden="1"/>
    <cellStyle name="Hyperlink" xfId="8918" builtinId="8" hidden="1"/>
    <cellStyle name="Hyperlink" xfId="8920" builtinId="8" hidden="1"/>
    <cellStyle name="Hyperlink" xfId="8922" builtinId="8" hidden="1"/>
    <cellStyle name="Hyperlink" xfId="8924" builtinId="8" hidden="1"/>
    <cellStyle name="Hyperlink" xfId="8926" builtinId="8" hidden="1"/>
    <cellStyle name="Hyperlink" xfId="8928" builtinId="8" hidden="1"/>
    <cellStyle name="Hyperlink" xfId="8930" builtinId="8" hidden="1"/>
    <cellStyle name="Hyperlink" xfId="8932" builtinId="8" hidden="1"/>
    <cellStyle name="Hyperlink" xfId="8934" builtinId="8" hidden="1"/>
    <cellStyle name="Hyperlink" xfId="8936" builtinId="8" hidden="1"/>
    <cellStyle name="Hyperlink" xfId="8938" builtinId="8" hidden="1"/>
    <cellStyle name="Hyperlink" xfId="8940" builtinId="8" hidden="1"/>
    <cellStyle name="Hyperlink" xfId="8942" builtinId="8" hidden="1"/>
    <cellStyle name="Hyperlink" xfId="8944" builtinId="8" hidden="1"/>
    <cellStyle name="Hyperlink" xfId="8946" builtinId="8" hidden="1"/>
    <cellStyle name="Hyperlink" xfId="8948" builtinId="8" hidden="1"/>
    <cellStyle name="Hyperlink" xfId="8950" builtinId="8" hidden="1"/>
    <cellStyle name="Hyperlink" xfId="8952" builtinId="8" hidden="1"/>
    <cellStyle name="Hyperlink" xfId="8954" builtinId="8" hidden="1"/>
    <cellStyle name="Hyperlink" xfId="8956" builtinId="8" hidden="1"/>
    <cellStyle name="Hyperlink" xfId="8958" builtinId="8" hidden="1"/>
    <cellStyle name="Hyperlink" xfId="8960" builtinId="8" hidden="1"/>
    <cellStyle name="Hyperlink" xfId="8962" builtinId="8" hidden="1"/>
    <cellStyle name="Hyperlink" xfId="8964" builtinId="8" hidden="1"/>
    <cellStyle name="Hyperlink" xfId="8966" builtinId="8" hidden="1"/>
    <cellStyle name="Hyperlink" xfId="8968" builtinId="8" hidden="1"/>
    <cellStyle name="Hyperlink" xfId="8970" builtinId="8" hidden="1"/>
    <cellStyle name="Hyperlink" xfId="8972" builtinId="8" hidden="1"/>
    <cellStyle name="Hyperlink" xfId="8974" builtinId="8" hidden="1"/>
    <cellStyle name="Hyperlink" xfId="8976" builtinId="8" hidden="1"/>
    <cellStyle name="Hyperlink" xfId="8978" builtinId="8" hidden="1"/>
    <cellStyle name="Hyperlink" xfId="8980" builtinId="8" hidden="1"/>
    <cellStyle name="Hyperlink" xfId="8982" builtinId="8" hidden="1"/>
    <cellStyle name="Hyperlink" xfId="8984" builtinId="8" hidden="1"/>
    <cellStyle name="Hyperlink" xfId="8986" builtinId="8" hidden="1"/>
    <cellStyle name="Hyperlink" xfId="8988" builtinId="8" hidden="1"/>
    <cellStyle name="Hyperlink" xfId="8990" builtinId="8" hidden="1"/>
    <cellStyle name="Hyperlink" xfId="8992" builtinId="8" hidden="1"/>
    <cellStyle name="Hyperlink" xfId="8994" builtinId="8" hidden="1"/>
    <cellStyle name="Hyperlink" xfId="8996" builtinId="8" hidden="1"/>
    <cellStyle name="Hyperlink" xfId="8998" builtinId="8" hidden="1"/>
    <cellStyle name="Hyperlink" xfId="9000" builtinId="8" hidden="1"/>
    <cellStyle name="Hyperlink" xfId="9002" builtinId="8" hidden="1"/>
    <cellStyle name="Hyperlink" xfId="9004" builtinId="8" hidden="1"/>
    <cellStyle name="Hyperlink" xfId="9006" builtinId="8" hidden="1"/>
    <cellStyle name="Hyperlink" xfId="9008" builtinId="8" hidden="1"/>
    <cellStyle name="Hyperlink" xfId="9010" builtinId="8" hidden="1"/>
    <cellStyle name="Hyperlink" xfId="9012" builtinId="8" hidden="1"/>
    <cellStyle name="Hyperlink" xfId="9014" builtinId="8" hidden="1"/>
    <cellStyle name="Hyperlink" xfId="9016" builtinId="8" hidden="1"/>
    <cellStyle name="Hyperlink" xfId="9018" builtinId="8" hidden="1"/>
    <cellStyle name="Hyperlink" xfId="9020" builtinId="8" hidden="1"/>
    <cellStyle name="Hyperlink" xfId="9022" builtinId="8" hidden="1"/>
    <cellStyle name="Hyperlink" xfId="9024" builtinId="8" hidden="1"/>
    <cellStyle name="Hyperlink" xfId="9026" builtinId="8" hidden="1"/>
    <cellStyle name="Hyperlink" xfId="9028" builtinId="8" hidden="1"/>
    <cellStyle name="Hyperlink" xfId="9030" builtinId="8" hidden="1"/>
    <cellStyle name="Hyperlink" xfId="9032" builtinId="8" hidden="1"/>
    <cellStyle name="Hyperlink" xfId="9034" builtinId="8" hidden="1"/>
    <cellStyle name="Hyperlink" xfId="9036" builtinId="8" hidden="1"/>
    <cellStyle name="Hyperlink" xfId="9038" builtinId="8" hidden="1"/>
    <cellStyle name="Hyperlink" xfId="9040" builtinId="8" hidden="1"/>
    <cellStyle name="Hyperlink" xfId="9042" builtinId="8" hidden="1"/>
    <cellStyle name="Hyperlink" xfId="9044" builtinId="8" hidden="1"/>
    <cellStyle name="Hyperlink" xfId="9046" builtinId="8" hidden="1"/>
    <cellStyle name="Hyperlink" xfId="9048" builtinId="8" hidden="1"/>
    <cellStyle name="Hyperlink" xfId="9050" builtinId="8" hidden="1"/>
    <cellStyle name="Hyperlink" xfId="9052" builtinId="8" hidden="1"/>
    <cellStyle name="Hyperlink" xfId="9054" builtinId="8" hidden="1"/>
    <cellStyle name="Hyperlink" xfId="9056" builtinId="8" hidden="1"/>
    <cellStyle name="Hyperlink" xfId="9058" builtinId="8" hidden="1"/>
    <cellStyle name="Hyperlink" xfId="9060" builtinId="8" hidden="1"/>
    <cellStyle name="Hyperlink" xfId="9062" builtinId="8" hidden="1"/>
    <cellStyle name="Hyperlink" xfId="9064" builtinId="8" hidden="1"/>
    <cellStyle name="Hyperlink" xfId="9066" builtinId="8" hidden="1"/>
    <cellStyle name="Hyperlink" xfId="9068" builtinId="8" hidden="1"/>
    <cellStyle name="Hyperlink" xfId="9070" builtinId="8" hidden="1"/>
    <cellStyle name="Hyperlink" xfId="9072" builtinId="8" hidden="1"/>
    <cellStyle name="Hyperlink" xfId="9074" builtinId="8" hidden="1"/>
    <cellStyle name="Hyperlink" xfId="9076" builtinId="8" hidden="1"/>
    <cellStyle name="Hyperlink" xfId="9078" builtinId="8" hidden="1"/>
    <cellStyle name="Hyperlink" xfId="9080" builtinId="8" hidden="1"/>
    <cellStyle name="Hyperlink" xfId="9082" builtinId="8" hidden="1"/>
    <cellStyle name="Hyperlink" xfId="9084" builtinId="8" hidden="1"/>
    <cellStyle name="Hyperlink" xfId="9086" builtinId="8" hidden="1"/>
    <cellStyle name="Hyperlink" xfId="9088" builtinId="8" hidden="1"/>
    <cellStyle name="Hyperlink" xfId="9090" builtinId="8" hidden="1"/>
    <cellStyle name="Hyperlink" xfId="9092" builtinId="8" hidden="1"/>
    <cellStyle name="Hyperlink" xfId="9094" builtinId="8" hidden="1"/>
    <cellStyle name="Hyperlink" xfId="9096" builtinId="8" hidden="1"/>
    <cellStyle name="Hyperlink" xfId="9098" builtinId="8" hidden="1"/>
    <cellStyle name="Hyperlink" xfId="9100" builtinId="8" hidden="1"/>
    <cellStyle name="Hyperlink" xfId="9102" builtinId="8" hidden="1"/>
    <cellStyle name="Hyperlink" xfId="9104" builtinId="8" hidden="1"/>
    <cellStyle name="Hyperlink" xfId="9106" builtinId="8" hidden="1"/>
    <cellStyle name="Hyperlink" xfId="9108" builtinId="8" hidden="1"/>
    <cellStyle name="Hyperlink" xfId="9110" builtinId="8" hidden="1"/>
    <cellStyle name="Hyperlink" xfId="9112" builtinId="8" hidden="1"/>
    <cellStyle name="Hyperlink" xfId="9114" builtinId="8" hidden="1"/>
    <cellStyle name="Hyperlink" xfId="9116" builtinId="8" hidden="1"/>
    <cellStyle name="Hyperlink" xfId="9118" builtinId="8" hidden="1"/>
    <cellStyle name="Hyperlink" xfId="9120" builtinId="8" hidden="1"/>
    <cellStyle name="Hyperlink" xfId="9122" builtinId="8" hidden="1"/>
    <cellStyle name="Hyperlink" xfId="9124" builtinId="8" hidden="1"/>
    <cellStyle name="Hyperlink" xfId="9126" builtinId="8" hidden="1"/>
    <cellStyle name="Hyperlink" xfId="9128" builtinId="8" hidden="1"/>
    <cellStyle name="Hyperlink" xfId="9130" builtinId="8" hidden="1"/>
    <cellStyle name="Hyperlink" xfId="9132" builtinId="8" hidden="1"/>
    <cellStyle name="Hyperlink" xfId="9134" builtinId="8" hidden="1"/>
    <cellStyle name="Hyperlink" xfId="9136" builtinId="8" hidden="1"/>
    <cellStyle name="Hyperlink" xfId="9138" builtinId="8" hidden="1"/>
    <cellStyle name="Hyperlink" xfId="9140" builtinId="8" hidden="1"/>
    <cellStyle name="Hyperlink" xfId="9142" builtinId="8" hidden="1"/>
    <cellStyle name="Hyperlink" xfId="9144" builtinId="8" hidden="1"/>
    <cellStyle name="Hyperlink" xfId="9146" builtinId="8" hidden="1"/>
    <cellStyle name="Hyperlink" xfId="9148" builtinId="8" hidden="1"/>
    <cellStyle name="Hyperlink" xfId="9150" builtinId="8" hidden="1"/>
    <cellStyle name="Hyperlink" xfId="9152" builtinId="8" hidden="1"/>
    <cellStyle name="Hyperlink" xfId="9154" builtinId="8" hidden="1"/>
    <cellStyle name="Hyperlink" xfId="9156" builtinId="8" hidden="1"/>
    <cellStyle name="Hyperlink" xfId="9158" builtinId="8" hidden="1"/>
    <cellStyle name="Hyperlink" xfId="9160" builtinId="8" hidden="1"/>
    <cellStyle name="Hyperlink" xfId="9162" builtinId="8" hidden="1"/>
    <cellStyle name="Hyperlink" xfId="9164" builtinId="8" hidden="1"/>
    <cellStyle name="Hyperlink" xfId="9166" builtinId="8" hidden="1"/>
    <cellStyle name="Hyperlink" xfId="9168" builtinId="8" hidden="1"/>
    <cellStyle name="Hyperlink" xfId="9170" builtinId="8" hidden="1"/>
    <cellStyle name="Hyperlink" xfId="9172" builtinId="8" hidden="1"/>
    <cellStyle name="Hyperlink" xfId="9174" builtinId="8" hidden="1"/>
    <cellStyle name="Hyperlink" xfId="9176" builtinId="8" hidden="1"/>
    <cellStyle name="Hyperlink" xfId="9178" builtinId="8" hidden="1"/>
    <cellStyle name="Hyperlink" xfId="9180" builtinId="8" hidden="1"/>
    <cellStyle name="Hyperlink" xfId="9182" builtinId="8" hidden="1"/>
    <cellStyle name="Hyperlink" xfId="9184" builtinId="8" hidden="1"/>
    <cellStyle name="Hyperlink" xfId="9186" builtinId="8" hidden="1"/>
    <cellStyle name="Hyperlink" xfId="9188" builtinId="8" hidden="1"/>
    <cellStyle name="Hyperlink" xfId="9190" builtinId="8" hidden="1"/>
    <cellStyle name="Hyperlink" xfId="9192" builtinId="8" hidden="1"/>
    <cellStyle name="Hyperlink" xfId="9194" builtinId="8" hidden="1"/>
    <cellStyle name="Hyperlink" xfId="9196" builtinId="8" hidden="1"/>
    <cellStyle name="Hyperlink" xfId="9198" builtinId="8" hidden="1"/>
    <cellStyle name="Hyperlink" xfId="9200" builtinId="8" hidden="1"/>
    <cellStyle name="Hyperlink" xfId="9202" builtinId="8" hidden="1"/>
    <cellStyle name="Hyperlink" xfId="9204" builtinId="8" hidden="1"/>
    <cellStyle name="Hyperlink" xfId="9206" builtinId="8" hidden="1"/>
    <cellStyle name="Hyperlink" xfId="9208" builtinId="8" hidden="1"/>
    <cellStyle name="Hyperlink" xfId="9210" builtinId="8" hidden="1"/>
    <cellStyle name="Hyperlink" xfId="9212" builtinId="8" hidden="1"/>
    <cellStyle name="Hyperlink" xfId="9214" builtinId="8" hidden="1"/>
    <cellStyle name="Hyperlink" xfId="9216" builtinId="8" hidden="1"/>
    <cellStyle name="Hyperlink" xfId="9218" builtinId="8" hidden="1"/>
    <cellStyle name="Hyperlink" xfId="9220" builtinId="8" hidden="1"/>
    <cellStyle name="Hyperlink" xfId="9222" builtinId="8" hidden="1"/>
    <cellStyle name="Hyperlink" xfId="9224" builtinId="8" hidden="1"/>
    <cellStyle name="Hyperlink" xfId="9226" builtinId="8" hidden="1"/>
    <cellStyle name="Hyperlink" xfId="9228" builtinId="8" hidden="1"/>
    <cellStyle name="Hyperlink" xfId="9230" builtinId="8" hidden="1"/>
    <cellStyle name="Hyperlink" xfId="9232" builtinId="8" hidden="1"/>
    <cellStyle name="Hyperlink" xfId="9234" builtinId="8" hidden="1"/>
    <cellStyle name="Hyperlink" xfId="9236" builtinId="8" hidden="1"/>
    <cellStyle name="Hyperlink" xfId="9238" builtinId="8" hidden="1"/>
    <cellStyle name="Hyperlink" xfId="9240" builtinId="8" hidden="1"/>
    <cellStyle name="Hyperlink" xfId="9242" builtinId="8" hidden="1"/>
    <cellStyle name="Hyperlink" xfId="9244" builtinId="8" hidden="1"/>
    <cellStyle name="Hyperlink" xfId="9246" builtinId="8" hidden="1"/>
    <cellStyle name="Hyperlink" xfId="9248" builtinId="8" hidden="1"/>
    <cellStyle name="Hyperlink" xfId="9250" builtinId="8" hidden="1"/>
    <cellStyle name="Hyperlink" xfId="9252" builtinId="8" hidden="1"/>
    <cellStyle name="Hyperlink" xfId="9254" builtinId="8" hidden="1"/>
    <cellStyle name="Hyperlink" xfId="9256" builtinId="8" hidden="1"/>
    <cellStyle name="Hyperlink" xfId="9258" builtinId="8" hidden="1"/>
    <cellStyle name="Hyperlink" xfId="9260" builtinId="8" hidden="1"/>
    <cellStyle name="Hyperlink" xfId="9262" builtinId="8" hidden="1"/>
    <cellStyle name="Hyperlink" xfId="9264" builtinId="8" hidden="1"/>
    <cellStyle name="Hyperlink" xfId="9266" builtinId="8" hidden="1"/>
    <cellStyle name="Hyperlink" xfId="9268" builtinId="8" hidden="1"/>
    <cellStyle name="Hyperlink" xfId="9270" builtinId="8" hidden="1"/>
    <cellStyle name="Hyperlink" xfId="9272" builtinId="8" hidden="1"/>
    <cellStyle name="Hyperlink" xfId="9274" builtinId="8" hidden="1"/>
    <cellStyle name="Hyperlink" xfId="9276" builtinId="8" hidden="1"/>
    <cellStyle name="Hyperlink" xfId="9278" builtinId="8" hidden="1"/>
    <cellStyle name="Hyperlink" xfId="9280" builtinId="8" hidden="1"/>
    <cellStyle name="Hyperlink" xfId="9282" builtinId="8" hidden="1"/>
    <cellStyle name="Hyperlink" xfId="9284" builtinId="8" hidden="1"/>
    <cellStyle name="Hyperlink" xfId="9286" builtinId="8" hidden="1"/>
    <cellStyle name="Hyperlink" xfId="9288" builtinId="8" hidden="1"/>
    <cellStyle name="Hyperlink" xfId="9290" builtinId="8" hidden="1"/>
    <cellStyle name="Hyperlink" xfId="9292" builtinId="8" hidden="1"/>
    <cellStyle name="Hyperlink" xfId="9294" builtinId="8" hidden="1"/>
    <cellStyle name="Hyperlink" xfId="9296" builtinId="8" hidden="1"/>
    <cellStyle name="Hyperlink" xfId="9298" builtinId="8" hidden="1"/>
    <cellStyle name="Hyperlink" xfId="9300" builtinId="8" hidden="1"/>
    <cellStyle name="Hyperlink" xfId="9302" builtinId="8" hidden="1"/>
    <cellStyle name="Hyperlink" xfId="9304" builtinId="8" hidden="1"/>
    <cellStyle name="Hyperlink" xfId="9306" builtinId="8" hidden="1"/>
    <cellStyle name="Hyperlink" xfId="9308" builtinId="8" hidden="1"/>
    <cellStyle name="Hyperlink" xfId="9310" builtinId="8" hidden="1"/>
    <cellStyle name="Hyperlink" xfId="9312" builtinId="8" hidden="1"/>
    <cellStyle name="Hyperlink" xfId="9314" builtinId="8" hidden="1"/>
    <cellStyle name="Hyperlink" xfId="9316" builtinId="8" hidden="1"/>
    <cellStyle name="Hyperlink" xfId="9318" builtinId="8" hidden="1"/>
    <cellStyle name="Hyperlink" xfId="9320" builtinId="8" hidden="1"/>
    <cellStyle name="Hyperlink" xfId="9322" builtinId="8" hidden="1"/>
    <cellStyle name="Hyperlink" xfId="9324" builtinId="8" hidden="1"/>
    <cellStyle name="Hyperlink" xfId="9326" builtinId="8" hidden="1"/>
    <cellStyle name="Hyperlink" xfId="9328" builtinId="8" hidden="1"/>
    <cellStyle name="Hyperlink" xfId="9330" builtinId="8" hidden="1"/>
    <cellStyle name="Hyperlink" xfId="9332" builtinId="8" hidden="1"/>
    <cellStyle name="Hyperlink" xfId="9334" builtinId="8" hidden="1"/>
    <cellStyle name="Hyperlink" xfId="9336" builtinId="8" hidden="1"/>
    <cellStyle name="Hyperlink" xfId="9338" builtinId="8" hidden="1"/>
    <cellStyle name="Hyperlink" xfId="9340" builtinId="8" hidden="1"/>
    <cellStyle name="Hyperlink" xfId="9342" builtinId="8" hidden="1"/>
    <cellStyle name="Hyperlink" xfId="9344" builtinId="8" hidden="1"/>
    <cellStyle name="Hyperlink" xfId="9346" builtinId="8" hidden="1"/>
    <cellStyle name="Hyperlink" xfId="9348" builtinId="8" hidden="1"/>
    <cellStyle name="Hyperlink" xfId="9350" builtinId="8" hidden="1"/>
    <cellStyle name="Hyperlink" xfId="9352" builtinId="8" hidden="1"/>
    <cellStyle name="Hyperlink" xfId="9354" builtinId="8" hidden="1"/>
    <cellStyle name="Hyperlink" xfId="9356" builtinId="8" hidden="1"/>
    <cellStyle name="Hyperlink" xfId="9358" builtinId="8" hidden="1"/>
    <cellStyle name="Hyperlink" xfId="9360" builtinId="8" hidden="1"/>
    <cellStyle name="Hyperlink" xfId="9362" builtinId="8" hidden="1"/>
    <cellStyle name="Hyperlink" xfId="9364" builtinId="8" hidden="1"/>
    <cellStyle name="Hyperlink" xfId="9366" builtinId="8" hidden="1"/>
    <cellStyle name="Hyperlink" xfId="9368" builtinId="8" hidden="1"/>
    <cellStyle name="Hyperlink" xfId="9370" builtinId="8" hidden="1"/>
    <cellStyle name="Hyperlink" xfId="9372" builtinId="8" hidden="1"/>
    <cellStyle name="Hyperlink" xfId="9374" builtinId="8" hidden="1"/>
    <cellStyle name="Hyperlink" xfId="9376" builtinId="8" hidden="1"/>
    <cellStyle name="Hyperlink" xfId="9378" builtinId="8" hidden="1"/>
    <cellStyle name="Hyperlink" xfId="9380" builtinId="8" hidden="1"/>
    <cellStyle name="Hyperlink" xfId="9382" builtinId="8" hidden="1"/>
    <cellStyle name="Hyperlink" xfId="9384" builtinId="8" hidden="1"/>
    <cellStyle name="Hyperlink" xfId="9386" builtinId="8" hidden="1"/>
    <cellStyle name="Hyperlink" xfId="9388" builtinId="8" hidden="1"/>
    <cellStyle name="Hyperlink" xfId="9390" builtinId="8" hidden="1"/>
    <cellStyle name="Hyperlink" xfId="9392" builtinId="8" hidden="1"/>
    <cellStyle name="Hyperlink" xfId="9394" builtinId="8" hidden="1"/>
    <cellStyle name="Hyperlink" xfId="9396" builtinId="8" hidden="1"/>
    <cellStyle name="Hyperlink" xfId="9398" builtinId="8" hidden="1"/>
    <cellStyle name="Hyperlink" xfId="9400" builtinId="8" hidden="1"/>
    <cellStyle name="Hyperlink" xfId="9402" builtinId="8" hidden="1"/>
    <cellStyle name="Hyperlink" xfId="9404" builtinId="8" hidden="1"/>
    <cellStyle name="Hyperlink" xfId="9406" builtinId="8" hidden="1"/>
    <cellStyle name="Hyperlink" xfId="9408" builtinId="8" hidden="1"/>
    <cellStyle name="Hyperlink" xfId="9410" builtinId="8" hidden="1"/>
    <cellStyle name="Hyperlink" xfId="9412" builtinId="8" hidden="1"/>
    <cellStyle name="Hyperlink" xfId="9414" builtinId="8" hidden="1"/>
    <cellStyle name="Hyperlink" xfId="9416" builtinId="8" hidden="1"/>
    <cellStyle name="Hyperlink" xfId="9418" builtinId="8" hidden="1"/>
    <cellStyle name="Hyperlink" xfId="9420" builtinId="8" hidden="1"/>
    <cellStyle name="Hyperlink" xfId="9422" builtinId="8" hidden="1"/>
    <cellStyle name="Hyperlink" xfId="9424" builtinId="8" hidden="1"/>
    <cellStyle name="Hyperlink" xfId="9426" builtinId="8" hidden="1"/>
    <cellStyle name="Hyperlink" xfId="9428" builtinId="8" hidden="1"/>
    <cellStyle name="Hyperlink" xfId="9430" builtinId="8" hidden="1"/>
    <cellStyle name="Hyperlink" xfId="9432" builtinId="8" hidden="1"/>
    <cellStyle name="Hyperlink" xfId="9434" builtinId="8" hidden="1"/>
    <cellStyle name="Hyperlink" xfId="9436" builtinId="8" hidden="1"/>
    <cellStyle name="Hyperlink" xfId="9438" builtinId="8" hidden="1"/>
    <cellStyle name="Hyperlink" xfId="9440" builtinId="8" hidden="1"/>
    <cellStyle name="Hyperlink" xfId="9442" builtinId="8" hidden="1"/>
    <cellStyle name="Hyperlink" xfId="9444" builtinId="8" hidden="1"/>
    <cellStyle name="Hyperlink" xfId="9446" builtinId="8" hidden="1"/>
    <cellStyle name="Hyperlink" xfId="9448" builtinId="8" hidden="1"/>
    <cellStyle name="Hyperlink" xfId="9450" builtinId="8" hidden="1"/>
    <cellStyle name="Hyperlink" xfId="9452" builtinId="8" hidden="1"/>
    <cellStyle name="Hyperlink" xfId="9454" builtinId="8" hidden="1"/>
    <cellStyle name="Hyperlink" xfId="9456" builtinId="8" hidden="1"/>
    <cellStyle name="Hyperlink" xfId="9458" builtinId="8" hidden="1"/>
    <cellStyle name="Hyperlink" xfId="9460" builtinId="8" hidden="1"/>
    <cellStyle name="Hyperlink" xfId="9462" builtinId="8" hidden="1"/>
    <cellStyle name="Hyperlink" xfId="9464" builtinId="8" hidden="1"/>
    <cellStyle name="Hyperlink" xfId="9466" builtinId="8" hidden="1"/>
    <cellStyle name="Hyperlink" xfId="9468" builtinId="8" hidden="1"/>
    <cellStyle name="Hyperlink" xfId="9470" builtinId="8" hidden="1"/>
    <cellStyle name="Hyperlink" xfId="9472" builtinId="8" hidden="1"/>
    <cellStyle name="Hyperlink" xfId="9474" builtinId="8" hidden="1"/>
    <cellStyle name="Hyperlink" xfId="9476" builtinId="8" hidden="1"/>
    <cellStyle name="Hyperlink" xfId="9478" builtinId="8" hidden="1"/>
    <cellStyle name="Hyperlink" xfId="9480" builtinId="8" hidden="1"/>
    <cellStyle name="Hyperlink" xfId="9482" builtinId="8" hidden="1"/>
    <cellStyle name="Hyperlink" xfId="9484" builtinId="8" hidden="1"/>
    <cellStyle name="Hyperlink" xfId="9486" builtinId="8" hidden="1"/>
    <cellStyle name="Hyperlink" xfId="9488" builtinId="8" hidden="1"/>
    <cellStyle name="Hyperlink" xfId="9490" builtinId="8" hidden="1"/>
    <cellStyle name="Hyperlink" xfId="9492" builtinId="8" hidden="1"/>
    <cellStyle name="Hyperlink" xfId="9494" builtinId="8" hidden="1"/>
    <cellStyle name="Hyperlink" xfId="9496" builtinId="8" hidden="1"/>
    <cellStyle name="Hyperlink" xfId="9498" builtinId="8" hidden="1"/>
    <cellStyle name="Hyperlink" xfId="9500" builtinId="8" hidden="1"/>
    <cellStyle name="Hyperlink" xfId="9502" builtinId="8" hidden="1"/>
    <cellStyle name="Hyperlink" xfId="9504" builtinId="8" hidden="1"/>
    <cellStyle name="Hyperlink" xfId="9506" builtinId="8" hidden="1"/>
    <cellStyle name="Hyperlink" xfId="9508" builtinId="8" hidden="1"/>
    <cellStyle name="Hyperlink" xfId="9510" builtinId="8" hidden="1"/>
    <cellStyle name="Hyperlink" xfId="9512" builtinId="8" hidden="1"/>
    <cellStyle name="Hyperlink" xfId="9514" builtinId="8" hidden="1"/>
    <cellStyle name="Hyperlink" xfId="9516" builtinId="8" hidden="1"/>
    <cellStyle name="Hyperlink" xfId="9518" builtinId="8" hidden="1"/>
    <cellStyle name="Hyperlink" xfId="9520" builtinId="8" hidden="1"/>
    <cellStyle name="Hyperlink" xfId="9522" builtinId="8" hidden="1"/>
    <cellStyle name="Hyperlink" xfId="9524" builtinId="8" hidden="1"/>
    <cellStyle name="Hyperlink" xfId="9526" builtinId="8" hidden="1"/>
    <cellStyle name="Hyperlink" xfId="9528" builtinId="8" hidden="1"/>
    <cellStyle name="Hyperlink" xfId="9530" builtinId="8" hidden="1"/>
    <cellStyle name="Hyperlink" xfId="9532" builtinId="8" hidden="1"/>
    <cellStyle name="Hyperlink" xfId="9534" builtinId="8" hidden="1"/>
    <cellStyle name="Hyperlink" xfId="9536" builtinId="8" hidden="1"/>
    <cellStyle name="Hyperlink" xfId="9538" builtinId="8" hidden="1"/>
    <cellStyle name="Hyperlink" xfId="9540" builtinId="8" hidden="1"/>
    <cellStyle name="Hyperlink" xfId="9542" builtinId="8" hidden="1"/>
    <cellStyle name="Hyperlink" xfId="9544" builtinId="8" hidden="1"/>
    <cellStyle name="Hyperlink" xfId="9546" builtinId="8" hidden="1"/>
    <cellStyle name="Hyperlink" xfId="9548" builtinId="8" hidden="1"/>
    <cellStyle name="Hyperlink" xfId="9550" builtinId="8" hidden="1"/>
    <cellStyle name="Hyperlink" xfId="9552" builtinId="8" hidden="1"/>
    <cellStyle name="Hyperlink" xfId="9554" builtinId="8" hidden="1"/>
    <cellStyle name="Hyperlink" xfId="9556" builtinId="8" hidden="1"/>
    <cellStyle name="Hyperlink" xfId="9558" builtinId="8" hidden="1"/>
    <cellStyle name="Hyperlink" xfId="9560" builtinId="8" hidden="1"/>
    <cellStyle name="Hyperlink" xfId="9562" builtinId="8" hidden="1"/>
    <cellStyle name="Hyperlink" xfId="9564" builtinId="8" hidden="1"/>
    <cellStyle name="Hyperlink" xfId="9566" builtinId="8" hidden="1"/>
    <cellStyle name="Hyperlink" xfId="9568" builtinId="8" hidden="1"/>
    <cellStyle name="Hyperlink" xfId="9570" builtinId="8" hidden="1"/>
    <cellStyle name="Hyperlink" xfId="9572" builtinId="8" hidden="1"/>
    <cellStyle name="Hyperlink" xfId="9574" builtinId="8" hidden="1"/>
    <cellStyle name="Hyperlink" xfId="9576" builtinId="8" hidden="1"/>
    <cellStyle name="Hyperlink" xfId="9578" builtinId="8" hidden="1"/>
    <cellStyle name="Hyperlink" xfId="9580" builtinId="8" hidden="1"/>
    <cellStyle name="Hyperlink" xfId="9582" builtinId="8" hidden="1"/>
    <cellStyle name="Hyperlink" xfId="9584" builtinId="8" hidden="1"/>
    <cellStyle name="Hyperlink" xfId="9586" builtinId="8" hidden="1"/>
    <cellStyle name="Hyperlink" xfId="9588" builtinId="8" hidden="1"/>
    <cellStyle name="Hyperlink" xfId="9590" builtinId="8" hidden="1"/>
    <cellStyle name="Hyperlink" xfId="9592" builtinId="8" hidden="1"/>
    <cellStyle name="Hyperlink" xfId="9594" builtinId="8" hidden="1"/>
    <cellStyle name="Hyperlink" xfId="9596" builtinId="8" hidden="1"/>
    <cellStyle name="Hyperlink" xfId="9598" builtinId="8" hidden="1"/>
    <cellStyle name="Hyperlink" xfId="9600" builtinId="8" hidden="1"/>
    <cellStyle name="Hyperlink" xfId="9602" builtinId="8" hidden="1"/>
    <cellStyle name="Hyperlink" xfId="9604" builtinId="8" hidden="1"/>
    <cellStyle name="Hyperlink" xfId="9606" builtinId="8" hidden="1"/>
    <cellStyle name="Hyperlink" xfId="9608" builtinId="8" hidden="1"/>
    <cellStyle name="Hyperlink" xfId="9610" builtinId="8" hidden="1"/>
    <cellStyle name="Hyperlink" xfId="9612" builtinId="8" hidden="1"/>
    <cellStyle name="Hyperlink" xfId="9614" builtinId="8" hidden="1"/>
    <cellStyle name="Hyperlink" xfId="9616" builtinId="8" hidden="1"/>
    <cellStyle name="Hyperlink" xfId="9618" builtinId="8" hidden="1"/>
    <cellStyle name="Hyperlink" xfId="9620" builtinId="8" hidden="1"/>
    <cellStyle name="Hyperlink" xfId="9622" builtinId="8" hidden="1"/>
    <cellStyle name="Hyperlink" xfId="9624" builtinId="8" hidden="1"/>
    <cellStyle name="Hyperlink" xfId="9626" builtinId="8" hidden="1"/>
    <cellStyle name="Hyperlink" xfId="9628" builtinId="8" hidden="1"/>
    <cellStyle name="Hyperlink" xfId="9630" builtinId="8" hidden="1"/>
    <cellStyle name="Hyperlink" xfId="9632" builtinId="8" hidden="1"/>
    <cellStyle name="Hyperlink" xfId="9634" builtinId="8" hidden="1"/>
    <cellStyle name="Hyperlink" xfId="9636" builtinId="8" hidden="1"/>
    <cellStyle name="Hyperlink" xfId="9638" builtinId="8" hidden="1"/>
    <cellStyle name="Hyperlink" xfId="9640" builtinId="8" hidden="1"/>
    <cellStyle name="Hyperlink" xfId="9642" builtinId="8" hidden="1"/>
    <cellStyle name="Hyperlink" xfId="9644" builtinId="8" hidden="1"/>
    <cellStyle name="Hyperlink" xfId="9646" builtinId="8" hidden="1"/>
    <cellStyle name="Hyperlink" xfId="9648" builtinId="8" hidden="1"/>
    <cellStyle name="Hyperlink" xfId="9650" builtinId="8" hidden="1"/>
    <cellStyle name="Hyperlink" xfId="9652" builtinId="8" hidden="1"/>
    <cellStyle name="Hyperlink" xfId="9654" builtinId="8" hidden="1"/>
    <cellStyle name="Hyperlink" xfId="9656" builtinId="8" hidden="1"/>
    <cellStyle name="Hyperlink" xfId="9658" builtinId="8" hidden="1"/>
    <cellStyle name="Hyperlink" xfId="9660" builtinId="8" hidden="1"/>
    <cellStyle name="Hyperlink" xfId="9662" builtinId="8" hidden="1"/>
    <cellStyle name="Hyperlink" xfId="9664" builtinId="8" hidden="1"/>
    <cellStyle name="Hyperlink" xfId="9666" builtinId="8" hidden="1"/>
    <cellStyle name="Hyperlink" xfId="9668" builtinId="8" hidden="1"/>
    <cellStyle name="Hyperlink" xfId="9670" builtinId="8" hidden="1"/>
    <cellStyle name="Hyperlink" xfId="9672" builtinId="8" hidden="1"/>
    <cellStyle name="Hyperlink" xfId="9674" builtinId="8" hidden="1"/>
    <cellStyle name="Hyperlink" xfId="9676" builtinId="8" hidden="1"/>
    <cellStyle name="Hyperlink" xfId="9678" builtinId="8" hidden="1"/>
    <cellStyle name="Hyperlink" xfId="9680" builtinId="8" hidden="1"/>
    <cellStyle name="Hyperlink" xfId="9682" builtinId="8" hidden="1"/>
    <cellStyle name="Hyperlink" xfId="9684" builtinId="8" hidden="1"/>
    <cellStyle name="Hyperlink" xfId="9686" builtinId="8" hidden="1"/>
    <cellStyle name="Hyperlink" xfId="9688" builtinId="8" hidden="1"/>
    <cellStyle name="Hyperlink" xfId="9690" builtinId="8" hidden="1"/>
    <cellStyle name="Hyperlink" xfId="9692" builtinId="8" hidden="1"/>
    <cellStyle name="Hyperlink" xfId="9694" builtinId="8" hidden="1"/>
    <cellStyle name="Hyperlink" xfId="9696" builtinId="8" hidden="1"/>
    <cellStyle name="Hyperlink" xfId="9698" builtinId="8" hidden="1"/>
    <cellStyle name="Hyperlink" xfId="9700" builtinId="8" hidden="1"/>
    <cellStyle name="Hyperlink" xfId="9702" builtinId="8" hidden="1"/>
    <cellStyle name="Hyperlink" xfId="9704" builtinId="8" hidden="1"/>
    <cellStyle name="Hyperlink" xfId="9706" builtinId="8" hidden="1"/>
    <cellStyle name="Hyperlink" xfId="9708" builtinId="8" hidden="1"/>
    <cellStyle name="Hyperlink" xfId="9710" builtinId="8" hidden="1"/>
    <cellStyle name="Hyperlink" xfId="9712" builtinId="8" hidden="1"/>
    <cellStyle name="Hyperlink" xfId="9714" builtinId="8" hidden="1"/>
    <cellStyle name="Hyperlink" xfId="9716" builtinId="8" hidden="1"/>
    <cellStyle name="Hyperlink" xfId="9718" builtinId="8" hidden="1"/>
    <cellStyle name="Hyperlink" xfId="9720" builtinId="8" hidden="1"/>
    <cellStyle name="Hyperlink" xfId="9722" builtinId="8" hidden="1"/>
    <cellStyle name="Hyperlink" xfId="9724" builtinId="8" hidden="1"/>
    <cellStyle name="Hyperlink" xfId="9726" builtinId="8" hidden="1"/>
    <cellStyle name="Hyperlink" xfId="9728" builtinId="8" hidden="1"/>
    <cellStyle name="Hyperlink" xfId="9730" builtinId="8" hidden="1"/>
    <cellStyle name="Hyperlink" xfId="9732" builtinId="8" hidden="1"/>
    <cellStyle name="Hyperlink" xfId="9734" builtinId="8" hidden="1"/>
    <cellStyle name="Hyperlink" xfId="9736" builtinId="8" hidden="1"/>
    <cellStyle name="Hyperlink" xfId="9738" builtinId="8" hidden="1"/>
    <cellStyle name="Hyperlink" xfId="9740" builtinId="8" hidden="1"/>
    <cellStyle name="Hyperlink" xfId="9742" builtinId="8" hidden="1"/>
    <cellStyle name="Hyperlink" xfId="9744" builtinId="8" hidden="1"/>
    <cellStyle name="Hyperlink" xfId="9746" builtinId="8" hidden="1"/>
    <cellStyle name="Hyperlink" xfId="9748" builtinId="8" hidden="1"/>
    <cellStyle name="Hyperlink" xfId="9750" builtinId="8" hidden="1"/>
    <cellStyle name="Hyperlink" xfId="9752" builtinId="8" hidden="1"/>
    <cellStyle name="Hyperlink" xfId="9754" builtinId="8" hidden="1"/>
    <cellStyle name="Hyperlink" xfId="9756" builtinId="8" hidden="1"/>
    <cellStyle name="Hyperlink" xfId="9758" builtinId="8" hidden="1"/>
    <cellStyle name="Hyperlink" xfId="9760" builtinId="8" hidden="1"/>
    <cellStyle name="Hyperlink" xfId="9762" builtinId="8" hidden="1"/>
    <cellStyle name="Hyperlink" xfId="9764" builtinId="8" hidden="1"/>
    <cellStyle name="Hyperlink" xfId="9766" builtinId="8" hidden="1"/>
    <cellStyle name="Hyperlink" xfId="9768" builtinId="8" hidden="1"/>
    <cellStyle name="Hyperlink" xfId="9770" builtinId="8" hidden="1"/>
    <cellStyle name="Hyperlink" xfId="9772" builtinId="8" hidden="1"/>
    <cellStyle name="Hyperlink" xfId="9774" builtinId="8" hidden="1"/>
    <cellStyle name="Hyperlink" xfId="9776" builtinId="8" hidden="1"/>
    <cellStyle name="Hyperlink" xfId="9778" builtinId="8" hidden="1"/>
    <cellStyle name="Hyperlink" xfId="9780" builtinId="8" hidden="1"/>
    <cellStyle name="Hyperlink" xfId="9782" builtinId="8" hidden="1"/>
    <cellStyle name="Hyperlink" xfId="9784" builtinId="8" hidden="1"/>
    <cellStyle name="Hyperlink" xfId="9786" builtinId="8" hidden="1"/>
    <cellStyle name="Hyperlink" xfId="9788" builtinId="8" hidden="1"/>
    <cellStyle name="Hyperlink" xfId="9790" builtinId="8" hidden="1"/>
    <cellStyle name="Hyperlink" xfId="9792" builtinId="8" hidden="1"/>
    <cellStyle name="Hyperlink" xfId="9794" builtinId="8" hidden="1"/>
    <cellStyle name="Hyperlink" xfId="9796" builtinId="8" hidden="1"/>
    <cellStyle name="Hyperlink" xfId="9798" builtinId="8" hidden="1"/>
    <cellStyle name="Hyperlink" xfId="9800" builtinId="8" hidden="1"/>
    <cellStyle name="Hyperlink" xfId="9802" builtinId="8" hidden="1"/>
    <cellStyle name="Hyperlink" xfId="9804" builtinId="8" hidden="1"/>
    <cellStyle name="Hyperlink" xfId="9806" builtinId="8" hidden="1"/>
    <cellStyle name="Hyperlink" xfId="9808" builtinId="8" hidden="1"/>
    <cellStyle name="Hyperlink" xfId="9810" builtinId="8" hidden="1"/>
    <cellStyle name="Hyperlink" xfId="9812" builtinId="8" hidden="1"/>
    <cellStyle name="Hyperlink" xfId="9814" builtinId="8" hidden="1"/>
    <cellStyle name="Hyperlink" xfId="9816" builtinId="8" hidden="1"/>
    <cellStyle name="Hyperlink" xfId="9818" builtinId="8" hidden="1"/>
    <cellStyle name="Hyperlink" xfId="9820" builtinId="8" hidden="1"/>
    <cellStyle name="Hyperlink" xfId="9822" builtinId="8" hidden="1"/>
    <cellStyle name="Hyperlink" xfId="9824" builtinId="8" hidden="1"/>
    <cellStyle name="Hyperlink" xfId="9826" builtinId="8" hidden="1"/>
    <cellStyle name="Hyperlink" xfId="9828" builtinId="8" hidden="1"/>
    <cellStyle name="Hyperlink" xfId="9830" builtinId="8" hidden="1"/>
    <cellStyle name="Hyperlink" xfId="9832" builtinId="8" hidden="1"/>
    <cellStyle name="Hyperlink" xfId="9834" builtinId="8" hidden="1"/>
    <cellStyle name="Hyperlink" xfId="9836" builtinId="8" hidden="1"/>
    <cellStyle name="Hyperlink" xfId="9838" builtinId="8" hidden="1"/>
    <cellStyle name="Hyperlink" xfId="9840" builtinId="8" hidden="1"/>
    <cellStyle name="Hyperlink" xfId="9842" builtinId="8" hidden="1"/>
    <cellStyle name="Hyperlink" xfId="9844" builtinId="8" hidden="1"/>
    <cellStyle name="Hyperlink" xfId="9846" builtinId="8" hidden="1"/>
    <cellStyle name="Hyperlink" xfId="9848" builtinId="8" hidden="1"/>
    <cellStyle name="Hyperlink" xfId="9850" builtinId="8" hidden="1"/>
    <cellStyle name="Hyperlink" xfId="9852" builtinId="8" hidden="1"/>
    <cellStyle name="Hyperlink" xfId="9854" builtinId="8" hidden="1"/>
    <cellStyle name="Hyperlink" xfId="9856" builtinId="8" hidden="1"/>
    <cellStyle name="Hyperlink" xfId="9858" builtinId="8" hidden="1"/>
    <cellStyle name="Hyperlink" xfId="9860" builtinId="8" hidden="1"/>
    <cellStyle name="Hyperlink" xfId="9862" builtinId="8" hidden="1"/>
    <cellStyle name="Hyperlink" xfId="9864" builtinId="8" hidden="1"/>
    <cellStyle name="Hyperlink" xfId="9866" builtinId="8" hidden="1"/>
    <cellStyle name="Hyperlink" xfId="9868" builtinId="8" hidden="1"/>
    <cellStyle name="Hyperlink" xfId="9870" builtinId="8" hidden="1"/>
    <cellStyle name="Hyperlink" xfId="9872" builtinId="8" hidden="1"/>
    <cellStyle name="Hyperlink" xfId="9874" builtinId="8" hidden="1"/>
    <cellStyle name="Hyperlink" xfId="9876" builtinId="8" hidden="1"/>
    <cellStyle name="Hyperlink" xfId="9878" builtinId="8" hidden="1"/>
    <cellStyle name="Hyperlink" xfId="9880" builtinId="8" hidden="1"/>
    <cellStyle name="Hyperlink" xfId="9882" builtinId="8" hidden="1"/>
    <cellStyle name="Hyperlink" xfId="9884" builtinId="8" hidden="1"/>
    <cellStyle name="Hyperlink" xfId="9886" builtinId="8" hidden="1"/>
    <cellStyle name="Hyperlink" xfId="9888" builtinId="8" hidden="1"/>
    <cellStyle name="Hyperlink" xfId="9890" builtinId="8" hidden="1"/>
    <cellStyle name="Hyperlink" xfId="9892" builtinId="8" hidden="1"/>
    <cellStyle name="Hyperlink" xfId="9894" builtinId="8" hidden="1"/>
    <cellStyle name="Hyperlink" xfId="9896" builtinId="8" hidden="1"/>
    <cellStyle name="Hyperlink" xfId="9898" builtinId="8" hidden="1"/>
    <cellStyle name="Hyperlink" xfId="9900" builtinId="8" hidden="1"/>
    <cellStyle name="Hyperlink" xfId="9902" builtinId="8" hidden="1"/>
    <cellStyle name="Hyperlink" xfId="9904" builtinId="8" hidden="1"/>
    <cellStyle name="Hyperlink" xfId="9906" builtinId="8" hidden="1"/>
    <cellStyle name="Hyperlink" xfId="9908" builtinId="8" hidden="1"/>
    <cellStyle name="Hyperlink" xfId="9910" builtinId="8" hidden="1"/>
    <cellStyle name="Hyperlink" xfId="9912" builtinId="8" hidden="1"/>
    <cellStyle name="Hyperlink" xfId="9914" builtinId="8" hidden="1"/>
    <cellStyle name="Hyperlink" xfId="9916" builtinId="8" hidden="1"/>
    <cellStyle name="Hyperlink" xfId="9918" builtinId="8" hidden="1"/>
    <cellStyle name="Hyperlink" xfId="9920" builtinId="8" hidden="1"/>
    <cellStyle name="Hyperlink" xfId="9922" builtinId="8" hidden="1"/>
    <cellStyle name="Hyperlink" xfId="9924" builtinId="8" hidden="1"/>
    <cellStyle name="Hyperlink" xfId="9926" builtinId="8" hidden="1"/>
    <cellStyle name="Hyperlink" xfId="9928" builtinId="8" hidden="1"/>
    <cellStyle name="Hyperlink" xfId="9930" builtinId="8" hidden="1"/>
    <cellStyle name="Hyperlink" xfId="9932" builtinId="8" hidden="1"/>
    <cellStyle name="Hyperlink" xfId="9934" builtinId="8" hidden="1"/>
    <cellStyle name="Hyperlink" xfId="9936" builtinId="8" hidden="1"/>
    <cellStyle name="Hyperlink" xfId="9938" builtinId="8" hidden="1"/>
    <cellStyle name="Hyperlink" xfId="9940" builtinId="8" hidden="1"/>
    <cellStyle name="Hyperlink" xfId="9942" builtinId="8" hidden="1"/>
    <cellStyle name="Hyperlink" xfId="9944" builtinId="8" hidden="1"/>
    <cellStyle name="Hyperlink" xfId="9946" builtinId="8" hidden="1"/>
    <cellStyle name="Hyperlink" xfId="9948" builtinId="8" hidden="1"/>
    <cellStyle name="Hyperlink" xfId="9950" builtinId="8" hidden="1"/>
    <cellStyle name="Hyperlink" xfId="9952" builtinId="8" hidden="1"/>
    <cellStyle name="Hyperlink" xfId="9954" builtinId="8" hidden="1"/>
    <cellStyle name="Hyperlink" xfId="9956" builtinId="8" hidden="1"/>
    <cellStyle name="Hyperlink" xfId="9958" builtinId="8" hidden="1"/>
    <cellStyle name="Hyperlink" xfId="9960" builtinId="8" hidden="1"/>
    <cellStyle name="Hyperlink" xfId="9962" builtinId="8" hidden="1"/>
    <cellStyle name="Hyperlink" xfId="9964" builtinId="8" hidden="1"/>
    <cellStyle name="Hyperlink" xfId="9966" builtinId="8" hidden="1"/>
    <cellStyle name="Hyperlink" xfId="9968" builtinId="8" hidden="1"/>
    <cellStyle name="Hyperlink" xfId="9970" builtinId="8" hidden="1"/>
    <cellStyle name="Hyperlink" xfId="9972" builtinId="8" hidden="1"/>
    <cellStyle name="Hyperlink" xfId="9974" builtinId="8" hidden="1"/>
    <cellStyle name="Hyperlink" xfId="9976" builtinId="8" hidden="1"/>
    <cellStyle name="Hyperlink" xfId="9978" builtinId="8" hidden="1"/>
    <cellStyle name="Hyperlink" xfId="9980" builtinId="8" hidden="1"/>
    <cellStyle name="Hyperlink" xfId="9982" builtinId="8" hidden="1"/>
    <cellStyle name="Hyperlink" xfId="9984" builtinId="8" hidden="1"/>
    <cellStyle name="Hyperlink" xfId="9986" builtinId="8" hidden="1"/>
    <cellStyle name="Hyperlink" xfId="9988" builtinId="8" hidden="1"/>
    <cellStyle name="Hyperlink" xfId="9990" builtinId="8" hidden="1"/>
    <cellStyle name="Hyperlink" xfId="9992" builtinId="8" hidden="1"/>
    <cellStyle name="Hyperlink" xfId="9994" builtinId="8" hidden="1"/>
    <cellStyle name="Hyperlink" xfId="9996" builtinId="8" hidden="1"/>
    <cellStyle name="Hyperlink" xfId="9998" builtinId="8" hidden="1"/>
    <cellStyle name="Hyperlink" xfId="10000" builtinId="8" hidden="1"/>
    <cellStyle name="Hyperlink" xfId="10002" builtinId="8" hidden="1"/>
    <cellStyle name="Hyperlink" xfId="10004" builtinId="8" hidden="1"/>
    <cellStyle name="Hyperlink" xfId="10006" builtinId="8" hidden="1"/>
    <cellStyle name="Hyperlink" xfId="10008" builtinId="8" hidden="1"/>
    <cellStyle name="Hyperlink" xfId="10010" builtinId="8" hidden="1"/>
    <cellStyle name="Hyperlink" xfId="10012" builtinId="8" hidden="1"/>
    <cellStyle name="Hyperlink" xfId="10014" builtinId="8" hidden="1"/>
    <cellStyle name="Hyperlink" xfId="10016" builtinId="8" hidden="1"/>
    <cellStyle name="Hyperlink" xfId="10018" builtinId="8" hidden="1"/>
    <cellStyle name="Hyperlink" xfId="10020" builtinId="8" hidden="1"/>
    <cellStyle name="Hyperlink" xfId="10022" builtinId="8" hidden="1"/>
    <cellStyle name="Hyperlink" xfId="10024" builtinId="8" hidden="1"/>
    <cellStyle name="Hyperlink" xfId="10026" builtinId="8" hidden="1"/>
    <cellStyle name="Hyperlink" xfId="10028" builtinId="8" hidden="1"/>
    <cellStyle name="Hyperlink" xfId="10030" builtinId="8" hidden="1"/>
    <cellStyle name="Hyperlink" xfId="10032" builtinId="8" hidden="1"/>
    <cellStyle name="Hyperlink" xfId="10034" builtinId="8" hidden="1"/>
    <cellStyle name="Hyperlink" xfId="10036" builtinId="8" hidden="1"/>
    <cellStyle name="Hyperlink" xfId="10038" builtinId="8" hidden="1"/>
    <cellStyle name="Hyperlink" xfId="10040" builtinId="8" hidden="1"/>
    <cellStyle name="Hyperlink" xfId="10042" builtinId="8" hidden="1"/>
    <cellStyle name="Hyperlink" xfId="10044" builtinId="8" hidden="1"/>
    <cellStyle name="Hyperlink" xfId="10046" builtinId="8" hidden="1"/>
    <cellStyle name="Hyperlink" xfId="10048" builtinId="8" hidden="1"/>
    <cellStyle name="Hyperlink" xfId="10050" builtinId="8" hidden="1"/>
    <cellStyle name="Hyperlink" xfId="10052" builtinId="8" hidden="1"/>
    <cellStyle name="Hyperlink" xfId="10054" builtinId="8" hidden="1"/>
    <cellStyle name="Hyperlink" xfId="10056" builtinId="8" hidden="1"/>
    <cellStyle name="Hyperlink" xfId="10058" builtinId="8" hidden="1"/>
    <cellStyle name="Hyperlink" xfId="10060" builtinId="8" hidden="1"/>
    <cellStyle name="Hyperlink" xfId="10062" builtinId="8" hidden="1"/>
    <cellStyle name="Hyperlink" xfId="10064" builtinId="8" hidden="1"/>
    <cellStyle name="Hyperlink" xfId="10066" builtinId="8" hidden="1"/>
    <cellStyle name="Hyperlink" xfId="10068" builtinId="8" hidden="1"/>
    <cellStyle name="Hyperlink" xfId="10070" builtinId="8" hidden="1"/>
    <cellStyle name="Hyperlink" xfId="10072" builtinId="8" hidden="1"/>
    <cellStyle name="Hyperlink" xfId="10074" builtinId="8" hidden="1"/>
    <cellStyle name="Hyperlink" xfId="10076" builtinId="8" hidden="1"/>
    <cellStyle name="Hyperlink" xfId="10078" builtinId="8" hidden="1"/>
    <cellStyle name="Hyperlink" xfId="10080" builtinId="8" hidden="1"/>
    <cellStyle name="Hyperlink" xfId="10082" builtinId="8" hidden="1"/>
    <cellStyle name="Hyperlink" xfId="10084" builtinId="8" hidden="1"/>
    <cellStyle name="Hyperlink" xfId="10086" builtinId="8" hidden="1"/>
    <cellStyle name="Hyperlink" xfId="10088" builtinId="8" hidden="1"/>
    <cellStyle name="Hyperlink" xfId="10090" builtinId="8" hidden="1"/>
    <cellStyle name="Hyperlink" xfId="10092" builtinId="8" hidden="1"/>
    <cellStyle name="Hyperlink" xfId="10094" builtinId="8" hidden="1"/>
    <cellStyle name="Hyperlink" xfId="10096" builtinId="8" hidden="1"/>
    <cellStyle name="Hyperlink" xfId="10098" builtinId="8" hidden="1"/>
    <cellStyle name="Hyperlink" xfId="10100" builtinId="8" hidden="1"/>
    <cellStyle name="Hyperlink" xfId="10102" builtinId="8" hidden="1"/>
    <cellStyle name="Hyperlink" xfId="10104" builtinId="8" hidden="1"/>
    <cellStyle name="Hyperlink" xfId="10106" builtinId="8" hidden="1"/>
    <cellStyle name="Hyperlink" xfId="10108" builtinId="8" hidden="1"/>
    <cellStyle name="Hyperlink" xfId="10110" builtinId="8" hidden="1"/>
    <cellStyle name="Hyperlink" xfId="10112" builtinId="8" hidden="1"/>
    <cellStyle name="Hyperlink" xfId="10114" builtinId="8" hidden="1"/>
    <cellStyle name="Hyperlink" xfId="10116" builtinId="8" hidden="1"/>
    <cellStyle name="Hyperlink" xfId="10118" builtinId="8" hidden="1"/>
    <cellStyle name="Hyperlink" xfId="10120" builtinId="8" hidden="1"/>
    <cellStyle name="Hyperlink" xfId="10122" builtinId="8" hidden="1"/>
    <cellStyle name="Hyperlink" xfId="10124" builtinId="8" hidden="1"/>
    <cellStyle name="Hyperlink" xfId="10126" builtinId="8" hidden="1"/>
    <cellStyle name="Hyperlink" xfId="10128" builtinId="8" hidden="1"/>
    <cellStyle name="Hyperlink" xfId="10130" builtinId="8" hidden="1"/>
    <cellStyle name="Hyperlink" xfId="10132" builtinId="8" hidden="1"/>
    <cellStyle name="Hyperlink" xfId="10134" builtinId="8" hidden="1"/>
    <cellStyle name="Hyperlink" xfId="10136" builtinId="8" hidden="1"/>
    <cellStyle name="Hyperlink" xfId="10138" builtinId="8" hidden="1"/>
    <cellStyle name="Hyperlink" xfId="10140" builtinId="8" hidden="1"/>
    <cellStyle name="Hyperlink" xfId="10142" builtinId="8" hidden="1"/>
    <cellStyle name="Hyperlink" xfId="10144" builtinId="8" hidden="1"/>
    <cellStyle name="Hyperlink" xfId="10146" builtinId="8" hidden="1"/>
    <cellStyle name="Hyperlink" xfId="10148" builtinId="8" hidden="1"/>
    <cellStyle name="Hyperlink" xfId="10150" builtinId="8" hidden="1"/>
    <cellStyle name="Hyperlink" xfId="10152" builtinId="8" hidden="1"/>
    <cellStyle name="Hyperlink" xfId="10154" builtinId="8" hidden="1"/>
    <cellStyle name="Hyperlink" xfId="10156" builtinId="8" hidden="1"/>
    <cellStyle name="Hyperlink" xfId="10158" builtinId="8" hidden="1"/>
    <cellStyle name="Hyperlink" xfId="10160" builtinId="8" hidden="1"/>
    <cellStyle name="Hyperlink" xfId="10162" builtinId="8" hidden="1"/>
    <cellStyle name="Hyperlink" xfId="10164" builtinId="8" hidden="1"/>
    <cellStyle name="Hyperlink" xfId="10166" builtinId="8" hidden="1"/>
    <cellStyle name="Hyperlink" xfId="10168" builtinId="8" hidden="1"/>
    <cellStyle name="Hyperlink" xfId="10170" builtinId="8" hidden="1"/>
    <cellStyle name="Hyperlink" xfId="10172" builtinId="8" hidden="1"/>
    <cellStyle name="Hyperlink" xfId="10174" builtinId="8" hidden="1"/>
    <cellStyle name="Hyperlink" xfId="10176" builtinId="8" hidden="1"/>
    <cellStyle name="Hyperlink" xfId="10178" builtinId="8" hidden="1"/>
    <cellStyle name="Hyperlink" xfId="10180" builtinId="8" hidden="1"/>
    <cellStyle name="Hyperlink" xfId="10182" builtinId="8" hidden="1"/>
    <cellStyle name="Hyperlink" xfId="10184" builtinId="8" hidden="1"/>
    <cellStyle name="Hyperlink" xfId="10186" builtinId="8" hidden="1"/>
    <cellStyle name="Hyperlink" xfId="10188" builtinId="8" hidden="1"/>
    <cellStyle name="Hyperlink" xfId="10190" builtinId="8" hidden="1"/>
    <cellStyle name="Hyperlink" xfId="10192" builtinId="8" hidden="1"/>
    <cellStyle name="Hyperlink" xfId="10194" builtinId="8" hidden="1"/>
    <cellStyle name="Hyperlink" xfId="10196" builtinId="8" hidden="1"/>
    <cellStyle name="Hyperlink" xfId="10198" builtinId="8" hidden="1"/>
    <cellStyle name="Hyperlink" xfId="10200" builtinId="8" hidden="1"/>
    <cellStyle name="Hyperlink" xfId="10202" builtinId="8" hidden="1"/>
    <cellStyle name="Hyperlink" xfId="10204" builtinId="8" hidden="1"/>
    <cellStyle name="Hyperlink" xfId="10206" builtinId="8" hidden="1"/>
    <cellStyle name="Hyperlink" xfId="10208" builtinId="8" hidden="1"/>
    <cellStyle name="Hyperlink" xfId="10210" builtinId="8" hidden="1"/>
    <cellStyle name="Hyperlink" xfId="10212" builtinId="8" hidden="1"/>
    <cellStyle name="Hyperlink" xfId="10214" builtinId="8" hidden="1"/>
    <cellStyle name="Hyperlink" xfId="10216" builtinId="8" hidden="1"/>
    <cellStyle name="Hyperlink" xfId="10218" builtinId="8" hidden="1"/>
    <cellStyle name="Hyperlink" xfId="10220" builtinId="8" hidden="1"/>
    <cellStyle name="Hyperlink" xfId="10222" builtinId="8" hidden="1"/>
    <cellStyle name="Hyperlink" xfId="10224" builtinId="8" hidden="1"/>
    <cellStyle name="Hyperlink" xfId="10226" builtinId="8" hidden="1"/>
    <cellStyle name="Hyperlink" xfId="10228" builtinId="8" hidden="1"/>
    <cellStyle name="Hyperlink" xfId="10230" builtinId="8" hidden="1"/>
    <cellStyle name="Hyperlink" xfId="10232" builtinId="8" hidden="1"/>
    <cellStyle name="Hyperlink" xfId="10234" builtinId="8" hidden="1"/>
    <cellStyle name="Hyperlink" xfId="10236" builtinId="8" hidden="1"/>
    <cellStyle name="Hyperlink" xfId="10238" builtinId="8" hidden="1"/>
    <cellStyle name="Hyperlink" xfId="10240" builtinId="8" hidden="1"/>
    <cellStyle name="Hyperlink" xfId="10242" builtinId="8" hidden="1"/>
    <cellStyle name="Hyperlink" xfId="10244" builtinId="8" hidden="1"/>
    <cellStyle name="Hyperlink" xfId="10246" builtinId="8" hidden="1"/>
    <cellStyle name="Hyperlink" xfId="10248" builtinId="8" hidden="1"/>
    <cellStyle name="Hyperlink" xfId="10250" builtinId="8" hidden="1"/>
    <cellStyle name="Hyperlink" xfId="10252" builtinId="8" hidden="1"/>
    <cellStyle name="Hyperlink" xfId="10254" builtinId="8" hidden="1"/>
    <cellStyle name="Hyperlink" xfId="10256" builtinId="8" hidden="1"/>
    <cellStyle name="Hyperlink" xfId="10258" builtinId="8" hidden="1"/>
    <cellStyle name="Hyperlink" xfId="10260" builtinId="8" hidden="1"/>
    <cellStyle name="Hyperlink" xfId="10262" builtinId="8" hidden="1"/>
    <cellStyle name="Hyperlink" xfId="10264" builtinId="8" hidden="1"/>
    <cellStyle name="Hyperlink" xfId="10266" builtinId="8" hidden="1"/>
    <cellStyle name="Hyperlink" xfId="10268" builtinId="8" hidden="1"/>
    <cellStyle name="Hyperlink" xfId="10270" builtinId="8" hidden="1"/>
    <cellStyle name="Hyperlink" xfId="10272" builtinId="8" hidden="1"/>
    <cellStyle name="Hyperlink" xfId="10274" builtinId="8" hidden="1"/>
    <cellStyle name="Hyperlink" xfId="10276" builtinId="8" hidden="1"/>
    <cellStyle name="Hyperlink" xfId="10278" builtinId="8" hidden="1"/>
    <cellStyle name="Hyperlink" xfId="10280" builtinId="8" hidden="1"/>
    <cellStyle name="Hyperlink" xfId="10282" builtinId="8" hidden="1"/>
    <cellStyle name="Hyperlink" xfId="10284" builtinId="8" hidden="1"/>
    <cellStyle name="Hyperlink" xfId="10286" builtinId="8" hidden="1"/>
    <cellStyle name="Hyperlink" xfId="10288" builtinId="8" hidden="1"/>
    <cellStyle name="Hyperlink" xfId="10290" builtinId="8" hidden="1"/>
    <cellStyle name="Hyperlink" xfId="10292" builtinId="8" hidden="1"/>
    <cellStyle name="Hyperlink" xfId="10294" builtinId="8" hidden="1"/>
    <cellStyle name="Hyperlink" xfId="10296" builtinId="8" hidden="1"/>
    <cellStyle name="Hyperlink" xfId="10298" builtinId="8" hidden="1"/>
    <cellStyle name="Hyperlink" xfId="10300" builtinId="8" hidden="1"/>
    <cellStyle name="Hyperlink" xfId="10302" builtinId="8" hidden="1"/>
    <cellStyle name="Hyperlink" xfId="10304" builtinId="8" hidden="1"/>
    <cellStyle name="Hyperlink" xfId="10306" builtinId="8" hidden="1"/>
    <cellStyle name="Hyperlink" xfId="10308" builtinId="8" hidden="1"/>
    <cellStyle name="Hyperlink" xfId="10310" builtinId="8" hidden="1"/>
    <cellStyle name="Hyperlink" xfId="10312" builtinId="8" hidden="1"/>
    <cellStyle name="Hyperlink" xfId="10314" builtinId="8" hidden="1"/>
    <cellStyle name="Hyperlink" xfId="10316" builtinId="8" hidden="1"/>
    <cellStyle name="Hyperlink" xfId="10318" builtinId="8" hidden="1"/>
    <cellStyle name="Hyperlink" xfId="10320" builtinId="8" hidden="1"/>
    <cellStyle name="Hyperlink" xfId="10322" builtinId="8" hidden="1"/>
    <cellStyle name="Hyperlink" xfId="10324" builtinId="8" hidden="1"/>
    <cellStyle name="Hyperlink" xfId="10326" builtinId="8" hidden="1"/>
    <cellStyle name="Hyperlink" xfId="10328" builtinId="8" hidden="1"/>
    <cellStyle name="Hyperlink" xfId="10330" builtinId="8" hidden="1"/>
    <cellStyle name="Hyperlink" xfId="10332" builtinId="8" hidden="1"/>
    <cellStyle name="Hyperlink" xfId="10334" builtinId="8" hidden="1"/>
    <cellStyle name="Hyperlink" xfId="10336" builtinId="8" hidden="1"/>
    <cellStyle name="Hyperlink" xfId="10338" builtinId="8" hidden="1"/>
    <cellStyle name="Hyperlink" xfId="10340" builtinId="8" hidden="1"/>
    <cellStyle name="Hyperlink" xfId="10342" builtinId="8" hidden="1"/>
    <cellStyle name="Hyperlink" xfId="10344" builtinId="8" hidden="1"/>
    <cellStyle name="Hyperlink" xfId="10346" builtinId="8" hidden="1"/>
    <cellStyle name="Hyperlink" xfId="10348" builtinId="8" hidden="1"/>
    <cellStyle name="Hyperlink" xfId="10350" builtinId="8" hidden="1"/>
    <cellStyle name="Hyperlink" xfId="10352" builtinId="8" hidden="1"/>
    <cellStyle name="Hyperlink" xfId="10354" builtinId="8" hidden="1"/>
    <cellStyle name="Hyperlink" xfId="10356" builtinId="8" hidden="1"/>
    <cellStyle name="Hyperlink" xfId="10358" builtinId="8" hidden="1"/>
    <cellStyle name="Hyperlink" xfId="10360" builtinId="8" hidden="1"/>
    <cellStyle name="Hyperlink" xfId="10362" builtinId="8" hidden="1"/>
    <cellStyle name="Hyperlink" xfId="10364" builtinId="8" hidden="1"/>
    <cellStyle name="Hyperlink" xfId="10366" builtinId="8" hidden="1"/>
    <cellStyle name="Hyperlink" xfId="10368" builtinId="8" hidden="1"/>
    <cellStyle name="Hyperlink" xfId="10370" builtinId="8" hidden="1"/>
    <cellStyle name="Hyperlink" xfId="10372" builtinId="8" hidden="1"/>
    <cellStyle name="Hyperlink" xfId="10374" builtinId="8" hidden="1"/>
    <cellStyle name="Hyperlink" xfId="10376" builtinId="8" hidden="1"/>
    <cellStyle name="Hyperlink" xfId="10378" builtinId="8" hidden="1"/>
    <cellStyle name="Hyperlink" xfId="10380" builtinId="8" hidden="1"/>
    <cellStyle name="Hyperlink" xfId="10382" builtinId="8" hidden="1"/>
    <cellStyle name="Hyperlink" xfId="10384" builtinId="8" hidden="1"/>
    <cellStyle name="Hyperlink" xfId="10386" builtinId="8" hidden="1"/>
    <cellStyle name="Hyperlink" xfId="10388" builtinId="8" hidden="1"/>
    <cellStyle name="Hyperlink" xfId="10390" builtinId="8" hidden="1"/>
    <cellStyle name="Hyperlink" xfId="10392" builtinId="8" hidden="1"/>
    <cellStyle name="Hyperlink" xfId="10394" builtinId="8" hidden="1"/>
    <cellStyle name="Hyperlink" xfId="10396" builtinId="8" hidden="1"/>
    <cellStyle name="Hyperlink" xfId="10398" builtinId="8" hidden="1"/>
    <cellStyle name="Hyperlink" xfId="10400" builtinId="8" hidden="1"/>
    <cellStyle name="Hyperlink" xfId="10402" builtinId="8" hidden="1"/>
    <cellStyle name="Hyperlink" xfId="10404" builtinId="8" hidden="1"/>
    <cellStyle name="Hyperlink" xfId="10406" builtinId="8" hidden="1"/>
    <cellStyle name="Hyperlink" xfId="10408" builtinId="8" hidden="1"/>
    <cellStyle name="Hyperlink" xfId="10410" builtinId="8" hidden="1"/>
    <cellStyle name="Hyperlink" xfId="10412" builtinId="8" hidden="1"/>
    <cellStyle name="Hyperlink" xfId="10414" builtinId="8" hidden="1"/>
    <cellStyle name="Hyperlink" xfId="10416" builtinId="8" hidden="1"/>
    <cellStyle name="Hyperlink" xfId="10418" builtinId="8" hidden="1"/>
    <cellStyle name="Hyperlink" xfId="10420" builtinId="8" hidden="1"/>
    <cellStyle name="Hyperlink" xfId="10422" builtinId="8" hidden="1"/>
    <cellStyle name="Hyperlink" xfId="10424" builtinId="8" hidden="1"/>
    <cellStyle name="Hyperlink" xfId="10426" builtinId="8" hidden="1"/>
    <cellStyle name="Hyperlink" xfId="10428" builtinId="8" hidden="1"/>
    <cellStyle name="Hyperlink" xfId="10430" builtinId="8" hidden="1"/>
    <cellStyle name="Hyperlink" xfId="10432" builtinId="8" hidden="1"/>
    <cellStyle name="Hyperlink" xfId="10434" builtinId="8" hidden="1"/>
    <cellStyle name="Hyperlink" xfId="10436" builtinId="8" hidden="1"/>
    <cellStyle name="Hyperlink" xfId="10438" builtinId="8" hidden="1"/>
    <cellStyle name="Hyperlink" xfId="10440" builtinId="8" hidden="1"/>
    <cellStyle name="Hyperlink" xfId="10442" builtinId="8" hidden="1"/>
    <cellStyle name="Hyperlink" xfId="10444" builtinId="8" hidden="1"/>
    <cellStyle name="Hyperlink" xfId="10446" builtinId="8" hidden="1"/>
    <cellStyle name="Hyperlink" xfId="10448" builtinId="8" hidden="1"/>
    <cellStyle name="Hyperlink" xfId="10450" builtinId="8" hidden="1"/>
    <cellStyle name="Hyperlink" xfId="10452" builtinId="8" hidden="1"/>
    <cellStyle name="Hyperlink" xfId="10454" builtinId="8" hidden="1"/>
    <cellStyle name="Hyperlink" xfId="10456" builtinId="8" hidden="1"/>
    <cellStyle name="Hyperlink" xfId="10458" builtinId="8" hidden="1"/>
    <cellStyle name="Hyperlink" xfId="10460" builtinId="8" hidden="1"/>
    <cellStyle name="Hyperlink" xfId="10462" builtinId="8" hidden="1"/>
    <cellStyle name="Hyperlink" xfId="10464" builtinId="8" hidden="1"/>
    <cellStyle name="Hyperlink" xfId="10466" builtinId="8" hidden="1"/>
    <cellStyle name="Hyperlink" xfId="10468" builtinId="8" hidden="1"/>
    <cellStyle name="Hyperlink" xfId="10470" builtinId="8" hidden="1"/>
    <cellStyle name="Hyperlink" xfId="10472" builtinId="8" hidden="1"/>
    <cellStyle name="Hyperlink" xfId="10474" builtinId="8" hidden="1"/>
    <cellStyle name="Hyperlink" xfId="10476" builtinId="8" hidden="1"/>
    <cellStyle name="Hyperlink" xfId="10478" builtinId="8" hidden="1"/>
    <cellStyle name="Hyperlink" xfId="10480" builtinId="8" hidden="1"/>
    <cellStyle name="Hyperlink" xfId="10482" builtinId="8" hidden="1"/>
    <cellStyle name="Hyperlink" xfId="10484" builtinId="8" hidden="1"/>
    <cellStyle name="Hyperlink" xfId="10486" builtinId="8" hidden="1"/>
    <cellStyle name="Hyperlink" xfId="10488" builtinId="8" hidden="1"/>
    <cellStyle name="Hyperlink" xfId="10490" builtinId="8" hidden="1"/>
    <cellStyle name="Hyperlink" xfId="10492" builtinId="8" hidden="1"/>
    <cellStyle name="Hyperlink" xfId="10494" builtinId="8" hidden="1"/>
    <cellStyle name="Hyperlink" xfId="10496" builtinId="8" hidden="1"/>
    <cellStyle name="Hyperlink" xfId="10498" builtinId="8" hidden="1"/>
    <cellStyle name="Hyperlink" xfId="10500" builtinId="8" hidden="1"/>
    <cellStyle name="Hyperlink" xfId="10502" builtinId="8" hidden="1"/>
    <cellStyle name="Hyperlink" xfId="10504" builtinId="8" hidden="1"/>
    <cellStyle name="Hyperlink" xfId="10506" builtinId="8" hidden="1"/>
    <cellStyle name="Hyperlink" xfId="10508" builtinId="8" hidden="1"/>
    <cellStyle name="Hyperlink" xfId="10510" builtinId="8" hidden="1"/>
    <cellStyle name="Hyperlink" xfId="10512" builtinId="8" hidden="1"/>
    <cellStyle name="Hyperlink" xfId="10514" builtinId="8" hidden="1"/>
    <cellStyle name="Hyperlink" xfId="10516" builtinId="8" hidden="1"/>
    <cellStyle name="Hyperlink" xfId="10518" builtinId="8" hidden="1"/>
    <cellStyle name="Hyperlink" xfId="10520" builtinId="8" hidden="1"/>
    <cellStyle name="Hyperlink" xfId="10522" builtinId="8" hidden="1"/>
    <cellStyle name="Hyperlink" xfId="10524" builtinId="8" hidden="1"/>
    <cellStyle name="Hyperlink" xfId="10526" builtinId="8" hidden="1"/>
    <cellStyle name="Hyperlink" xfId="10528" builtinId="8" hidden="1"/>
    <cellStyle name="Hyperlink" xfId="10530" builtinId="8" hidden="1"/>
    <cellStyle name="Hyperlink" xfId="10532" builtinId="8" hidden="1"/>
    <cellStyle name="Hyperlink" xfId="10534" builtinId="8" hidden="1"/>
    <cellStyle name="Hyperlink" xfId="10536" builtinId="8" hidden="1"/>
    <cellStyle name="Hyperlink" xfId="10538" builtinId="8" hidden="1"/>
    <cellStyle name="Hyperlink" xfId="10540" builtinId="8" hidden="1"/>
    <cellStyle name="Hyperlink" xfId="10542" builtinId="8" hidden="1"/>
    <cellStyle name="Hyperlink" xfId="10544" builtinId="8" hidden="1"/>
    <cellStyle name="Hyperlink" xfId="10546" builtinId="8" hidden="1"/>
    <cellStyle name="Hyperlink" xfId="10548" builtinId="8" hidden="1"/>
    <cellStyle name="Hyperlink" xfId="10550" builtinId="8" hidden="1"/>
    <cellStyle name="Hyperlink" xfId="10552" builtinId="8" hidden="1"/>
    <cellStyle name="Hyperlink" xfId="10554" builtinId="8" hidden="1"/>
    <cellStyle name="Hyperlink" xfId="10556" builtinId="8" hidden="1"/>
    <cellStyle name="Hyperlink" xfId="10558" builtinId="8" hidden="1"/>
    <cellStyle name="Hyperlink" xfId="10560" builtinId="8" hidden="1"/>
    <cellStyle name="Hyperlink" xfId="10562" builtinId="8" hidden="1"/>
    <cellStyle name="Hyperlink" xfId="10564" builtinId="8" hidden="1"/>
    <cellStyle name="Hyperlink" xfId="10566" builtinId="8" hidden="1"/>
    <cellStyle name="Hyperlink" xfId="10568" builtinId="8" hidden="1"/>
    <cellStyle name="Hyperlink" xfId="10570" builtinId="8" hidden="1"/>
    <cellStyle name="Hyperlink" xfId="10572" builtinId="8" hidden="1"/>
    <cellStyle name="Hyperlink" xfId="10574" builtinId="8" hidden="1"/>
    <cellStyle name="Hyperlink" xfId="10576" builtinId="8" hidden="1"/>
    <cellStyle name="Hyperlink" xfId="10578" builtinId="8" hidden="1"/>
    <cellStyle name="Hyperlink" xfId="10580" builtinId="8" hidden="1"/>
    <cellStyle name="Hyperlink" xfId="10582" builtinId="8" hidden="1"/>
    <cellStyle name="Hyperlink" xfId="10584" builtinId="8" hidden="1"/>
    <cellStyle name="Hyperlink" xfId="10586" builtinId="8" hidden="1"/>
    <cellStyle name="Hyperlink" xfId="10588" builtinId="8" hidden="1"/>
    <cellStyle name="Hyperlink" xfId="10590" builtinId="8" hidden="1"/>
    <cellStyle name="Hyperlink" xfId="10592" builtinId="8" hidden="1"/>
    <cellStyle name="Hyperlink" xfId="10594" builtinId="8" hidden="1"/>
    <cellStyle name="Hyperlink" xfId="10596" builtinId="8" hidden="1"/>
    <cellStyle name="Hyperlink" xfId="10598" builtinId="8" hidden="1"/>
    <cellStyle name="Hyperlink" xfId="10600" builtinId="8" hidden="1"/>
    <cellStyle name="Hyperlink" xfId="10602" builtinId="8" hidden="1"/>
    <cellStyle name="Hyperlink" xfId="10604" builtinId="8" hidden="1"/>
    <cellStyle name="Hyperlink" xfId="10606" builtinId="8" hidden="1"/>
    <cellStyle name="Hyperlink" xfId="10608" builtinId="8" hidden="1"/>
    <cellStyle name="Hyperlink" xfId="10610" builtinId="8" hidden="1"/>
    <cellStyle name="Hyperlink" xfId="10612" builtinId="8" hidden="1"/>
    <cellStyle name="Hyperlink" xfId="10614" builtinId="8" hidden="1"/>
    <cellStyle name="Hyperlink" xfId="10616" builtinId="8" hidden="1"/>
    <cellStyle name="Hyperlink" xfId="10618" builtinId="8" hidden="1"/>
    <cellStyle name="Hyperlink" xfId="10620" builtinId="8" hidden="1"/>
    <cellStyle name="Hyperlink" xfId="10622" builtinId="8" hidden="1"/>
    <cellStyle name="Hyperlink" xfId="10624" builtinId="8" hidden="1"/>
    <cellStyle name="Hyperlink" xfId="10626" builtinId="8" hidden="1"/>
    <cellStyle name="Hyperlink" xfId="10628" builtinId="8" hidden="1"/>
    <cellStyle name="Hyperlink" xfId="10630" builtinId="8" hidden="1"/>
    <cellStyle name="Hyperlink" xfId="10632" builtinId="8" hidden="1"/>
    <cellStyle name="Hyperlink" xfId="10634" builtinId="8" hidden="1"/>
    <cellStyle name="Hyperlink" xfId="10636" builtinId="8" hidden="1"/>
    <cellStyle name="Hyperlink" xfId="10638" builtinId="8" hidden="1"/>
    <cellStyle name="Hyperlink" xfId="10640" builtinId="8" hidden="1"/>
    <cellStyle name="Hyperlink" xfId="10642" builtinId="8" hidden="1"/>
    <cellStyle name="Hyperlink" xfId="10644" builtinId="8" hidden="1"/>
    <cellStyle name="Hyperlink" xfId="10646" builtinId="8" hidden="1"/>
    <cellStyle name="Hyperlink" xfId="10648" builtinId="8" hidden="1"/>
    <cellStyle name="Hyperlink" xfId="10650" builtinId="8" hidden="1"/>
    <cellStyle name="Hyperlink" xfId="10652" builtinId="8" hidden="1"/>
    <cellStyle name="Hyperlink" xfId="10654" builtinId="8" hidden="1"/>
    <cellStyle name="Hyperlink" xfId="10656" builtinId="8" hidden="1"/>
    <cellStyle name="Hyperlink" xfId="10658" builtinId="8" hidden="1"/>
    <cellStyle name="Hyperlink" xfId="10660" builtinId="8" hidden="1"/>
    <cellStyle name="Hyperlink" xfId="10662" builtinId="8" hidden="1"/>
    <cellStyle name="Hyperlink" xfId="10664" builtinId="8" hidden="1"/>
    <cellStyle name="Hyperlink" xfId="10666" builtinId="8" hidden="1"/>
    <cellStyle name="Hyperlink" xfId="10668" builtinId="8" hidden="1"/>
    <cellStyle name="Hyperlink" xfId="10670" builtinId="8" hidden="1"/>
    <cellStyle name="Hyperlink" xfId="10672" builtinId="8" hidden="1"/>
    <cellStyle name="Hyperlink" xfId="10674" builtinId="8" hidden="1"/>
    <cellStyle name="Hyperlink" xfId="10676" builtinId="8" hidden="1"/>
    <cellStyle name="Hyperlink" xfId="10678" builtinId="8" hidden="1"/>
    <cellStyle name="Hyperlink" xfId="10680" builtinId="8" hidden="1"/>
    <cellStyle name="Hyperlink" xfId="10682" builtinId="8" hidden="1"/>
    <cellStyle name="Hyperlink" xfId="10684" builtinId="8" hidden="1"/>
    <cellStyle name="Hyperlink" xfId="10686" builtinId="8" hidden="1"/>
    <cellStyle name="Hyperlink" xfId="10688" builtinId="8" hidden="1"/>
    <cellStyle name="Hyperlink" xfId="10690" builtinId="8" hidden="1"/>
    <cellStyle name="Hyperlink" xfId="10692" builtinId="8" hidden="1"/>
    <cellStyle name="Hyperlink" xfId="10694" builtinId="8" hidden="1"/>
    <cellStyle name="Hyperlink" xfId="10696" builtinId="8" hidden="1"/>
    <cellStyle name="Hyperlink" xfId="10698" builtinId="8" hidden="1"/>
    <cellStyle name="Hyperlink" xfId="10700" builtinId="8" hidden="1"/>
    <cellStyle name="Hyperlink" xfId="10702" builtinId="8" hidden="1"/>
    <cellStyle name="Hyperlink" xfId="10704" builtinId="8" hidden="1"/>
    <cellStyle name="Hyperlink" xfId="10706" builtinId="8" hidden="1"/>
    <cellStyle name="Hyperlink" xfId="10708" builtinId="8" hidden="1"/>
    <cellStyle name="Hyperlink" xfId="10710" builtinId="8" hidden="1"/>
    <cellStyle name="Hyperlink" xfId="10712" builtinId="8" hidden="1"/>
    <cellStyle name="Hyperlink" xfId="10714" builtinId="8" hidden="1"/>
    <cellStyle name="Hyperlink" xfId="10716" builtinId="8" hidden="1"/>
    <cellStyle name="Hyperlink" xfId="10718" builtinId="8" hidden="1"/>
    <cellStyle name="Hyperlink" xfId="10720" builtinId="8" hidden="1"/>
    <cellStyle name="Hyperlink" xfId="10722" builtinId="8" hidden="1"/>
    <cellStyle name="Hyperlink" xfId="10724" builtinId="8" hidden="1"/>
    <cellStyle name="Hyperlink" xfId="10726" builtinId="8" hidden="1"/>
    <cellStyle name="Hyperlink" xfId="10728" builtinId="8" hidden="1"/>
    <cellStyle name="Hyperlink" xfId="10730" builtinId="8" hidden="1"/>
    <cellStyle name="Hyperlink" xfId="10732" builtinId="8" hidden="1"/>
    <cellStyle name="Hyperlink" xfId="10734" builtinId="8" hidden="1"/>
    <cellStyle name="Hyperlink" xfId="10736" builtinId="8" hidden="1"/>
    <cellStyle name="Hyperlink" xfId="10738" builtinId="8" hidden="1"/>
    <cellStyle name="Hyperlink" xfId="10740" builtinId="8" hidden="1"/>
    <cellStyle name="Hyperlink" xfId="10742" builtinId="8" hidden="1"/>
    <cellStyle name="Hyperlink" xfId="10744" builtinId="8" hidden="1"/>
    <cellStyle name="Hyperlink" xfId="10746" builtinId="8" hidden="1"/>
    <cellStyle name="Hyperlink" xfId="10748" builtinId="8" hidden="1"/>
    <cellStyle name="Hyperlink" xfId="10750" builtinId="8" hidden="1"/>
    <cellStyle name="Hyperlink" xfId="10752" builtinId="8" hidden="1"/>
    <cellStyle name="Hyperlink" xfId="10754" builtinId="8" hidden="1"/>
    <cellStyle name="Hyperlink" xfId="10756" builtinId="8" hidden="1"/>
    <cellStyle name="Hyperlink" xfId="10758" builtinId="8" hidden="1"/>
    <cellStyle name="Hyperlink" xfId="10760" builtinId="8" hidden="1"/>
    <cellStyle name="Hyperlink" xfId="10762" builtinId="8" hidden="1"/>
    <cellStyle name="Hyperlink" xfId="10764" builtinId="8" hidden="1"/>
    <cellStyle name="Hyperlink" xfId="10766" builtinId="8" hidden="1"/>
    <cellStyle name="Hyperlink" xfId="10768" builtinId="8" hidden="1"/>
    <cellStyle name="Hyperlink" xfId="10770" builtinId="8" hidden="1"/>
    <cellStyle name="Hyperlink" xfId="10772" builtinId="8" hidden="1"/>
    <cellStyle name="Hyperlink" xfId="10774" builtinId="8" hidden="1"/>
    <cellStyle name="Hyperlink" xfId="10776" builtinId="8" hidden="1"/>
    <cellStyle name="Hyperlink" xfId="10778" builtinId="8" hidden="1"/>
    <cellStyle name="Hyperlink" xfId="10780" builtinId="8" hidden="1"/>
    <cellStyle name="Hyperlink" xfId="10782" builtinId="8" hidden="1"/>
    <cellStyle name="Hyperlink" xfId="10784" builtinId="8" hidden="1"/>
    <cellStyle name="Hyperlink" xfId="10786" builtinId="8" hidden="1"/>
    <cellStyle name="Hyperlink" xfId="10788" builtinId="8" hidden="1"/>
    <cellStyle name="Hyperlink" xfId="10790" builtinId="8" hidden="1"/>
    <cellStyle name="Hyperlink" xfId="10792" builtinId="8" hidden="1"/>
    <cellStyle name="Hyperlink" xfId="10794" builtinId="8" hidden="1"/>
    <cellStyle name="Hyperlink" xfId="10796" builtinId="8" hidden="1"/>
    <cellStyle name="Hyperlink" xfId="10798" builtinId="8" hidden="1"/>
    <cellStyle name="Hyperlink" xfId="10800" builtinId="8" hidden="1"/>
    <cellStyle name="Hyperlink" xfId="10802" builtinId="8" hidden="1"/>
    <cellStyle name="Hyperlink" xfId="10804" builtinId="8" hidden="1"/>
    <cellStyle name="Hyperlink" xfId="10806" builtinId="8" hidden="1"/>
    <cellStyle name="Hyperlink" xfId="10808" builtinId="8" hidden="1"/>
    <cellStyle name="Hyperlink" xfId="10810" builtinId="8" hidden="1"/>
    <cellStyle name="Hyperlink" xfId="10812" builtinId="8" hidden="1"/>
    <cellStyle name="Hyperlink" xfId="10814" builtinId="8" hidden="1"/>
    <cellStyle name="Hyperlink" xfId="10816" builtinId="8" hidden="1"/>
    <cellStyle name="Hyperlink" xfId="10818" builtinId="8" hidden="1"/>
    <cellStyle name="Hyperlink" xfId="10820" builtinId="8" hidden="1"/>
    <cellStyle name="Hyperlink" xfId="10822" builtinId="8" hidden="1"/>
    <cellStyle name="Hyperlink" xfId="10824" builtinId="8" hidden="1"/>
    <cellStyle name="Hyperlink" xfId="10826" builtinId="8" hidden="1"/>
    <cellStyle name="Hyperlink" xfId="10828" builtinId="8" hidden="1"/>
    <cellStyle name="Hyperlink" xfId="10830" builtinId="8" hidden="1"/>
    <cellStyle name="Hyperlink" xfId="10832" builtinId="8" hidden="1"/>
    <cellStyle name="Hyperlink" xfId="10834" builtinId="8" hidden="1"/>
    <cellStyle name="Hyperlink" xfId="10836" builtinId="8" hidden="1"/>
    <cellStyle name="Hyperlink" xfId="10838" builtinId="8" hidden="1"/>
    <cellStyle name="Hyperlink" xfId="10840" builtinId="8" hidden="1"/>
    <cellStyle name="Hyperlink" xfId="10842" builtinId="8" hidden="1"/>
    <cellStyle name="Hyperlink" xfId="10844" builtinId="8" hidden="1"/>
    <cellStyle name="Hyperlink" xfId="10846" builtinId="8" hidden="1"/>
    <cellStyle name="Hyperlink" xfId="10848" builtinId="8" hidden="1"/>
    <cellStyle name="Hyperlink" xfId="10850" builtinId="8" hidden="1"/>
    <cellStyle name="Hyperlink" xfId="10852" builtinId="8" hidden="1"/>
    <cellStyle name="Hyperlink" xfId="10854" builtinId="8" hidden="1"/>
    <cellStyle name="Hyperlink" xfId="10856" builtinId="8" hidden="1"/>
    <cellStyle name="Hyperlink" xfId="10858" builtinId="8" hidden="1"/>
    <cellStyle name="Hyperlink" xfId="10860" builtinId="8" hidden="1"/>
    <cellStyle name="Hyperlink" xfId="10862" builtinId="8" hidden="1"/>
    <cellStyle name="Hyperlink" xfId="10864" builtinId="8" hidden="1"/>
    <cellStyle name="Hyperlink" xfId="10866" builtinId="8" hidden="1"/>
    <cellStyle name="Hyperlink" xfId="10868" builtinId="8" hidden="1"/>
    <cellStyle name="Hyperlink" xfId="10870" builtinId="8" hidden="1"/>
    <cellStyle name="Hyperlink" xfId="10872" builtinId="8" hidden="1"/>
    <cellStyle name="Hyperlink" xfId="10874" builtinId="8" hidden="1"/>
    <cellStyle name="Hyperlink" xfId="10876" builtinId="8" hidden="1"/>
    <cellStyle name="Hyperlink" xfId="10878" builtinId="8" hidden="1"/>
    <cellStyle name="Hyperlink" xfId="10880" builtinId="8" hidden="1"/>
    <cellStyle name="Hyperlink" xfId="10882" builtinId="8" hidden="1"/>
    <cellStyle name="Hyperlink" xfId="10884" builtinId="8" hidden="1"/>
    <cellStyle name="Hyperlink" xfId="10886" builtinId="8" hidden="1"/>
    <cellStyle name="Hyperlink" xfId="10888" builtinId="8" hidden="1"/>
    <cellStyle name="Hyperlink" xfId="10890" builtinId="8" hidden="1"/>
    <cellStyle name="Hyperlink" xfId="10892" builtinId="8" hidden="1"/>
    <cellStyle name="Hyperlink" xfId="10894" builtinId="8" hidden="1"/>
    <cellStyle name="Hyperlink" xfId="10896" builtinId="8" hidden="1"/>
    <cellStyle name="Hyperlink" xfId="10898" builtinId="8" hidden="1"/>
    <cellStyle name="Hyperlink" xfId="10900" builtinId="8" hidden="1"/>
    <cellStyle name="Hyperlink" xfId="10902" builtinId="8" hidden="1"/>
    <cellStyle name="Hyperlink" xfId="10904" builtinId="8" hidden="1"/>
    <cellStyle name="Hyperlink" xfId="10906" builtinId="8" hidden="1"/>
    <cellStyle name="Hyperlink" xfId="10908" builtinId="8" hidden="1"/>
    <cellStyle name="Hyperlink" xfId="10910" builtinId="8" hidden="1"/>
    <cellStyle name="Hyperlink" xfId="10912" builtinId="8" hidden="1"/>
    <cellStyle name="Hyperlink" xfId="10914" builtinId="8" hidden="1"/>
    <cellStyle name="Hyperlink" xfId="10916" builtinId="8" hidden="1"/>
    <cellStyle name="Hyperlink" xfId="10918" builtinId="8" hidden="1"/>
    <cellStyle name="Hyperlink" xfId="10920" builtinId="8" hidden="1"/>
    <cellStyle name="Hyperlink" xfId="10922" builtinId="8" hidden="1"/>
    <cellStyle name="Hyperlink" xfId="10924" builtinId="8" hidden="1"/>
    <cellStyle name="Hyperlink" xfId="10926" builtinId="8" hidden="1"/>
    <cellStyle name="Hyperlink" xfId="10928" builtinId="8" hidden="1"/>
    <cellStyle name="Hyperlink" xfId="10930" builtinId="8" hidden="1"/>
    <cellStyle name="Hyperlink" xfId="10932" builtinId="8" hidden="1"/>
    <cellStyle name="Hyperlink" xfId="10934" builtinId="8" hidden="1"/>
    <cellStyle name="Hyperlink" xfId="10936" builtinId="8" hidden="1"/>
    <cellStyle name="Hyperlink" xfId="10938" builtinId="8" hidden="1"/>
    <cellStyle name="Hyperlink" xfId="10940" builtinId="8" hidden="1"/>
    <cellStyle name="Hyperlink" xfId="10942" builtinId="8" hidden="1"/>
    <cellStyle name="Hyperlink" xfId="10944" builtinId="8" hidden="1"/>
    <cellStyle name="Hyperlink" xfId="10946" builtinId="8" hidden="1"/>
    <cellStyle name="Hyperlink" xfId="10948" builtinId="8" hidden="1"/>
    <cellStyle name="Hyperlink" xfId="10950" builtinId="8" hidden="1"/>
    <cellStyle name="Hyperlink" xfId="10952" builtinId="8" hidden="1"/>
    <cellStyle name="Hyperlink" xfId="10954" builtinId="8" hidden="1"/>
    <cellStyle name="Hyperlink" xfId="10956" builtinId="8" hidden="1"/>
    <cellStyle name="Hyperlink" xfId="10958" builtinId="8" hidden="1"/>
    <cellStyle name="Hyperlink" xfId="10960" builtinId="8" hidden="1"/>
    <cellStyle name="Hyperlink" xfId="10962" builtinId="8" hidden="1"/>
    <cellStyle name="Hyperlink" xfId="10964" builtinId="8" hidden="1"/>
    <cellStyle name="Hyperlink" xfId="10966" builtinId="8" hidden="1"/>
    <cellStyle name="Hyperlink" xfId="10968" builtinId="8" hidden="1"/>
    <cellStyle name="Hyperlink" xfId="10970" builtinId="8" hidden="1"/>
    <cellStyle name="Hyperlink" xfId="10972" builtinId="8" hidden="1"/>
    <cellStyle name="Hyperlink" xfId="10974" builtinId="8" hidden="1"/>
    <cellStyle name="Hyperlink" xfId="10976" builtinId="8" hidden="1"/>
    <cellStyle name="Hyperlink" xfId="10978" builtinId="8" hidden="1"/>
    <cellStyle name="Hyperlink" xfId="10980" builtinId="8" hidden="1"/>
    <cellStyle name="Hyperlink" xfId="10982" builtinId="8" hidden="1"/>
    <cellStyle name="Hyperlink" xfId="10984" builtinId="8" hidden="1"/>
    <cellStyle name="Hyperlink" xfId="10986" builtinId="8" hidden="1"/>
    <cellStyle name="Hyperlink" xfId="10988" builtinId="8" hidden="1"/>
    <cellStyle name="Hyperlink" xfId="10990" builtinId="8" hidden="1"/>
    <cellStyle name="Hyperlink" xfId="10992" builtinId="8" hidden="1"/>
    <cellStyle name="Hyperlink" xfId="10994" builtinId="8" hidden="1"/>
    <cellStyle name="Hyperlink" xfId="10996" builtinId="8" hidden="1"/>
    <cellStyle name="Hyperlink" xfId="10998" builtinId="8" hidden="1"/>
    <cellStyle name="Hyperlink" xfId="11000" builtinId="8" hidden="1"/>
    <cellStyle name="Hyperlink" xfId="11002" builtinId="8" hidden="1"/>
    <cellStyle name="Hyperlink" xfId="11004" builtinId="8" hidden="1"/>
    <cellStyle name="Hyperlink" xfId="11006" builtinId="8" hidden="1"/>
    <cellStyle name="Hyperlink" xfId="11008" builtinId="8" hidden="1"/>
    <cellStyle name="Hyperlink" xfId="11010" builtinId="8" hidden="1"/>
    <cellStyle name="Hyperlink" xfId="11012" builtinId="8" hidden="1"/>
    <cellStyle name="Hyperlink" xfId="11014" builtinId="8" hidden="1"/>
    <cellStyle name="Hyperlink" xfId="11016" builtinId="8" hidden="1"/>
    <cellStyle name="Hyperlink" xfId="11018" builtinId="8" hidden="1"/>
    <cellStyle name="Hyperlink" xfId="11020" builtinId="8" hidden="1"/>
    <cellStyle name="Hyperlink" xfId="11022" builtinId="8" hidden="1"/>
    <cellStyle name="Hyperlink" xfId="11024" builtinId="8" hidden="1"/>
    <cellStyle name="Hyperlink" xfId="11026" builtinId="8" hidden="1"/>
    <cellStyle name="Hyperlink" xfId="11028" builtinId="8" hidden="1"/>
    <cellStyle name="Hyperlink" xfId="11030" builtinId="8" hidden="1"/>
    <cellStyle name="Hyperlink" xfId="11032" builtinId="8" hidden="1"/>
    <cellStyle name="Hyperlink" xfId="11034" builtinId="8" hidden="1"/>
    <cellStyle name="Hyperlink" xfId="11036" builtinId="8" hidden="1"/>
    <cellStyle name="Hyperlink" xfId="11038" builtinId="8" hidden="1"/>
    <cellStyle name="Hyperlink" xfId="11040" builtinId="8" hidden="1"/>
    <cellStyle name="Hyperlink" xfId="11042" builtinId="8" hidden="1"/>
    <cellStyle name="Hyperlink" xfId="11044" builtinId="8" hidden="1"/>
    <cellStyle name="Hyperlink" xfId="11046" builtinId="8" hidden="1"/>
    <cellStyle name="Hyperlink" xfId="11048" builtinId="8" hidden="1"/>
    <cellStyle name="Hyperlink" xfId="11050" builtinId="8" hidden="1"/>
    <cellStyle name="Hyperlink" xfId="11052" builtinId="8" hidden="1"/>
    <cellStyle name="Hyperlink" xfId="11054" builtinId="8" hidden="1"/>
    <cellStyle name="Hyperlink" xfId="11056" builtinId="8" hidden="1"/>
    <cellStyle name="Hyperlink" xfId="11058" builtinId="8" hidden="1"/>
    <cellStyle name="Hyperlink" xfId="11060" builtinId="8" hidden="1"/>
    <cellStyle name="Hyperlink" xfId="11062" builtinId="8" hidden="1"/>
    <cellStyle name="Hyperlink" xfId="11064" builtinId="8" hidden="1"/>
    <cellStyle name="Hyperlink" xfId="11066" builtinId="8" hidden="1"/>
    <cellStyle name="Hyperlink" xfId="11068" builtinId="8" hidden="1"/>
    <cellStyle name="Hyperlink" xfId="11070" builtinId="8" hidden="1"/>
    <cellStyle name="Hyperlink" xfId="11072" builtinId="8" hidden="1"/>
    <cellStyle name="Hyperlink" xfId="11074" builtinId="8" hidden="1"/>
    <cellStyle name="Hyperlink" xfId="11076" builtinId="8" hidden="1"/>
    <cellStyle name="Hyperlink" xfId="11078" builtinId="8" hidden="1"/>
    <cellStyle name="Hyperlink" xfId="11080" builtinId="8" hidden="1"/>
    <cellStyle name="Hyperlink" xfId="11082" builtinId="8" hidden="1"/>
    <cellStyle name="Hyperlink" xfId="11084" builtinId="8" hidden="1"/>
    <cellStyle name="Hyperlink" xfId="11086" builtinId="8" hidden="1"/>
    <cellStyle name="Hyperlink" xfId="11088" builtinId="8" hidden="1"/>
    <cellStyle name="Hyperlink" xfId="11090" builtinId="8" hidden="1"/>
    <cellStyle name="Hyperlink" xfId="11092" builtinId="8" hidden="1"/>
    <cellStyle name="Hyperlink" xfId="11094" builtinId="8" hidden="1"/>
    <cellStyle name="Hyperlink" xfId="11096" builtinId="8" hidden="1"/>
    <cellStyle name="Hyperlink" xfId="11098" builtinId="8" hidden="1"/>
    <cellStyle name="Hyperlink" xfId="11100" builtinId="8" hidden="1"/>
    <cellStyle name="Hyperlink" xfId="11102" builtinId="8" hidden="1"/>
    <cellStyle name="Hyperlink" xfId="11104" builtinId="8" hidden="1"/>
    <cellStyle name="Hyperlink" xfId="11106" builtinId="8" hidden="1"/>
    <cellStyle name="Hyperlink" xfId="11108" builtinId="8" hidden="1"/>
    <cellStyle name="Hyperlink" xfId="11110" builtinId="8" hidden="1"/>
    <cellStyle name="Hyperlink" xfId="11112" builtinId="8" hidden="1"/>
    <cellStyle name="Hyperlink" xfId="11114" builtinId="8" hidden="1"/>
    <cellStyle name="Hyperlink" xfId="11116" builtinId="8" hidden="1"/>
    <cellStyle name="Hyperlink" xfId="11118" builtinId="8" hidden="1"/>
    <cellStyle name="Hyperlink" xfId="11120" builtinId="8" hidden="1"/>
    <cellStyle name="Hyperlink" xfId="11122" builtinId="8" hidden="1"/>
    <cellStyle name="Hyperlink" xfId="11124" builtinId="8" hidden="1"/>
    <cellStyle name="Hyperlink" xfId="11126" builtinId="8" hidden="1"/>
    <cellStyle name="Hyperlink" xfId="11128" builtinId="8" hidden="1"/>
    <cellStyle name="Hyperlink" xfId="11130" builtinId="8" hidden="1"/>
    <cellStyle name="Hyperlink" xfId="11132" builtinId="8" hidden="1"/>
    <cellStyle name="Hyperlink" xfId="11134" builtinId="8" hidden="1"/>
    <cellStyle name="Hyperlink" xfId="11136" builtinId="8" hidden="1"/>
    <cellStyle name="Hyperlink" xfId="11138" builtinId="8" hidden="1"/>
    <cellStyle name="Hyperlink" xfId="11140" builtinId="8" hidden="1"/>
    <cellStyle name="Hyperlink" xfId="11142" builtinId="8" hidden="1"/>
    <cellStyle name="Hyperlink" xfId="11144" builtinId="8" hidden="1"/>
    <cellStyle name="Hyperlink" xfId="11146" builtinId="8" hidden="1"/>
    <cellStyle name="Hyperlink" xfId="11148" builtinId="8" hidden="1"/>
    <cellStyle name="Hyperlink" xfId="11150" builtinId="8" hidden="1"/>
    <cellStyle name="Hyperlink" xfId="11152" builtinId="8" hidden="1"/>
    <cellStyle name="Hyperlink" xfId="11154" builtinId="8" hidden="1"/>
    <cellStyle name="Hyperlink" xfId="11156" builtinId="8" hidden="1"/>
    <cellStyle name="Hyperlink" xfId="11158" builtinId="8" hidden="1"/>
    <cellStyle name="Hyperlink" xfId="11160" builtinId="8" hidden="1"/>
    <cellStyle name="Hyperlink" xfId="11162" builtinId="8" hidden="1"/>
    <cellStyle name="Hyperlink" xfId="11164" builtinId="8" hidden="1"/>
    <cellStyle name="Hyperlink" xfId="11166" builtinId="8" hidden="1"/>
    <cellStyle name="Hyperlink" xfId="11168" builtinId="8" hidden="1"/>
    <cellStyle name="Hyperlink" xfId="11170" builtinId="8" hidden="1"/>
    <cellStyle name="Hyperlink" xfId="11172" builtinId="8" hidden="1"/>
    <cellStyle name="Hyperlink" xfId="11174" builtinId="8" hidden="1"/>
    <cellStyle name="Hyperlink" xfId="11176" builtinId="8" hidden="1"/>
    <cellStyle name="Hyperlink" xfId="11178" builtinId="8" hidden="1"/>
    <cellStyle name="Hyperlink" xfId="11180" builtinId="8" hidden="1"/>
    <cellStyle name="Hyperlink" xfId="11182" builtinId="8" hidden="1"/>
    <cellStyle name="Hyperlink" xfId="11184" builtinId="8" hidden="1"/>
    <cellStyle name="Hyperlink" xfId="11186" builtinId="8" hidden="1"/>
    <cellStyle name="Hyperlink" xfId="11188" builtinId="8" hidden="1"/>
    <cellStyle name="Hyperlink" xfId="11190" builtinId="8" hidden="1"/>
    <cellStyle name="Hyperlink" xfId="11192" builtinId="8" hidden="1"/>
    <cellStyle name="Hyperlink" xfId="11194" builtinId="8" hidden="1"/>
    <cellStyle name="Hyperlink" xfId="11196" builtinId="8" hidden="1"/>
    <cellStyle name="Hyperlink" xfId="11198" builtinId="8" hidden="1"/>
    <cellStyle name="Hyperlink" xfId="11200" builtinId="8" hidden="1"/>
    <cellStyle name="Hyperlink" xfId="11202" builtinId="8" hidden="1"/>
    <cellStyle name="Hyperlink" xfId="11204" builtinId="8" hidden="1"/>
    <cellStyle name="Hyperlink" xfId="11206" builtinId="8" hidden="1"/>
    <cellStyle name="Hyperlink" xfId="11208" builtinId="8" hidden="1"/>
    <cellStyle name="Hyperlink" xfId="11210" builtinId="8" hidden="1"/>
    <cellStyle name="Hyperlink" xfId="11212" builtinId="8" hidden="1"/>
    <cellStyle name="Hyperlink" xfId="11214" builtinId="8" hidden="1"/>
    <cellStyle name="Hyperlink" xfId="11216" builtinId="8" hidden="1"/>
    <cellStyle name="Hyperlink" xfId="11218" builtinId="8" hidden="1"/>
    <cellStyle name="Hyperlink" xfId="11220" builtinId="8" hidden="1"/>
    <cellStyle name="Hyperlink" xfId="11222" builtinId="8" hidden="1"/>
    <cellStyle name="Hyperlink" xfId="11224" builtinId="8" hidden="1"/>
    <cellStyle name="Hyperlink" xfId="11226" builtinId="8" hidden="1"/>
    <cellStyle name="Hyperlink" xfId="11228" builtinId="8" hidden="1"/>
    <cellStyle name="Hyperlink" xfId="11230" builtinId="8" hidden="1"/>
    <cellStyle name="Hyperlink" xfId="11232" builtinId="8" hidden="1"/>
    <cellStyle name="Hyperlink" xfId="11234" builtinId="8" hidden="1"/>
    <cellStyle name="Hyperlink" xfId="11236" builtinId="8" hidden="1"/>
    <cellStyle name="Hyperlink" xfId="11238" builtinId="8" hidden="1"/>
    <cellStyle name="Hyperlink" xfId="11240" builtinId="8" hidden="1"/>
    <cellStyle name="Hyperlink" xfId="11242" builtinId="8" hidden="1"/>
    <cellStyle name="Hyperlink" xfId="11244" builtinId="8" hidden="1"/>
    <cellStyle name="Hyperlink" xfId="11246" builtinId="8" hidden="1"/>
    <cellStyle name="Hyperlink" xfId="11248" builtinId="8" hidden="1"/>
    <cellStyle name="Hyperlink" xfId="11250" builtinId="8" hidden="1"/>
    <cellStyle name="Hyperlink" xfId="11252" builtinId="8" hidden="1"/>
    <cellStyle name="Hyperlink" xfId="11254" builtinId="8" hidden="1"/>
    <cellStyle name="Hyperlink" xfId="11256" builtinId="8" hidden="1"/>
    <cellStyle name="Hyperlink" xfId="11258" builtinId="8" hidden="1"/>
    <cellStyle name="Hyperlink" xfId="11260" builtinId="8" hidden="1"/>
    <cellStyle name="Hyperlink" xfId="11262" builtinId="8" hidden="1"/>
    <cellStyle name="Hyperlink" xfId="11264" builtinId="8" hidden="1"/>
    <cellStyle name="Hyperlink" xfId="11266" builtinId="8" hidden="1"/>
    <cellStyle name="Hyperlink" xfId="11268" builtinId="8" hidden="1"/>
    <cellStyle name="Hyperlink" xfId="11270" builtinId="8" hidden="1"/>
    <cellStyle name="Hyperlink" xfId="11272" builtinId="8" hidden="1"/>
    <cellStyle name="Hyperlink" xfId="11274" builtinId="8" hidden="1"/>
    <cellStyle name="Hyperlink" xfId="11276" builtinId="8" hidden="1"/>
    <cellStyle name="Hyperlink" xfId="11278" builtinId="8" hidden="1"/>
    <cellStyle name="Hyperlink" xfId="11280" builtinId="8" hidden="1"/>
    <cellStyle name="Hyperlink" xfId="11282" builtinId="8" hidden="1"/>
    <cellStyle name="Hyperlink" xfId="11284" builtinId="8" hidden="1"/>
    <cellStyle name="Hyperlink" xfId="11286" builtinId="8" hidden="1"/>
    <cellStyle name="Hyperlink" xfId="11288" builtinId="8" hidden="1"/>
    <cellStyle name="Hyperlink" xfId="11290" builtinId="8" hidden="1"/>
    <cellStyle name="Hyperlink" xfId="11292" builtinId="8" hidden="1"/>
    <cellStyle name="Hyperlink" xfId="11294" builtinId="8" hidden="1"/>
    <cellStyle name="Hyperlink" xfId="11296" builtinId="8" hidden="1"/>
    <cellStyle name="Hyperlink" xfId="11298" builtinId="8" hidden="1"/>
    <cellStyle name="Hyperlink" xfId="11300" builtinId="8" hidden="1"/>
    <cellStyle name="Hyperlink" xfId="11302" builtinId="8" hidden="1"/>
    <cellStyle name="Hyperlink" xfId="11304" builtinId="8" hidden="1"/>
    <cellStyle name="Hyperlink" xfId="11306" builtinId="8" hidden="1"/>
    <cellStyle name="Hyperlink" xfId="11308" builtinId="8" hidden="1"/>
    <cellStyle name="Hyperlink" xfId="11310" builtinId="8" hidden="1"/>
    <cellStyle name="Hyperlink" xfId="11312" builtinId="8" hidden="1"/>
    <cellStyle name="Hyperlink" xfId="11314" builtinId="8" hidden="1"/>
    <cellStyle name="Hyperlink" xfId="11316" builtinId="8" hidden="1"/>
    <cellStyle name="Hyperlink" xfId="11318" builtinId="8" hidden="1"/>
    <cellStyle name="Hyperlink" xfId="11320" builtinId="8" hidden="1"/>
    <cellStyle name="Hyperlink" xfId="11322" builtinId="8" hidden="1"/>
    <cellStyle name="Hyperlink" xfId="11324" builtinId="8" hidden="1"/>
    <cellStyle name="Hyperlink" xfId="11326" builtinId="8" hidden="1"/>
    <cellStyle name="Hyperlink" xfId="11328" builtinId="8" hidden="1"/>
    <cellStyle name="Hyperlink" xfId="11330" builtinId="8" hidden="1"/>
    <cellStyle name="Hyperlink" xfId="11332" builtinId="8" hidden="1"/>
    <cellStyle name="Hyperlink" xfId="11334" builtinId="8" hidden="1"/>
    <cellStyle name="Hyperlink" xfId="11336" builtinId="8" hidden="1"/>
    <cellStyle name="Hyperlink" xfId="11338" builtinId="8" hidden="1"/>
    <cellStyle name="Hyperlink" xfId="11340" builtinId="8" hidden="1"/>
    <cellStyle name="Hyperlink" xfId="11342" builtinId="8" hidden="1"/>
    <cellStyle name="Hyperlink" xfId="11344" builtinId="8" hidden="1"/>
    <cellStyle name="Hyperlink" xfId="11346" builtinId="8" hidden="1"/>
    <cellStyle name="Hyperlink" xfId="11348" builtinId="8" hidden="1"/>
    <cellStyle name="Hyperlink" xfId="11350" builtinId="8" hidden="1"/>
    <cellStyle name="Hyperlink" xfId="11352" builtinId="8" hidden="1"/>
    <cellStyle name="Hyperlink" xfId="11354" builtinId="8" hidden="1"/>
    <cellStyle name="Hyperlink" xfId="11356" builtinId="8" hidden="1"/>
    <cellStyle name="Hyperlink" xfId="11358" builtinId="8" hidden="1"/>
    <cellStyle name="Hyperlink" xfId="11360" builtinId="8" hidden="1"/>
    <cellStyle name="Hyperlink" xfId="11362" builtinId="8" hidden="1"/>
    <cellStyle name="Hyperlink" xfId="11364" builtinId="8" hidden="1"/>
    <cellStyle name="Hyperlink" xfId="11366" builtinId="8" hidden="1"/>
    <cellStyle name="Hyperlink" xfId="11368" builtinId="8" hidden="1"/>
    <cellStyle name="Hyperlink" xfId="11370" builtinId="8" hidden="1"/>
    <cellStyle name="Hyperlink" xfId="11372" builtinId="8" hidden="1"/>
    <cellStyle name="Hyperlink" xfId="11374" builtinId="8" hidden="1"/>
    <cellStyle name="Hyperlink" xfId="11376" builtinId="8" hidden="1"/>
    <cellStyle name="Hyperlink" xfId="11378" builtinId="8" hidden="1"/>
    <cellStyle name="Hyperlink" xfId="11380" builtinId="8" hidden="1"/>
    <cellStyle name="Hyperlink" xfId="11382" builtinId="8" hidden="1"/>
    <cellStyle name="Hyperlink" xfId="11384" builtinId="8" hidden="1"/>
    <cellStyle name="Hyperlink" xfId="11386" builtinId="8" hidden="1"/>
    <cellStyle name="Hyperlink" xfId="11388" builtinId="8" hidden="1"/>
    <cellStyle name="Hyperlink" xfId="11390" builtinId="8" hidden="1"/>
    <cellStyle name="Hyperlink" xfId="11392" builtinId="8" hidden="1"/>
    <cellStyle name="Hyperlink" xfId="11394" builtinId="8" hidden="1"/>
    <cellStyle name="Hyperlink" xfId="11396" builtinId="8" hidden="1"/>
    <cellStyle name="Hyperlink" xfId="11398" builtinId="8" hidden="1"/>
    <cellStyle name="Hyperlink" xfId="11400" builtinId="8" hidden="1"/>
    <cellStyle name="Hyperlink" xfId="11402" builtinId="8" hidden="1"/>
    <cellStyle name="Hyperlink" xfId="11404" builtinId="8" hidden="1"/>
    <cellStyle name="Hyperlink" xfId="11406" builtinId="8" hidden="1"/>
    <cellStyle name="Hyperlink" xfId="11408" builtinId="8" hidden="1"/>
    <cellStyle name="Hyperlink" xfId="11410" builtinId="8" hidden="1"/>
    <cellStyle name="Hyperlink" xfId="11412" builtinId="8" hidden="1"/>
    <cellStyle name="Hyperlink" xfId="11414" builtinId="8" hidden="1"/>
    <cellStyle name="Hyperlink" xfId="11416" builtinId="8" hidden="1"/>
    <cellStyle name="Hyperlink" xfId="11418" builtinId="8" hidden="1"/>
    <cellStyle name="Hyperlink" xfId="11420" builtinId="8" hidden="1"/>
    <cellStyle name="Hyperlink" xfId="11422" builtinId="8" hidden="1"/>
    <cellStyle name="Hyperlink" xfId="11424" builtinId="8" hidden="1"/>
    <cellStyle name="Hyperlink" xfId="11426" builtinId="8" hidden="1"/>
    <cellStyle name="Hyperlink" xfId="11428" builtinId="8" hidden="1"/>
    <cellStyle name="Hyperlink" xfId="11430" builtinId="8" hidden="1"/>
    <cellStyle name="Hyperlink" xfId="11432" builtinId="8" hidden="1"/>
    <cellStyle name="Hyperlink" xfId="11434" builtinId="8" hidden="1"/>
    <cellStyle name="Hyperlink" xfId="11436" builtinId="8" hidden="1"/>
    <cellStyle name="Hyperlink" xfId="11438" builtinId="8" hidden="1"/>
    <cellStyle name="Hyperlink" xfId="11440" builtinId="8" hidden="1"/>
    <cellStyle name="Hyperlink" xfId="11442" builtinId="8" hidden="1"/>
    <cellStyle name="Hyperlink" xfId="11444" builtinId="8" hidden="1"/>
    <cellStyle name="Hyperlink" xfId="11446" builtinId="8" hidden="1"/>
    <cellStyle name="Hyperlink" xfId="11448" builtinId="8" hidden="1"/>
    <cellStyle name="Hyperlink" xfId="11450" builtinId="8" hidden="1"/>
    <cellStyle name="Hyperlink" xfId="11452" builtinId="8" hidden="1"/>
    <cellStyle name="Hyperlink" xfId="11454" builtinId="8" hidden="1"/>
    <cellStyle name="Hyperlink" xfId="11456" builtinId="8" hidden="1"/>
    <cellStyle name="Hyperlink" xfId="11458" builtinId="8" hidden="1"/>
    <cellStyle name="Hyperlink" xfId="11460" builtinId="8" hidden="1"/>
    <cellStyle name="Hyperlink" xfId="11462" builtinId="8" hidden="1"/>
    <cellStyle name="Hyperlink" xfId="11464" builtinId="8" hidden="1"/>
    <cellStyle name="Hyperlink" xfId="11466" builtinId="8" hidden="1"/>
    <cellStyle name="Hyperlink" xfId="11468" builtinId="8" hidden="1"/>
    <cellStyle name="Hyperlink" xfId="11470" builtinId="8" hidden="1"/>
    <cellStyle name="Hyperlink" xfId="11472" builtinId="8" hidden="1"/>
    <cellStyle name="Hyperlink" xfId="11474" builtinId="8" hidden="1"/>
    <cellStyle name="Hyperlink" xfId="11476" builtinId="8" hidden="1"/>
    <cellStyle name="Hyperlink" xfId="11478" builtinId="8" hidden="1"/>
    <cellStyle name="Hyperlink" xfId="11480" builtinId="8" hidden="1"/>
    <cellStyle name="Hyperlink" xfId="11482" builtinId="8" hidden="1"/>
    <cellStyle name="Hyperlink" xfId="11484" builtinId="8" hidden="1"/>
    <cellStyle name="Hyperlink" xfId="11486" builtinId="8" hidden="1"/>
    <cellStyle name="Hyperlink" xfId="11488" builtinId="8" hidden="1"/>
    <cellStyle name="Hyperlink" xfId="11490" builtinId="8" hidden="1"/>
    <cellStyle name="Hyperlink" xfId="11492" builtinId="8" hidden="1"/>
    <cellStyle name="Hyperlink" xfId="11494" builtinId="8" hidden="1"/>
    <cellStyle name="Hyperlink" xfId="11496" builtinId="8" hidden="1"/>
    <cellStyle name="Hyperlink" xfId="11498" builtinId="8" hidden="1"/>
    <cellStyle name="Hyperlink" xfId="11500" builtinId="8" hidden="1"/>
    <cellStyle name="Hyperlink" xfId="11502" builtinId="8" hidden="1"/>
    <cellStyle name="Hyperlink" xfId="11504" builtinId="8" hidden="1"/>
    <cellStyle name="Hyperlink" xfId="11506" builtinId="8" hidden="1"/>
    <cellStyle name="Hyperlink" xfId="11508" builtinId="8" hidden="1"/>
    <cellStyle name="Hyperlink" xfId="11510" builtinId="8" hidden="1"/>
    <cellStyle name="Hyperlink" xfId="11512" builtinId="8" hidden="1"/>
    <cellStyle name="Hyperlink" xfId="11514" builtinId="8" hidden="1"/>
    <cellStyle name="Hyperlink" xfId="11516" builtinId="8" hidden="1"/>
    <cellStyle name="Hyperlink" xfId="11518" builtinId="8" hidden="1"/>
    <cellStyle name="Hyperlink" xfId="11520" builtinId="8" hidden="1"/>
    <cellStyle name="Hyperlink" xfId="11522" builtinId="8" hidden="1"/>
    <cellStyle name="Hyperlink" xfId="11524" builtinId="8" hidden="1"/>
    <cellStyle name="Hyperlink" xfId="11526" builtinId="8" hidden="1"/>
    <cellStyle name="Hyperlink" xfId="11528" builtinId="8" hidden="1"/>
    <cellStyle name="Hyperlink" xfId="11530" builtinId="8" hidden="1"/>
    <cellStyle name="Hyperlink" xfId="11532" builtinId="8" hidden="1"/>
    <cellStyle name="Hyperlink" xfId="11534" builtinId="8" hidden="1"/>
    <cellStyle name="Hyperlink" xfId="11536" builtinId="8" hidden="1"/>
    <cellStyle name="Hyperlink" xfId="11538" builtinId="8" hidden="1"/>
    <cellStyle name="Hyperlink" xfId="11540" builtinId="8" hidden="1"/>
    <cellStyle name="Hyperlink" xfId="11542" builtinId="8" hidden="1"/>
    <cellStyle name="Hyperlink" xfId="11544" builtinId="8" hidden="1"/>
    <cellStyle name="Hyperlink" xfId="11546" builtinId="8" hidden="1"/>
    <cellStyle name="Hyperlink" xfId="11548" builtinId="8" hidden="1"/>
    <cellStyle name="Hyperlink" xfId="11550" builtinId="8" hidden="1"/>
    <cellStyle name="Hyperlink" xfId="11552" builtinId="8" hidden="1"/>
    <cellStyle name="Hyperlink" xfId="11554" builtinId="8" hidden="1"/>
    <cellStyle name="Hyperlink" xfId="11556" builtinId="8" hidden="1"/>
    <cellStyle name="Hyperlink" xfId="11558" builtinId="8" hidden="1"/>
    <cellStyle name="Hyperlink" xfId="11560" builtinId="8" hidden="1"/>
    <cellStyle name="Hyperlink" xfId="11562" builtinId="8" hidden="1"/>
    <cellStyle name="Hyperlink" xfId="11564" builtinId="8" hidden="1"/>
    <cellStyle name="Hyperlink" xfId="11566" builtinId="8" hidden="1"/>
    <cellStyle name="Hyperlink" xfId="11568" builtinId="8" hidden="1"/>
    <cellStyle name="Hyperlink" xfId="11570" builtinId="8" hidden="1"/>
    <cellStyle name="Hyperlink" xfId="11572" builtinId="8" hidden="1"/>
    <cellStyle name="Hyperlink" xfId="11574" builtinId="8" hidden="1"/>
    <cellStyle name="Hyperlink" xfId="11576" builtinId="8" hidden="1"/>
    <cellStyle name="Hyperlink" xfId="11578" builtinId="8" hidden="1"/>
    <cellStyle name="Hyperlink" xfId="11580" builtinId="8" hidden="1"/>
    <cellStyle name="Hyperlink" xfId="11582" builtinId="8" hidden="1"/>
    <cellStyle name="Hyperlink" xfId="11584" builtinId="8" hidden="1"/>
    <cellStyle name="Hyperlink" xfId="11586" builtinId="8" hidden="1"/>
    <cellStyle name="Hyperlink" xfId="11588" builtinId="8" hidden="1"/>
    <cellStyle name="Hyperlink" xfId="11590" builtinId="8" hidden="1"/>
    <cellStyle name="Hyperlink" xfId="11592" builtinId="8" hidden="1"/>
    <cellStyle name="Hyperlink" xfId="11594" builtinId="8" hidden="1"/>
    <cellStyle name="Hyperlink" xfId="11596" builtinId="8" hidden="1"/>
    <cellStyle name="Hyperlink" xfId="11598" builtinId="8" hidden="1"/>
    <cellStyle name="Hyperlink" xfId="11600" builtinId="8" hidden="1"/>
    <cellStyle name="Hyperlink" xfId="11602" builtinId="8" hidden="1"/>
    <cellStyle name="Hyperlink" xfId="11604" builtinId="8" hidden="1"/>
    <cellStyle name="Hyperlink" xfId="11606" builtinId="8" hidden="1"/>
    <cellStyle name="Hyperlink" xfId="11608" builtinId="8" hidden="1"/>
    <cellStyle name="Hyperlink" xfId="11610" builtinId="8" hidden="1"/>
    <cellStyle name="Hyperlink" xfId="11612" builtinId="8" hidden="1"/>
    <cellStyle name="Hyperlink" xfId="11614" builtinId="8" hidden="1"/>
    <cellStyle name="Hyperlink" xfId="11616" builtinId="8" hidden="1"/>
    <cellStyle name="Hyperlink" xfId="11618" builtinId="8" hidden="1"/>
    <cellStyle name="Hyperlink" xfId="11620" builtinId="8" hidden="1"/>
    <cellStyle name="Hyperlink" xfId="11622" builtinId="8" hidden="1"/>
    <cellStyle name="Hyperlink" xfId="11624" builtinId="8" hidden="1"/>
    <cellStyle name="Hyperlink" xfId="11626" builtinId="8" hidden="1"/>
    <cellStyle name="Hyperlink" xfId="11628" builtinId="8" hidden="1"/>
    <cellStyle name="Hyperlink" xfId="11630" builtinId="8" hidden="1"/>
    <cellStyle name="Hyperlink" xfId="11632" builtinId="8" hidden="1"/>
    <cellStyle name="Hyperlink" xfId="11634" builtinId="8" hidden="1"/>
    <cellStyle name="Hyperlink" xfId="11636" builtinId="8" hidden="1"/>
    <cellStyle name="Hyperlink" xfId="11638" builtinId="8" hidden="1"/>
    <cellStyle name="Hyperlink" xfId="11640" builtinId="8" hidden="1"/>
    <cellStyle name="Hyperlink" xfId="11642" builtinId="8" hidden="1"/>
    <cellStyle name="Hyperlink" xfId="11644" builtinId="8" hidden="1"/>
    <cellStyle name="Hyperlink" xfId="11646" builtinId="8" hidden="1"/>
    <cellStyle name="Hyperlink" xfId="11648" builtinId="8" hidden="1"/>
    <cellStyle name="Hyperlink" xfId="11650" builtinId="8" hidden="1"/>
    <cellStyle name="Hyperlink" xfId="11652" builtinId="8" hidden="1"/>
    <cellStyle name="Hyperlink" xfId="11654" builtinId="8" hidden="1"/>
    <cellStyle name="Hyperlink" xfId="11656" builtinId="8" hidden="1"/>
    <cellStyle name="Hyperlink" xfId="11658" builtinId="8" hidden="1"/>
    <cellStyle name="Hyperlink" xfId="11660" builtinId="8" hidden="1"/>
    <cellStyle name="Hyperlink" xfId="11662" builtinId="8" hidden="1"/>
    <cellStyle name="Hyperlink" xfId="11664" builtinId="8" hidden="1"/>
    <cellStyle name="Hyperlink" xfId="11666" builtinId="8" hidden="1"/>
    <cellStyle name="Hyperlink" xfId="11668" builtinId="8" hidden="1"/>
    <cellStyle name="Hyperlink" xfId="11670" builtinId="8" hidden="1"/>
    <cellStyle name="Hyperlink" xfId="11672" builtinId="8" hidden="1"/>
    <cellStyle name="Hyperlink" xfId="11674" builtinId="8" hidden="1"/>
    <cellStyle name="Hyperlink" xfId="11676" builtinId="8" hidden="1"/>
    <cellStyle name="Hyperlink" xfId="11678" builtinId="8" hidden="1"/>
    <cellStyle name="Hyperlink" xfId="11680" builtinId="8" hidden="1"/>
    <cellStyle name="Hyperlink" xfId="11682" builtinId="8" hidden="1"/>
    <cellStyle name="Hyperlink" xfId="11684" builtinId="8" hidden="1"/>
    <cellStyle name="Hyperlink" xfId="11686" builtinId="8" hidden="1"/>
    <cellStyle name="Hyperlink" xfId="11688" builtinId="8" hidden="1"/>
    <cellStyle name="Hyperlink" xfId="11690" builtinId="8" hidden="1"/>
    <cellStyle name="Hyperlink" xfId="11692" builtinId="8" hidden="1"/>
    <cellStyle name="Hyperlink" xfId="11694" builtinId="8" hidden="1"/>
    <cellStyle name="Hyperlink" xfId="11696" builtinId="8" hidden="1"/>
    <cellStyle name="Hyperlink" xfId="11698" builtinId="8" hidden="1"/>
    <cellStyle name="Hyperlink" xfId="11700" builtinId="8" hidden="1"/>
    <cellStyle name="Hyperlink" xfId="11702" builtinId="8" hidden="1"/>
    <cellStyle name="Hyperlink" xfId="11704" builtinId="8" hidden="1"/>
    <cellStyle name="Hyperlink" xfId="11706" builtinId="8" hidden="1"/>
    <cellStyle name="Hyperlink" xfId="11708" builtinId="8" hidden="1"/>
    <cellStyle name="Hyperlink" xfId="11710" builtinId="8" hidden="1"/>
    <cellStyle name="Hyperlink" xfId="11712" builtinId="8" hidden="1"/>
    <cellStyle name="Hyperlink" xfId="11714" builtinId="8" hidden="1"/>
    <cellStyle name="Hyperlink" xfId="11716" builtinId="8" hidden="1"/>
    <cellStyle name="Hyperlink" xfId="11718" builtinId="8" hidden="1"/>
    <cellStyle name="Hyperlink" xfId="11720" builtinId="8" hidden="1"/>
    <cellStyle name="Hyperlink" xfId="11722" builtinId="8" hidden="1"/>
    <cellStyle name="Hyperlink" xfId="11724" builtinId="8" hidden="1"/>
    <cellStyle name="Hyperlink" xfId="11726" builtinId="8" hidden="1"/>
    <cellStyle name="Hyperlink" xfId="11728" builtinId="8" hidden="1"/>
    <cellStyle name="Hyperlink" xfId="11730" builtinId="8" hidden="1"/>
    <cellStyle name="Hyperlink" xfId="11732" builtinId="8" hidden="1"/>
    <cellStyle name="Hyperlink" xfId="11734" builtinId="8" hidden="1"/>
    <cellStyle name="Hyperlink" xfId="11736" builtinId="8" hidden="1"/>
    <cellStyle name="Hyperlink" xfId="11738" builtinId="8" hidden="1"/>
    <cellStyle name="Hyperlink" xfId="11740" builtinId="8" hidden="1"/>
    <cellStyle name="Hyperlink" xfId="11742" builtinId="8" hidden="1"/>
    <cellStyle name="Hyperlink" xfId="11744" builtinId="8" hidden="1"/>
    <cellStyle name="Hyperlink" xfId="11746" builtinId="8" hidden="1"/>
    <cellStyle name="Hyperlink" xfId="11748" builtinId="8" hidden="1"/>
    <cellStyle name="Hyperlink" xfId="11750" builtinId="8" hidden="1"/>
    <cellStyle name="Hyperlink" xfId="11752" builtinId="8" hidden="1"/>
    <cellStyle name="Hyperlink" xfId="11754" builtinId="8" hidden="1"/>
    <cellStyle name="Hyperlink" xfId="11756" builtinId="8" hidden="1"/>
    <cellStyle name="Hyperlink" xfId="11758" builtinId="8" hidden="1"/>
    <cellStyle name="Hyperlink" xfId="11760" builtinId="8" hidden="1"/>
    <cellStyle name="Hyperlink" xfId="11762" builtinId="8" hidden="1"/>
    <cellStyle name="Hyperlink" xfId="11764" builtinId="8" hidden="1"/>
    <cellStyle name="Hyperlink" xfId="11766" builtinId="8" hidden="1"/>
    <cellStyle name="Hyperlink" xfId="11768" builtinId="8" hidden="1"/>
    <cellStyle name="Hyperlink" xfId="11770" builtinId="8" hidden="1"/>
    <cellStyle name="Hyperlink" xfId="11772" builtinId="8" hidden="1"/>
    <cellStyle name="Hyperlink" xfId="11774" builtinId="8" hidden="1"/>
    <cellStyle name="Hyperlink" xfId="11776" builtinId="8" hidden="1"/>
    <cellStyle name="Hyperlink" xfId="11778" builtinId="8" hidden="1"/>
    <cellStyle name="Hyperlink" xfId="11780" builtinId="8" hidden="1"/>
    <cellStyle name="Hyperlink" xfId="11782" builtinId="8" hidden="1"/>
    <cellStyle name="Hyperlink" xfId="11784" builtinId="8" hidden="1"/>
    <cellStyle name="Hyperlink" xfId="11786" builtinId="8" hidden="1"/>
    <cellStyle name="Hyperlink" xfId="11788" builtinId="8" hidden="1"/>
    <cellStyle name="Hyperlink" xfId="11790" builtinId="8" hidden="1"/>
    <cellStyle name="Hyperlink" xfId="11792" builtinId="8" hidden="1"/>
    <cellStyle name="Hyperlink" xfId="11794" builtinId="8" hidden="1"/>
    <cellStyle name="Hyperlink" xfId="11796" builtinId="8" hidden="1"/>
    <cellStyle name="Hyperlink" xfId="11798" builtinId="8" hidden="1"/>
    <cellStyle name="Hyperlink" xfId="11800" builtinId="8" hidden="1"/>
    <cellStyle name="Hyperlink" xfId="11802" builtinId="8" hidden="1"/>
    <cellStyle name="Hyperlink" xfId="11804" builtinId="8" hidden="1"/>
    <cellStyle name="Hyperlink" xfId="11806" builtinId="8" hidden="1"/>
    <cellStyle name="Hyperlink" xfId="11808" builtinId="8" hidden="1"/>
    <cellStyle name="Hyperlink" xfId="11810" builtinId="8" hidden="1"/>
    <cellStyle name="Hyperlink" xfId="11812" builtinId="8" hidden="1"/>
    <cellStyle name="Hyperlink" xfId="11814" builtinId="8" hidden="1"/>
    <cellStyle name="Hyperlink" xfId="11816" builtinId="8" hidden="1"/>
    <cellStyle name="Hyperlink" xfId="11818" builtinId="8" hidden="1"/>
    <cellStyle name="Hyperlink" xfId="11820" builtinId="8" hidden="1"/>
    <cellStyle name="Hyperlink" xfId="11822" builtinId="8" hidden="1"/>
    <cellStyle name="Hyperlink" xfId="11824" builtinId="8" hidden="1"/>
    <cellStyle name="Hyperlink" xfId="11826" builtinId="8" hidden="1"/>
    <cellStyle name="Hyperlink" xfId="11828" builtinId="8" hidden="1"/>
    <cellStyle name="Hyperlink" xfId="11830" builtinId="8" hidden="1"/>
    <cellStyle name="Hyperlink" xfId="11832" builtinId="8" hidden="1"/>
    <cellStyle name="Hyperlink" xfId="11834" builtinId="8" hidden="1"/>
    <cellStyle name="Hyperlink" xfId="11836" builtinId="8" hidden="1"/>
    <cellStyle name="Hyperlink" xfId="11838" builtinId="8" hidden="1"/>
    <cellStyle name="Hyperlink" xfId="11840" builtinId="8" hidden="1"/>
    <cellStyle name="Hyperlink" xfId="11842" builtinId="8" hidden="1"/>
    <cellStyle name="Hyperlink" xfId="11844" builtinId="8" hidden="1"/>
    <cellStyle name="Hyperlink" xfId="11846" builtinId="8" hidden="1"/>
    <cellStyle name="Hyperlink" xfId="11848" builtinId="8" hidden="1"/>
    <cellStyle name="Hyperlink" xfId="11850" builtinId="8" hidden="1"/>
    <cellStyle name="Hyperlink" xfId="11852" builtinId="8" hidden="1"/>
    <cellStyle name="Hyperlink" xfId="11854" builtinId="8" hidden="1"/>
    <cellStyle name="Hyperlink" xfId="11856" builtinId="8" hidden="1"/>
    <cellStyle name="Hyperlink" xfId="11858" builtinId="8" hidden="1"/>
    <cellStyle name="Hyperlink" xfId="11860" builtinId="8" hidden="1"/>
    <cellStyle name="Hyperlink" xfId="11862" builtinId="8" hidden="1"/>
    <cellStyle name="Hyperlink" xfId="11864" builtinId="8" hidden="1"/>
    <cellStyle name="Hyperlink" xfId="11866" builtinId="8" hidden="1"/>
    <cellStyle name="Hyperlink" xfId="11868" builtinId="8" hidden="1"/>
    <cellStyle name="Hyperlink" xfId="11870" builtinId="8" hidden="1"/>
    <cellStyle name="Hyperlink" xfId="11872" builtinId="8" hidden="1"/>
    <cellStyle name="Hyperlink" xfId="11874" builtinId="8" hidden="1"/>
    <cellStyle name="Hyperlink" xfId="11876" builtinId="8" hidden="1"/>
    <cellStyle name="Hyperlink" xfId="11878" builtinId="8" hidden="1"/>
    <cellStyle name="Hyperlink" xfId="11880" builtinId="8" hidden="1"/>
    <cellStyle name="Hyperlink" xfId="11882" builtinId="8" hidden="1"/>
    <cellStyle name="Hyperlink" xfId="11884" builtinId="8" hidden="1"/>
    <cellStyle name="Hyperlink" xfId="11886" builtinId="8" hidden="1"/>
    <cellStyle name="Hyperlink" xfId="11888" builtinId="8" hidden="1"/>
    <cellStyle name="Hyperlink" xfId="11890" builtinId="8" hidden="1"/>
    <cellStyle name="Hyperlink" xfId="11892" builtinId="8" hidden="1"/>
    <cellStyle name="Hyperlink" xfId="11894" builtinId="8" hidden="1"/>
    <cellStyle name="Hyperlink" xfId="11896" builtinId="8" hidden="1"/>
    <cellStyle name="Hyperlink" xfId="11898" builtinId="8" hidden="1"/>
    <cellStyle name="Hyperlink" xfId="11900" builtinId="8" hidden="1"/>
    <cellStyle name="Hyperlink" xfId="11902" builtinId="8" hidden="1"/>
    <cellStyle name="Hyperlink" xfId="11904" builtinId="8" hidden="1"/>
    <cellStyle name="Hyperlink" xfId="11906" builtinId="8" hidden="1"/>
    <cellStyle name="Hyperlink" xfId="11908" builtinId="8" hidden="1"/>
    <cellStyle name="Hyperlink" xfId="11910" builtinId="8" hidden="1"/>
    <cellStyle name="Hyperlink" xfId="11912" builtinId="8" hidden="1"/>
    <cellStyle name="Hyperlink" xfId="11914" builtinId="8" hidden="1"/>
    <cellStyle name="Hyperlink" xfId="11916" builtinId="8" hidden="1"/>
    <cellStyle name="Hyperlink" xfId="11918" builtinId="8" hidden="1"/>
    <cellStyle name="Hyperlink" xfId="11920" builtinId="8" hidden="1"/>
    <cellStyle name="Hyperlink" xfId="11922" builtinId="8" hidden="1"/>
    <cellStyle name="Hyperlink" xfId="11924" builtinId="8" hidden="1"/>
    <cellStyle name="Hyperlink" xfId="11926" builtinId="8" hidden="1"/>
    <cellStyle name="Hyperlink" xfId="11928" builtinId="8" hidden="1"/>
    <cellStyle name="Hyperlink" xfId="11930" builtinId="8" hidden="1"/>
    <cellStyle name="Hyperlink" xfId="11932" builtinId="8" hidden="1"/>
    <cellStyle name="Hyperlink" xfId="11934" builtinId="8" hidden="1"/>
    <cellStyle name="Hyperlink" xfId="11936" builtinId="8" hidden="1"/>
    <cellStyle name="Hyperlink" xfId="11938" builtinId="8" hidden="1"/>
    <cellStyle name="Hyperlink" xfId="11940" builtinId="8" hidden="1"/>
    <cellStyle name="Hyperlink" xfId="11942" builtinId="8" hidden="1"/>
    <cellStyle name="Hyperlink" xfId="11944" builtinId="8" hidden="1"/>
    <cellStyle name="Hyperlink" xfId="11946" builtinId="8" hidden="1"/>
    <cellStyle name="Hyperlink" xfId="11948" builtinId="8" hidden="1"/>
    <cellStyle name="Hyperlink" xfId="11950" builtinId="8" hidden="1"/>
    <cellStyle name="Hyperlink" xfId="11952" builtinId="8" hidden="1"/>
    <cellStyle name="Hyperlink" xfId="11954" builtinId="8" hidden="1"/>
    <cellStyle name="Hyperlink" xfId="11956" builtinId="8" hidden="1"/>
    <cellStyle name="Hyperlink" xfId="11958" builtinId="8" hidden="1"/>
    <cellStyle name="Hyperlink" xfId="11960" builtinId="8" hidden="1"/>
    <cellStyle name="Hyperlink" xfId="11962" builtinId="8" hidden="1"/>
    <cellStyle name="Hyperlink" xfId="11964" builtinId="8" hidden="1"/>
    <cellStyle name="Hyperlink" xfId="11966" builtinId="8" hidden="1"/>
    <cellStyle name="Hyperlink" xfId="11968" builtinId="8" hidden="1"/>
    <cellStyle name="Hyperlink" xfId="11970" builtinId="8" hidden="1"/>
    <cellStyle name="Hyperlink" xfId="11972" builtinId="8" hidden="1"/>
    <cellStyle name="Hyperlink" xfId="11974" builtinId="8" hidden="1"/>
    <cellStyle name="Hyperlink" xfId="11976" builtinId="8" hidden="1"/>
    <cellStyle name="Hyperlink" xfId="11978" builtinId="8" hidden="1"/>
    <cellStyle name="Hyperlink" xfId="11980" builtinId="8" hidden="1"/>
    <cellStyle name="Hyperlink" xfId="11982" builtinId="8" hidden="1"/>
    <cellStyle name="Hyperlink" xfId="11984" builtinId="8" hidden="1"/>
    <cellStyle name="Hyperlink" xfId="11986" builtinId="8" hidden="1"/>
    <cellStyle name="Hyperlink" xfId="11988" builtinId="8" hidden="1"/>
    <cellStyle name="Hyperlink" xfId="11990" builtinId="8" hidden="1"/>
    <cellStyle name="Hyperlink" xfId="11992" builtinId="8" hidden="1"/>
    <cellStyle name="Hyperlink" xfId="11994" builtinId="8" hidden="1"/>
    <cellStyle name="Hyperlink" xfId="11996" builtinId="8" hidden="1"/>
    <cellStyle name="Hyperlink" xfId="11998" builtinId="8" hidden="1"/>
    <cellStyle name="Hyperlink" xfId="12000" builtinId="8" hidden="1"/>
    <cellStyle name="Hyperlink" xfId="12002" builtinId="8" hidden="1"/>
    <cellStyle name="Hyperlink" xfId="12004" builtinId="8" hidden="1"/>
    <cellStyle name="Hyperlink" xfId="12006" builtinId="8" hidden="1"/>
    <cellStyle name="Hyperlink" xfId="12008" builtinId="8" hidden="1"/>
    <cellStyle name="Hyperlink" xfId="12010" builtinId="8" hidden="1"/>
    <cellStyle name="Hyperlink" xfId="12012" builtinId="8" hidden="1"/>
    <cellStyle name="Hyperlink" xfId="12014" builtinId="8" hidden="1"/>
    <cellStyle name="Hyperlink" xfId="12016" builtinId="8" hidden="1"/>
    <cellStyle name="Hyperlink" xfId="12018" builtinId="8" hidden="1"/>
    <cellStyle name="Hyperlink" xfId="12020" builtinId="8" hidden="1"/>
    <cellStyle name="Hyperlink" xfId="12022" builtinId="8" hidden="1"/>
    <cellStyle name="Hyperlink" xfId="12024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8</xdr:row>
          <xdr:rowOff>177800</xdr:rowOff>
        </xdr:from>
        <xdr:to>
          <xdr:col>6</xdr:col>
          <xdr:colOff>127000</xdr:colOff>
          <xdr:row>11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031"/>
  <sheetViews>
    <sheetView tabSelected="1" workbookViewId="0">
      <selection activeCell="C6" sqref="C6"/>
    </sheetView>
  </sheetViews>
  <sheetFormatPr baseColWidth="10" defaultColWidth="11" defaultRowHeight="16" x14ac:dyDescent="0.2"/>
  <cols>
    <col min="1" max="1" width="43" bestFit="1" customWidth="1"/>
    <col min="2" max="2" width="13.1640625" bestFit="1" customWidth="1"/>
    <col min="3" max="3" width="15.1640625" customWidth="1"/>
    <col min="4" max="4" width="16.5" bestFit="1" customWidth="1"/>
    <col min="5" max="5" width="13.1640625" bestFit="1" customWidth="1"/>
    <col min="6" max="6" width="12.33203125" customWidth="1"/>
  </cols>
  <sheetData>
    <row r="1" spans="1:6" ht="24" x14ac:dyDescent="0.3">
      <c r="A1" s="37" t="s">
        <v>22</v>
      </c>
      <c r="B1" s="2"/>
      <c r="C1" s="3"/>
      <c r="D1" s="4"/>
      <c r="F1" s="5"/>
    </row>
    <row r="2" spans="1:6" ht="17" thickBot="1" x14ac:dyDescent="0.25">
      <c r="A2" s="6" t="s">
        <v>23</v>
      </c>
      <c r="B2" s="7"/>
      <c r="C2" s="8"/>
      <c r="D2" s="9"/>
      <c r="F2" s="5"/>
    </row>
    <row r="3" spans="1:6" ht="17" thickBot="1" x14ac:dyDescent="0.25">
      <c r="F3" s="5"/>
    </row>
    <row r="4" spans="1:6" ht="17" thickBot="1" x14ac:dyDescent="0.25">
      <c r="A4" s="10" t="s">
        <v>0</v>
      </c>
      <c r="B4" s="11"/>
      <c r="C4" s="11"/>
      <c r="D4" s="12"/>
      <c r="F4" s="5"/>
    </row>
    <row r="5" spans="1:6" x14ac:dyDescent="0.2">
      <c r="A5" s="1" t="s">
        <v>1</v>
      </c>
      <c r="B5" s="2"/>
      <c r="C5" s="35">
        <v>1325000</v>
      </c>
      <c r="D5" s="4"/>
      <c r="F5" s="13"/>
    </row>
    <row r="6" spans="1:6" x14ac:dyDescent="0.2">
      <c r="A6" s="14"/>
      <c r="B6" s="15"/>
      <c r="C6" s="16"/>
      <c r="D6" s="17"/>
      <c r="F6" s="18"/>
    </row>
    <row r="7" spans="1:6" x14ac:dyDescent="0.2">
      <c r="A7" s="14" t="s">
        <v>2</v>
      </c>
      <c r="B7" s="15"/>
      <c r="C7" s="36">
        <v>75000</v>
      </c>
      <c r="D7" s="19" t="s">
        <v>3</v>
      </c>
      <c r="F7" s="5"/>
    </row>
    <row r="8" spans="1:6" x14ac:dyDescent="0.2">
      <c r="A8" s="14" t="s">
        <v>4</v>
      </c>
      <c r="B8" s="15"/>
      <c r="C8" s="38">
        <v>2.5000000000000001E-2</v>
      </c>
      <c r="D8" s="17"/>
      <c r="F8" s="5"/>
    </row>
    <row r="9" spans="1:6" x14ac:dyDescent="0.2">
      <c r="A9" s="14" t="s">
        <v>25</v>
      </c>
      <c r="B9" s="15"/>
      <c r="C9" s="39">
        <v>20</v>
      </c>
      <c r="D9" s="17"/>
      <c r="F9" s="5"/>
    </row>
    <row r="10" spans="1:6" x14ac:dyDescent="0.2">
      <c r="A10" s="14"/>
      <c r="B10" s="15"/>
      <c r="C10" s="40"/>
      <c r="D10" s="17"/>
      <c r="F10" s="5"/>
    </row>
    <row r="11" spans="1:6" x14ac:dyDescent="0.2">
      <c r="A11" s="14"/>
      <c r="B11" s="15"/>
      <c r="C11" s="15"/>
      <c r="D11" s="17"/>
      <c r="F11" s="5"/>
    </row>
    <row r="12" spans="1:6" x14ac:dyDescent="0.2">
      <c r="A12" s="14" t="s">
        <v>5</v>
      </c>
      <c r="B12" s="15"/>
      <c r="C12" s="21">
        <v>0.25</v>
      </c>
      <c r="D12" s="17"/>
      <c r="F12" s="5"/>
    </row>
    <row r="13" spans="1:6" x14ac:dyDescent="0.2">
      <c r="A13" s="14" t="s">
        <v>6</v>
      </c>
      <c r="B13" s="15"/>
      <c r="C13" s="34">
        <f>-(C7/(1-C12))/24</f>
        <v>-4166.666666666667</v>
      </c>
      <c r="D13" s="17"/>
      <c r="F13" s="5"/>
    </row>
    <row r="14" spans="1:6" x14ac:dyDescent="0.2">
      <c r="A14" s="14"/>
      <c r="B14" s="15"/>
      <c r="C14" s="15"/>
      <c r="D14" s="17"/>
      <c r="F14" s="5"/>
    </row>
    <row r="15" spans="1:6" x14ac:dyDescent="0.2">
      <c r="A15" s="14" t="s">
        <v>20</v>
      </c>
      <c r="B15" s="15"/>
      <c r="C15" s="34">
        <f>C7*(1+C8)^20</f>
        <v>122896.23302177967</v>
      </c>
      <c r="D15" s="17"/>
      <c r="F15" s="5"/>
    </row>
    <row r="16" spans="1:6" x14ac:dyDescent="0.2">
      <c r="A16" s="14" t="s">
        <v>21</v>
      </c>
      <c r="B16" s="15"/>
      <c r="C16" s="34">
        <f>C25</f>
        <v>1247697.5677</v>
      </c>
      <c r="D16" s="22"/>
      <c r="F16" s="5"/>
    </row>
    <row r="17" spans="1:6" x14ac:dyDescent="0.2">
      <c r="A17" s="14" t="s">
        <v>7</v>
      </c>
      <c r="B17" s="23"/>
      <c r="C17" s="34">
        <f>C20*C16</f>
        <v>124769.75677000001</v>
      </c>
      <c r="D17" s="17"/>
      <c r="F17" s="5"/>
    </row>
    <row r="18" spans="1:6" x14ac:dyDescent="0.2">
      <c r="A18" s="14"/>
      <c r="B18" s="15"/>
      <c r="C18" s="16"/>
      <c r="D18" s="17"/>
      <c r="F18" s="18"/>
    </row>
    <row r="19" spans="1:6" x14ac:dyDescent="0.2">
      <c r="A19" s="14"/>
      <c r="B19" s="15"/>
      <c r="C19" s="16" t="s">
        <v>8</v>
      </c>
      <c r="D19" s="17" t="s">
        <v>9</v>
      </c>
      <c r="F19" s="5"/>
    </row>
    <row r="20" spans="1:6" x14ac:dyDescent="0.2">
      <c r="A20" s="14" t="s">
        <v>10</v>
      </c>
      <c r="B20" s="15"/>
      <c r="C20" s="20">
        <v>0.1</v>
      </c>
      <c r="D20" s="24">
        <f>(C20/12)/2</f>
        <v>4.1666666666666666E-3</v>
      </c>
      <c r="F20" s="5"/>
    </row>
    <row r="21" spans="1:6" x14ac:dyDescent="0.2">
      <c r="A21" s="14" t="s">
        <v>11</v>
      </c>
      <c r="B21" s="15"/>
      <c r="C21" s="20">
        <v>0.2</v>
      </c>
      <c r="D21" s="24">
        <f>(C21/SQRT(24))</f>
        <v>4.0824829046386304E-2</v>
      </c>
      <c r="F21" s="5"/>
    </row>
    <row r="22" spans="1:6" ht="17" thickBot="1" x14ac:dyDescent="0.25">
      <c r="A22" s="25"/>
      <c r="B22" s="7"/>
      <c r="C22" s="26"/>
      <c r="D22" s="27"/>
      <c r="F22" s="5"/>
    </row>
    <row r="23" spans="1:6" x14ac:dyDescent="0.2">
      <c r="F23" s="5"/>
    </row>
    <row r="24" spans="1:6" ht="17" thickBot="1" x14ac:dyDescent="0.25">
      <c r="A24" s="28" t="s">
        <v>26</v>
      </c>
      <c r="B24" s="28"/>
      <c r="C24" s="29" t="s">
        <v>24</v>
      </c>
      <c r="D24" s="5"/>
      <c r="E24" s="5"/>
    </row>
    <row r="25" spans="1:6" ht="17" thickBot="1" x14ac:dyDescent="0.25">
      <c r="A25" s="28" t="s">
        <v>12</v>
      </c>
      <c r="C25" s="30">
        <f>MEDIAN(F:F)</f>
        <v>1247697.5677</v>
      </c>
      <c r="D25" s="5"/>
      <c r="E25" s="5"/>
    </row>
    <row r="26" spans="1:6" x14ac:dyDescent="0.2">
      <c r="A26" s="28"/>
      <c r="E26" t="s">
        <v>13</v>
      </c>
      <c r="F26" s="5"/>
    </row>
    <row r="27" spans="1:6" x14ac:dyDescent="0.2">
      <c r="B27" s="28"/>
      <c r="D27" t="s">
        <v>14</v>
      </c>
      <c r="F27" s="5"/>
    </row>
    <row r="28" spans="1:6" x14ac:dyDescent="0.2">
      <c r="C28" t="s">
        <v>16</v>
      </c>
      <c r="E28" s="5"/>
    </row>
    <row r="29" spans="1:6" x14ac:dyDescent="0.2">
      <c r="B29" s="31" t="s">
        <v>15</v>
      </c>
      <c r="C29" s="31" t="s">
        <v>17</v>
      </c>
      <c r="D29" s="31" t="s">
        <v>18</v>
      </c>
      <c r="E29" s="5"/>
    </row>
    <row r="30" spans="1:6" x14ac:dyDescent="0.2">
      <c r="A30" t="s">
        <v>19</v>
      </c>
      <c r="B30" s="13">
        <f>C5</f>
        <v>1325000</v>
      </c>
      <c r="C30" s="18"/>
      <c r="D30" s="5"/>
      <c r="E30" s="5"/>
    </row>
    <row r="31" spans="1:6" x14ac:dyDescent="0.2">
      <c r="A31" s="5">
        <v>1</v>
      </c>
      <c r="B31" s="18">
        <f ca="1">(B30*(1+D31))+$C$13</f>
        <v>1342203.0505793863</v>
      </c>
      <c r="C31" s="32">
        <f ca="1">NORMSINV(RAND())</f>
        <v>0.29299380059447661</v>
      </c>
      <c r="D31" s="33">
        <f t="shared" ref="D31" ca="1" si="0">$D$20+(C31*$D$21)</f>
        <v>1.6128088487587171E-2</v>
      </c>
      <c r="E31" s="5"/>
      <c r="F31">
        <v>734322.23510000005</v>
      </c>
    </row>
    <row r="32" spans="1:6" x14ac:dyDescent="0.2">
      <c r="A32" s="5">
        <v>2</v>
      </c>
      <c r="B32" s="18">
        <f ca="1">(B31*(1+D32))+$C$13</f>
        <v>1338850.3392025924</v>
      </c>
      <c r="C32" s="32">
        <f ca="1">NORMSINV(RAND())</f>
        <v>-8.7207575505658511E-2</v>
      </c>
      <c r="D32" s="33">
        <f t="shared" ref="D32:D95" ca="1" si="1">$D$20+(C32*$D$21)</f>
        <v>6.0643230509833208E-4</v>
      </c>
      <c r="E32" s="5"/>
      <c r="F32">
        <v>9123232.9820000008</v>
      </c>
    </row>
    <row r="33" spans="1:6" x14ac:dyDescent="0.2">
      <c r="A33" s="5">
        <v>3</v>
      </c>
      <c r="B33" s="18">
        <f t="shared" ref="B33:B96" ca="1" si="2">(B32*(1+D33))+$C$13</f>
        <v>1370785.3106239142</v>
      </c>
      <c r="C33" s="32">
        <f t="shared" ref="C33:C96" ca="1" si="3">NORMSINV(RAND())</f>
        <v>0.55843439666727812</v>
      </c>
      <c r="D33" s="33">
        <f t="shared" ca="1" si="1"/>
        <v>2.6964655444230174E-2</v>
      </c>
      <c r="E33" s="5"/>
      <c r="F33">
        <v>1091355.9839000001</v>
      </c>
    </row>
    <row r="34" spans="1:6" x14ac:dyDescent="0.2">
      <c r="A34" s="5">
        <v>4</v>
      </c>
      <c r="B34" s="18">
        <f t="shared" ca="1" si="2"/>
        <v>1412896.9267072775</v>
      </c>
      <c r="C34" s="32">
        <f t="shared" ca="1" si="3"/>
        <v>0.72489586187067956</v>
      </c>
      <c r="D34" s="33">
        <f t="shared" ca="1" si="1"/>
        <v>3.3760416303970024E-2</v>
      </c>
      <c r="E34" s="5"/>
      <c r="F34">
        <v>6494015.9645999996</v>
      </c>
    </row>
    <row r="35" spans="1:6" x14ac:dyDescent="0.2">
      <c r="A35" s="5">
        <v>5</v>
      </c>
      <c r="B35" s="18">
        <f t="shared" ca="1" si="2"/>
        <v>1479995.9112985686</v>
      </c>
      <c r="C35" s="32">
        <f t="shared" ca="1" si="3"/>
        <v>1.1334454755244989</v>
      </c>
      <c r="D35" s="33">
        <f t="shared" ca="1" si="1"/>
        <v>5.0439384438354364E-2</v>
      </c>
      <c r="E35" s="5"/>
      <c r="F35">
        <v>5396839.5517999995</v>
      </c>
    </row>
    <row r="36" spans="1:6" x14ac:dyDescent="0.2">
      <c r="A36" s="5">
        <v>6</v>
      </c>
      <c r="B36" s="18">
        <f t="shared" ca="1" si="2"/>
        <v>1512551.4147095762</v>
      </c>
      <c r="C36" s="32">
        <f t="shared" ca="1" si="3"/>
        <v>0.5057137884611006</v>
      </c>
      <c r="D36" s="33">
        <f t="shared" ca="1" si="1"/>
        <v>2.4812345626991465E-2</v>
      </c>
      <c r="E36" s="5"/>
      <c r="F36">
        <v>-183922.51079999999</v>
      </c>
    </row>
    <row r="37" spans="1:6" x14ac:dyDescent="0.2">
      <c r="A37" s="5">
        <v>7</v>
      </c>
      <c r="B37" s="18">
        <f t="shared" ca="1" si="2"/>
        <v>1649148.7871640038</v>
      </c>
      <c r="C37" s="32">
        <f t="shared" ca="1" si="3"/>
        <v>2.177530320916361</v>
      </c>
      <c r="D37" s="33">
        <f t="shared" ca="1" si="1"/>
        <v>9.3063969761399815E-2</v>
      </c>
      <c r="E37" s="5"/>
      <c r="F37">
        <v>3831736.9484000001</v>
      </c>
    </row>
    <row r="38" spans="1:6" x14ac:dyDescent="0.2">
      <c r="A38" s="5">
        <v>8</v>
      </c>
      <c r="B38" s="18">
        <f t="shared" ca="1" si="2"/>
        <v>1630926.2561443108</v>
      </c>
      <c r="C38" s="32">
        <f t="shared" ca="1" si="3"/>
        <v>-0.31083459712479283</v>
      </c>
      <c r="D38" s="33">
        <f t="shared" ca="1" si="1"/>
        <v>-8.5231026226553624E-3</v>
      </c>
      <c r="E38" s="5"/>
      <c r="F38">
        <v>-1197330.5808999999</v>
      </c>
    </row>
    <row r="39" spans="1:6" x14ac:dyDescent="0.2">
      <c r="A39" s="5">
        <v>9</v>
      </c>
      <c r="B39" s="18">
        <f t="shared" ca="1" si="2"/>
        <v>1679515.4518720857</v>
      </c>
      <c r="C39" s="32">
        <f t="shared" ca="1" si="3"/>
        <v>0.69027874181403515</v>
      </c>
      <c r="D39" s="33">
        <f t="shared" ca="1" si="1"/>
        <v>3.2347178295579281E-2</v>
      </c>
      <c r="E39" s="5"/>
      <c r="F39">
        <v>3306457.2738000001</v>
      </c>
    </row>
    <row r="40" spans="1:6" x14ac:dyDescent="0.2">
      <c r="A40" s="5">
        <v>10</v>
      </c>
      <c r="B40" s="18">
        <f t="shared" ca="1" si="2"/>
        <v>1771375.5976751242</v>
      </c>
      <c r="C40" s="32">
        <f t="shared" ca="1" si="3"/>
        <v>1.2984412208459712</v>
      </c>
      <c r="D40" s="33">
        <f t="shared" ca="1" si="1"/>
        <v>5.7175307534484569E-2</v>
      </c>
      <c r="E40" s="5"/>
      <c r="F40">
        <v>-1457633.4140999999</v>
      </c>
    </row>
    <row r="41" spans="1:6" x14ac:dyDescent="0.2">
      <c r="A41" s="5">
        <v>11</v>
      </c>
      <c r="B41" s="18">
        <f t="shared" ca="1" si="2"/>
        <v>1729233.4213990653</v>
      </c>
      <c r="C41" s="32">
        <f t="shared" ca="1" si="3"/>
        <v>-0.62719418681724959</v>
      </c>
      <c r="D41" s="33">
        <f t="shared" ca="1" si="1"/>
        <v>-2.1438428789034823E-2</v>
      </c>
      <c r="E41" s="5"/>
      <c r="F41">
        <v>6479092.5773</v>
      </c>
    </row>
    <row r="42" spans="1:6" x14ac:dyDescent="0.2">
      <c r="A42" s="5">
        <v>12</v>
      </c>
      <c r="B42" s="18">
        <f t="shared" ca="1" si="2"/>
        <v>1826012.59072956</v>
      </c>
      <c r="C42" s="32">
        <f t="shared" ca="1" si="3"/>
        <v>1.3278535581591189</v>
      </c>
      <c r="D42" s="33">
        <f t="shared" ca="1" si="1"/>
        <v>5.8376061177148469E-2</v>
      </c>
      <c r="E42" s="5"/>
      <c r="F42">
        <v>-854768.90430000005</v>
      </c>
    </row>
    <row r="43" spans="1:6" x14ac:dyDescent="0.2">
      <c r="A43" s="5">
        <v>13</v>
      </c>
      <c r="B43" s="18">
        <f t="shared" ca="1" si="2"/>
        <v>1817204.8592614261</v>
      </c>
      <c r="C43" s="32">
        <f t="shared" ca="1" si="3"/>
        <v>-0.164319259036808</v>
      </c>
      <c r="D43" s="33">
        <f t="shared" ca="1" si="1"/>
        <v>-2.5416389925398877E-3</v>
      </c>
      <c r="E43" s="5"/>
      <c r="F43">
        <v>23309170.0134</v>
      </c>
    </row>
    <row r="44" spans="1:6" x14ac:dyDescent="0.2">
      <c r="A44" s="5">
        <v>14</v>
      </c>
      <c r="B44" s="18">
        <f t="shared" ca="1" si="2"/>
        <v>2040382.5204881222</v>
      </c>
      <c r="C44" s="32">
        <f t="shared" ca="1" si="3"/>
        <v>2.9624113488400061</v>
      </c>
      <c r="D44" s="33">
        <f t="shared" ca="1" si="1"/>
        <v>0.12510660354813458</v>
      </c>
      <c r="E44" s="5"/>
      <c r="F44">
        <v>2142836.0639999998</v>
      </c>
    </row>
    <row r="45" spans="1:6" x14ac:dyDescent="0.2">
      <c r="A45" s="5">
        <v>15</v>
      </c>
      <c r="B45" s="18">
        <f t="shared" ca="1" si="2"/>
        <v>2125408.4683121624</v>
      </c>
      <c r="C45" s="32">
        <f t="shared" ca="1" si="3"/>
        <v>0.96869986605587532</v>
      </c>
      <c r="D45" s="33">
        <f t="shared" ca="1" si="1"/>
        <v>4.371367309565509E-2</v>
      </c>
      <c r="E45" s="5"/>
      <c r="F45">
        <v>113815.554</v>
      </c>
    </row>
    <row r="46" spans="1:6" x14ac:dyDescent="0.2">
      <c r="A46" s="5">
        <v>16</v>
      </c>
      <c r="B46" s="18">
        <f t="shared" ca="1" si="2"/>
        <v>2176669.5102679497</v>
      </c>
      <c r="C46" s="32">
        <f t="shared" ca="1" si="3"/>
        <v>0.53673092064095962</v>
      </c>
      <c r="D46" s="33">
        <f t="shared" ca="1" si="1"/>
        <v>2.6078614745743377E-2</v>
      </c>
      <c r="E46" s="5"/>
      <c r="F46">
        <v>-732115.16989999998</v>
      </c>
    </row>
    <row r="47" spans="1:6" x14ac:dyDescent="0.2">
      <c r="A47" s="5">
        <v>17</v>
      </c>
      <c r="B47" s="18">
        <f t="shared" ca="1" si="2"/>
        <v>1948056.0946763894</v>
      </c>
      <c r="C47" s="32">
        <f t="shared" ca="1" si="3"/>
        <v>-2.6278474833046106</v>
      </c>
      <c r="D47" s="33">
        <f t="shared" ca="1" si="1"/>
        <v>-0.10311475759922055</v>
      </c>
      <c r="E47" s="5"/>
      <c r="F47">
        <v>-202411.0269</v>
      </c>
    </row>
    <row r="48" spans="1:6" x14ac:dyDescent="0.2">
      <c r="A48" s="5">
        <v>18</v>
      </c>
      <c r="B48" s="18">
        <f t="shared" ca="1" si="2"/>
        <v>1951537.9009928142</v>
      </c>
      <c r="C48" s="32">
        <f t="shared" ca="1" si="3"/>
        <v>-5.8900159116656841E-3</v>
      </c>
      <c r="D48" s="33">
        <f t="shared" ca="1" si="1"/>
        <v>3.9262077739924198E-3</v>
      </c>
      <c r="E48" s="5"/>
      <c r="F48">
        <v>5971551.1233999999</v>
      </c>
    </row>
    <row r="49" spans="1:6" x14ac:dyDescent="0.2">
      <c r="A49" s="5">
        <v>19</v>
      </c>
      <c r="B49" s="18">
        <f t="shared" ca="1" si="2"/>
        <v>1921533.5105938339</v>
      </c>
      <c r="C49" s="32">
        <f t="shared" ca="1" si="3"/>
        <v>-0.42636650568370138</v>
      </c>
      <c r="D49" s="33">
        <f t="shared" ca="1" si="1"/>
        <v>-1.3239673038975538E-2</v>
      </c>
      <c r="E49" s="5"/>
      <c r="F49">
        <v>837026.02209999994</v>
      </c>
    </row>
    <row r="50" spans="1:6" x14ac:dyDescent="0.2">
      <c r="A50" s="5">
        <v>20</v>
      </c>
      <c r="B50" s="18">
        <f t="shared" ca="1" si="2"/>
        <v>2097849.9816136961</v>
      </c>
      <c r="C50" s="32">
        <f t="shared" ca="1" si="3"/>
        <v>2.1986607202530033</v>
      </c>
      <c r="D50" s="33">
        <f t="shared" ca="1" si="1"/>
        <v>9.3926614702000102E-2</v>
      </c>
      <c r="E50" s="5"/>
      <c r="F50">
        <v>1907523.1765999999</v>
      </c>
    </row>
    <row r="51" spans="1:6" x14ac:dyDescent="0.2">
      <c r="A51" s="5">
        <v>21</v>
      </c>
      <c r="B51" s="18">
        <f t="shared" ca="1" si="2"/>
        <v>2227418.5654909881</v>
      </c>
      <c r="C51" s="32">
        <f t="shared" ca="1" si="3"/>
        <v>1.4594562786818861</v>
      </c>
      <c r="D51" s="33">
        <f t="shared" ca="1" si="1"/>
        <v>6.3748719744529794E-2</v>
      </c>
      <c r="E51" s="5"/>
      <c r="F51">
        <v>-171157.98809999999</v>
      </c>
    </row>
    <row r="52" spans="1:6" x14ac:dyDescent="0.2">
      <c r="A52" s="5">
        <v>22</v>
      </c>
      <c r="B52" s="18">
        <f t="shared" ca="1" si="2"/>
        <v>2231369.1137141641</v>
      </c>
      <c r="C52" s="32">
        <f t="shared" ca="1" si="3"/>
        <v>-1.2797149890256668E-2</v>
      </c>
      <c r="D52" s="33">
        <f t="shared" ca="1" si="1"/>
        <v>3.6442252101159568E-3</v>
      </c>
      <c r="E52" s="5"/>
      <c r="F52">
        <v>-485403.93900000001</v>
      </c>
    </row>
    <row r="53" spans="1:6" x14ac:dyDescent="0.2">
      <c r="A53" s="5">
        <v>23</v>
      </c>
      <c r="B53" s="18">
        <f t="shared" ca="1" si="2"/>
        <v>2226541.5199648272</v>
      </c>
      <c r="C53" s="32">
        <f t="shared" ca="1" si="3"/>
        <v>-0.10931741239717317</v>
      </c>
      <c r="D53" s="33">
        <f t="shared" ca="1" si="1"/>
        <v>-2.9619800624123942E-4</v>
      </c>
      <c r="E53" s="5"/>
      <c r="F53">
        <v>1769546.8666999999</v>
      </c>
    </row>
    <row r="54" spans="1:6" x14ac:dyDescent="0.2">
      <c r="A54" s="5">
        <v>24</v>
      </c>
      <c r="B54" s="18">
        <f t="shared" ca="1" si="2"/>
        <v>2216550.0953842793</v>
      </c>
      <c r="C54" s="32">
        <f t="shared" ca="1" si="3"/>
        <v>-0.16614210272685073</v>
      </c>
      <c r="D54" s="33">
        <f t="shared" ca="1" si="1"/>
        <v>-2.6160562745641668E-3</v>
      </c>
      <c r="E54" s="5"/>
      <c r="F54">
        <v>-256304.6974</v>
      </c>
    </row>
    <row r="55" spans="1:6" x14ac:dyDescent="0.2">
      <c r="A55" s="5">
        <v>25</v>
      </c>
      <c r="B55" s="18">
        <f t="shared" ca="1" si="2"/>
        <v>2365841.8698753142</v>
      </c>
      <c r="C55" s="32">
        <f t="shared" ca="1" si="3"/>
        <v>1.5937934748947586</v>
      </c>
      <c r="D55" s="33">
        <f t="shared" ca="1" si="1"/>
        <v>6.9233012814491166E-2</v>
      </c>
      <c r="E55" s="5"/>
      <c r="F55">
        <v>-123623.9372</v>
      </c>
    </row>
    <row r="56" spans="1:6" x14ac:dyDescent="0.2">
      <c r="A56" s="5">
        <v>26</v>
      </c>
      <c r="B56" s="18">
        <f t="shared" ca="1" si="2"/>
        <v>2274405.2202088088</v>
      </c>
      <c r="C56" s="32">
        <f t="shared" ca="1" si="3"/>
        <v>-1.0056175085599326</v>
      </c>
      <c r="D56" s="33">
        <f t="shared" ca="1" si="1"/>
        <v>-3.6887496206345502E-2</v>
      </c>
      <c r="E56" s="5"/>
      <c r="F56">
        <v>-253553.69940000001</v>
      </c>
    </row>
    <row r="57" spans="1:6" x14ac:dyDescent="0.2">
      <c r="A57" s="5">
        <v>27</v>
      </c>
      <c r="B57" s="18">
        <f t="shared" ca="1" si="2"/>
        <v>2238889.9797063922</v>
      </c>
      <c r="C57" s="32">
        <f t="shared" ca="1" si="3"/>
        <v>-0.43968005458006282</v>
      </c>
      <c r="D57" s="33">
        <f t="shared" ca="1" si="1"/>
        <v>-1.3783196396670198E-2</v>
      </c>
      <c r="E57" s="5"/>
      <c r="F57">
        <v>1353745.2916999999</v>
      </c>
    </row>
    <row r="58" spans="1:6" x14ac:dyDescent="0.2">
      <c r="A58" s="5">
        <v>28</v>
      </c>
      <c r="B58" s="18">
        <f t="shared" ca="1" si="2"/>
        <v>2277730.0149100707</v>
      </c>
      <c r="C58" s="32">
        <f t="shared" ca="1" si="3"/>
        <v>0.36845892688468385</v>
      </c>
      <c r="D58" s="33">
        <f t="shared" ca="1" si="1"/>
        <v>1.9208939367348837E-2</v>
      </c>
      <c r="E58" s="5"/>
      <c r="F58">
        <v>1739663.6132</v>
      </c>
    </row>
    <row r="59" spans="1:6" x14ac:dyDescent="0.2">
      <c r="A59" s="5">
        <v>29</v>
      </c>
      <c r="B59" s="18">
        <f t="shared" ca="1" si="2"/>
        <v>2221737.6691167019</v>
      </c>
      <c r="C59" s="32">
        <f t="shared" ca="1" si="3"/>
        <v>-0.65939972283190362</v>
      </c>
      <c r="D59" s="33">
        <f t="shared" ca="1" si="1"/>
        <v>-2.2753214291180313E-2</v>
      </c>
      <c r="E59" s="5"/>
      <c r="F59">
        <v>1676790.497</v>
      </c>
    </row>
    <row r="60" spans="1:6" x14ac:dyDescent="0.2">
      <c r="A60" s="5">
        <v>30</v>
      </c>
      <c r="B60" s="18">
        <f t="shared" ca="1" si="2"/>
        <v>2209561.0241597262</v>
      </c>
      <c r="C60" s="32">
        <f t="shared" ca="1" si="3"/>
        <v>-0.19037294718392717</v>
      </c>
      <c r="D60" s="33">
        <f t="shared" ca="1" si="1"/>
        <v>-3.6052763571738887E-3</v>
      </c>
      <c r="E60" s="5"/>
      <c r="F60">
        <v>-650967.88069999998</v>
      </c>
    </row>
    <row r="61" spans="1:6" x14ac:dyDescent="0.2">
      <c r="A61" s="5">
        <v>31</v>
      </c>
      <c r="B61" s="18">
        <f t="shared" ca="1" si="2"/>
        <v>2187871.0023971321</v>
      </c>
      <c r="C61" s="32">
        <f t="shared" ca="1" si="3"/>
        <v>-0.29632363904156311</v>
      </c>
      <c r="D61" s="33">
        <f t="shared" ca="1" si="1"/>
        <v>-7.9306952396082306E-3</v>
      </c>
      <c r="E61" s="5"/>
      <c r="F61">
        <v>-3750845.3417000002</v>
      </c>
    </row>
    <row r="62" spans="1:6" x14ac:dyDescent="0.2">
      <c r="A62" s="5">
        <v>32</v>
      </c>
      <c r="B62" s="18">
        <f t="shared" ca="1" si="2"/>
        <v>2183941.3645245372</v>
      </c>
      <c r="C62" s="32">
        <f t="shared" ca="1" si="3"/>
        <v>-9.9408353090515378E-2</v>
      </c>
      <c r="D62" s="33">
        <f t="shared" ca="1" si="1"/>
        <v>1.0833764596356824E-4</v>
      </c>
      <c r="E62" s="5"/>
      <c r="F62">
        <v>19791555.7806</v>
      </c>
    </row>
    <row r="63" spans="1:6" x14ac:dyDescent="0.2">
      <c r="A63" s="5">
        <v>33</v>
      </c>
      <c r="B63" s="18">
        <f t="shared" ca="1" si="2"/>
        <v>2166919.5804711008</v>
      </c>
      <c r="C63" s="32">
        <f t="shared" ca="1" si="3"/>
        <v>-0.24624395722449396</v>
      </c>
      <c r="D63" s="33">
        <f t="shared" ca="1" si="1"/>
        <v>-5.8862007907289618E-3</v>
      </c>
      <c r="E63" s="5"/>
      <c r="F63">
        <v>-36290.709300000002</v>
      </c>
    </row>
    <row r="64" spans="1:6" x14ac:dyDescent="0.2">
      <c r="A64" s="5">
        <v>34</v>
      </c>
      <c r="B64" s="18">
        <f t="shared" ca="1" si="2"/>
        <v>2056994.4779809755</v>
      </c>
      <c r="C64" s="32">
        <f t="shared" ca="1" si="3"/>
        <v>-1.2975573097120976</v>
      </c>
      <c r="D64" s="33">
        <f t="shared" ca="1" si="1"/>
        <v>-4.8805888680218644E-2</v>
      </c>
      <c r="E64" s="5"/>
      <c r="F64">
        <v>4037155.2873</v>
      </c>
    </row>
    <row r="65" spans="1:6" x14ac:dyDescent="0.2">
      <c r="A65" s="5">
        <v>35</v>
      </c>
      <c r="B65" s="18">
        <f t="shared" ca="1" si="2"/>
        <v>1984489.8531697432</v>
      </c>
      <c r="C65" s="32">
        <f t="shared" ca="1" si="3"/>
        <v>-0.91583736131855087</v>
      </c>
      <c r="D65" s="33">
        <f t="shared" ca="1" si="1"/>
        <v>-3.3222237043456698E-2</v>
      </c>
      <c r="E65" s="5"/>
      <c r="F65">
        <v>15300046.7939</v>
      </c>
    </row>
    <row r="66" spans="1:6" x14ac:dyDescent="0.2">
      <c r="A66" s="5">
        <v>36</v>
      </c>
      <c r="B66" s="18">
        <f t="shared" ca="1" si="2"/>
        <v>2100619.5409961878</v>
      </c>
      <c r="C66" s="32">
        <f t="shared" ca="1" si="3"/>
        <v>1.3827763908028783</v>
      </c>
      <c r="D66" s="33">
        <f t="shared" ca="1" si="1"/>
        <v>6.0618276430573229E-2</v>
      </c>
      <c r="E66" s="5"/>
      <c r="F66">
        <v>66268.768400000001</v>
      </c>
    </row>
    <row r="67" spans="1:6" x14ac:dyDescent="0.2">
      <c r="A67" s="5">
        <v>37</v>
      </c>
      <c r="B67" s="18">
        <f t="shared" ca="1" si="2"/>
        <v>2208643.5508149015</v>
      </c>
      <c r="C67" s="32">
        <f t="shared" ca="1" si="3"/>
        <v>1.2061705983822331</v>
      </c>
      <c r="D67" s="33">
        <f t="shared" ca="1" si="1"/>
        <v>5.3408375146398804E-2</v>
      </c>
      <c r="E67" s="5"/>
      <c r="F67">
        <v>1854183.5382999999</v>
      </c>
    </row>
    <row r="68" spans="1:6" x14ac:dyDescent="0.2">
      <c r="A68" s="5">
        <v>38</v>
      </c>
      <c r="B68" s="18">
        <f t="shared" ca="1" si="2"/>
        <v>2213708.5294671515</v>
      </c>
      <c r="C68" s="32">
        <f t="shared" ca="1" si="3"/>
        <v>3.2122282052781591E-4</v>
      </c>
      <c r="D68" s="33">
        <f t="shared" ca="1" si="1"/>
        <v>4.1797805334005131E-3</v>
      </c>
      <c r="E68" s="5"/>
      <c r="F68">
        <v>10012267.612600001</v>
      </c>
    </row>
    <row r="69" spans="1:6" x14ac:dyDescent="0.2">
      <c r="A69" s="5">
        <v>39</v>
      </c>
      <c r="B69" s="18">
        <f t="shared" ca="1" si="2"/>
        <v>2135120.5781165962</v>
      </c>
      <c r="C69" s="32">
        <f t="shared" ca="1" si="3"/>
        <v>-0.92554073320463259</v>
      </c>
      <c r="D69" s="33">
        <f t="shared" ca="1" si="1"/>
        <v>-3.3618375541879499E-2</v>
      </c>
      <c r="E69" s="5"/>
      <c r="F69">
        <v>1304949.1429999999</v>
      </c>
    </row>
    <row r="70" spans="1:6" x14ac:dyDescent="0.2">
      <c r="A70" s="5">
        <v>40</v>
      </c>
      <c r="B70" s="18">
        <f t="shared" ca="1" si="2"/>
        <v>2041344.1467585359</v>
      </c>
      <c r="C70" s="32">
        <f t="shared" ca="1" si="3"/>
        <v>-1.1300986234060082</v>
      </c>
      <c r="D70" s="33">
        <f t="shared" ca="1" si="1"/>
        <v>-4.1969416439440119E-2</v>
      </c>
      <c r="E70" s="5"/>
      <c r="F70">
        <v>4194501.1242000004</v>
      </c>
    </row>
    <row r="71" spans="1:6" x14ac:dyDescent="0.2">
      <c r="A71" s="5">
        <v>41</v>
      </c>
      <c r="B71" s="18">
        <f t="shared" ca="1" si="2"/>
        <v>1995969.3092349998</v>
      </c>
      <c r="C71" s="32">
        <f t="shared" ca="1" si="3"/>
        <v>-0.59653524605435737</v>
      </c>
      <c r="D71" s="33">
        <f t="shared" ca="1" si="1"/>
        <v>-2.0186782773646463E-2</v>
      </c>
      <c r="E71" s="5"/>
      <c r="F71">
        <v>9498809.0554000009</v>
      </c>
    </row>
    <row r="72" spans="1:6" x14ac:dyDescent="0.2">
      <c r="A72" s="5">
        <v>42</v>
      </c>
      <c r="B72" s="18">
        <f t="shared" ca="1" si="2"/>
        <v>2053168.7056708501</v>
      </c>
      <c r="C72" s="32">
        <f t="shared" ca="1" si="3"/>
        <v>0.65103338546105372</v>
      </c>
      <c r="D72" s="33">
        <f t="shared" ca="1" si="1"/>
        <v>3.0744993331604301E-2</v>
      </c>
      <c r="E72" s="5"/>
      <c r="F72">
        <v>938288.66929999995</v>
      </c>
    </row>
    <row r="73" spans="1:6" x14ac:dyDescent="0.2">
      <c r="A73" s="5">
        <v>43</v>
      </c>
      <c r="B73" s="18">
        <f t="shared" ca="1" si="2"/>
        <v>2053195.1128763775</v>
      </c>
      <c r="C73" s="32">
        <f t="shared" ca="1" si="3"/>
        <v>-5.2037486656208484E-2</v>
      </c>
      <c r="D73" s="33">
        <f t="shared" ca="1" si="1"/>
        <v>2.0422451699233469E-3</v>
      </c>
      <c r="E73" s="5"/>
      <c r="F73">
        <v>1346756.8156999999</v>
      </c>
    </row>
    <row r="74" spans="1:6" x14ac:dyDescent="0.2">
      <c r="A74" s="5">
        <v>44</v>
      </c>
      <c r="B74" s="18">
        <f t="shared" ca="1" si="2"/>
        <v>2024948.2478823808</v>
      </c>
      <c r="C74" s="32">
        <f t="shared" ca="1" si="3"/>
        <v>-0.38934211939314045</v>
      </c>
      <c r="D74" s="33">
        <f t="shared" ca="1" si="1"/>
        <v>-1.172815879811602E-2</v>
      </c>
      <c r="E74" s="5"/>
      <c r="F74">
        <v>3381584.0673000002</v>
      </c>
    </row>
    <row r="75" spans="1:6" x14ac:dyDescent="0.2">
      <c r="A75" s="5">
        <v>45</v>
      </c>
      <c r="B75" s="18">
        <f t="shared" ca="1" si="2"/>
        <v>1949580.2157587938</v>
      </c>
      <c r="C75" s="32">
        <f t="shared" ca="1" si="3"/>
        <v>-0.96335329100276512</v>
      </c>
      <c r="D75" s="33">
        <f t="shared" ca="1" si="1"/>
        <v>-3.5162066749794857E-2</v>
      </c>
      <c r="E75" s="5"/>
      <c r="F75">
        <v>1066309.2774</v>
      </c>
    </row>
    <row r="76" spans="1:6" x14ac:dyDescent="0.2">
      <c r="A76" s="5">
        <v>46</v>
      </c>
      <c r="B76" s="18">
        <f t="shared" ca="1" si="2"/>
        <v>1959416.7440417032</v>
      </c>
      <c r="C76" s="32">
        <f t="shared" ca="1" si="3"/>
        <v>7.3876737790099317E-2</v>
      </c>
      <c r="D76" s="33">
        <f t="shared" ca="1" si="1"/>
        <v>7.1826718574521786E-3</v>
      </c>
      <c r="E76" s="5"/>
      <c r="F76">
        <v>1478803.5863999999</v>
      </c>
    </row>
    <row r="77" spans="1:6" x14ac:dyDescent="0.2">
      <c r="A77" s="5">
        <v>47</v>
      </c>
      <c r="B77" s="18">
        <f t="shared" ca="1" si="2"/>
        <v>2062166.4701418441</v>
      </c>
      <c r="C77" s="32">
        <f t="shared" ca="1" si="3"/>
        <v>1.2345122330494511</v>
      </c>
      <c r="D77" s="33">
        <f t="shared" ca="1" si="1"/>
        <v>5.4565417536583116E-2</v>
      </c>
      <c r="E77" s="5"/>
      <c r="F77">
        <v>2613103.6416000002</v>
      </c>
    </row>
    <row r="78" spans="1:6" x14ac:dyDescent="0.2">
      <c r="A78" s="5">
        <v>48</v>
      </c>
      <c r="B78" s="18">
        <f t="shared" ca="1" si="2"/>
        <v>1988949.9021529427</v>
      </c>
      <c r="C78" s="32">
        <f t="shared" ca="1" si="3"/>
        <v>-0.9222530100496944</v>
      </c>
      <c r="D78" s="33">
        <f t="shared" ca="1" si="1"/>
        <v>-3.3484154806127299E-2</v>
      </c>
      <c r="E78" s="5"/>
      <c r="F78">
        <v>31398.937900000001</v>
      </c>
    </row>
    <row r="79" spans="1:6" x14ac:dyDescent="0.2">
      <c r="A79" s="5">
        <v>49</v>
      </c>
      <c r="B79" s="18">
        <f t="shared" ca="1" si="2"/>
        <v>1895887.523658169</v>
      </c>
      <c r="C79" s="32">
        <f t="shared" ca="1" si="3"/>
        <v>-1.1968565370952091</v>
      </c>
      <c r="D79" s="33">
        <f t="shared" ca="1" si="1"/>
        <v>-4.4694796853295152E-2</v>
      </c>
      <c r="E79" s="5"/>
      <c r="F79">
        <v>4776486.6458999999</v>
      </c>
    </row>
    <row r="80" spans="1:6" x14ac:dyDescent="0.2">
      <c r="A80" s="5">
        <v>50</v>
      </c>
      <c r="B80" s="18">
        <f t="shared" ca="1" si="2"/>
        <v>1839997.9066854548</v>
      </c>
      <c r="C80" s="32">
        <f t="shared" ca="1" si="3"/>
        <v>-0.77032342599354275</v>
      </c>
      <c r="D80" s="33">
        <f t="shared" ca="1" si="1"/>
        <v>-2.728165550994633E-2</v>
      </c>
      <c r="E80" s="5"/>
      <c r="F80">
        <v>-533169.22409999999</v>
      </c>
    </row>
    <row r="81" spans="1:6" x14ac:dyDescent="0.2">
      <c r="A81" s="5">
        <v>51</v>
      </c>
      <c r="B81" s="18">
        <f t="shared" ca="1" si="2"/>
        <v>1822382.1822766319</v>
      </c>
      <c r="C81" s="32">
        <f t="shared" ca="1" si="3"/>
        <v>-0.28110210776934125</v>
      </c>
      <c r="D81" s="33">
        <f t="shared" ca="1" si="1"/>
        <v>-7.3092788275955492E-3</v>
      </c>
      <c r="E81" s="5"/>
      <c r="F81">
        <v>3788144.9015000002</v>
      </c>
    </row>
    <row r="82" spans="1:6" x14ac:dyDescent="0.2">
      <c r="A82" s="5">
        <v>52</v>
      </c>
      <c r="B82" s="18">
        <f t="shared" ca="1" si="2"/>
        <v>1872004.4053510833</v>
      </c>
      <c r="C82" s="32">
        <f t="shared" ca="1" si="3"/>
        <v>0.62092202467128621</v>
      </c>
      <c r="D82" s="33">
        <f t="shared" ca="1" si="1"/>
        <v>2.9515702175007985E-2</v>
      </c>
      <c r="E82" s="5"/>
      <c r="F82">
        <v>-567346.04680000001</v>
      </c>
    </row>
    <row r="83" spans="1:6" x14ac:dyDescent="0.2">
      <c r="A83" s="5">
        <v>53</v>
      </c>
      <c r="B83" s="18">
        <f t="shared" ca="1" si="2"/>
        <v>1756918.8115901146</v>
      </c>
      <c r="C83" s="32">
        <f t="shared" ca="1" si="3"/>
        <v>-1.5534196304367411</v>
      </c>
      <c r="D83" s="33">
        <f t="shared" ca="1" si="1"/>
        <v>-5.9251424183213885E-2</v>
      </c>
      <c r="E83" s="5"/>
      <c r="F83">
        <v>336855.7415</v>
      </c>
    </row>
    <row r="84" spans="1:6" x14ac:dyDescent="0.2">
      <c r="A84" s="5">
        <v>54</v>
      </c>
      <c r="B84" s="18">
        <f t="shared" ca="1" si="2"/>
        <v>1737367.4029920788</v>
      </c>
      <c r="C84" s="32">
        <f t="shared" ca="1" si="3"/>
        <v>-0.31655557856316169</v>
      </c>
      <c r="D84" s="33">
        <f t="shared" ca="1" si="1"/>
        <v>-8.756660711854318E-3</v>
      </c>
      <c r="E84" s="5"/>
      <c r="F84">
        <v>3138681.8346000002</v>
      </c>
    </row>
    <row r="85" spans="1:6" x14ac:dyDescent="0.2">
      <c r="A85" s="5">
        <v>55</v>
      </c>
      <c r="B85" s="18">
        <f t="shared" ca="1" si="2"/>
        <v>1727297.7966281166</v>
      </c>
      <c r="C85" s="32">
        <f t="shared" ca="1" si="3"/>
        <v>-0.18528678499339069</v>
      </c>
      <c r="D85" s="33">
        <f t="shared" ca="1" si="1"/>
        <v>-3.3976346552430431E-3</v>
      </c>
      <c r="E85" s="5"/>
      <c r="F85">
        <v>4769011.4786999999</v>
      </c>
    </row>
    <row r="86" spans="1:6" x14ac:dyDescent="0.2">
      <c r="A86" s="5">
        <v>56</v>
      </c>
      <c r="B86" s="18">
        <f t="shared" ca="1" si="2"/>
        <v>1753985.5729709431</v>
      </c>
      <c r="C86" s="32">
        <f t="shared" ca="1" si="3"/>
        <v>0.33548634444667425</v>
      </c>
      <c r="D86" s="33">
        <f t="shared" ca="1" si="1"/>
        <v>1.7862839326099215E-2</v>
      </c>
      <c r="E86" s="5"/>
      <c r="F86">
        <v>1788275.4264</v>
      </c>
    </row>
    <row r="87" spans="1:6" x14ac:dyDescent="0.2">
      <c r="A87" s="5">
        <v>57</v>
      </c>
      <c r="B87" s="18">
        <f t="shared" ca="1" si="2"/>
        <v>1695201.3998820665</v>
      </c>
      <c r="C87" s="32">
        <f t="shared" ca="1" si="3"/>
        <v>-0.86481077374119242</v>
      </c>
      <c r="D87" s="33">
        <f t="shared" ca="1" si="1"/>
        <v>-3.1139085328790582E-2</v>
      </c>
      <c r="E87" s="5"/>
      <c r="F87">
        <v>16800538.5108</v>
      </c>
    </row>
    <row r="88" spans="1:6" x14ac:dyDescent="0.2">
      <c r="A88" s="5">
        <v>58</v>
      </c>
      <c r="B88" s="18">
        <f t="shared" ca="1" si="2"/>
        <v>1659745.3256118128</v>
      </c>
      <c r="C88" s="32">
        <f t="shared" ca="1" si="3"/>
        <v>-0.55417993299574364</v>
      </c>
      <c r="D88" s="33">
        <f t="shared" ca="1" si="1"/>
        <v>-1.8457634358822386E-2</v>
      </c>
      <c r="E88" s="5"/>
      <c r="F88">
        <v>11189330.6324</v>
      </c>
    </row>
    <row r="89" spans="1:6" x14ac:dyDescent="0.2">
      <c r="A89" s="5">
        <v>59</v>
      </c>
      <c r="B89" s="18">
        <f t="shared" ca="1" si="2"/>
        <v>1790505.2776763216</v>
      </c>
      <c r="C89" s="32">
        <f t="shared" ca="1" si="3"/>
        <v>1.8892155258830827</v>
      </c>
      <c r="D89" s="33">
        <f t="shared" ca="1" si="1"/>
        <v>8.1293567542622319E-2</v>
      </c>
      <c r="E89" s="5"/>
      <c r="F89">
        <v>4217336.4238</v>
      </c>
    </row>
    <row r="90" spans="1:6" x14ac:dyDescent="0.2">
      <c r="A90" s="5">
        <v>60</v>
      </c>
      <c r="B90" s="18">
        <f t="shared" ca="1" si="2"/>
        <v>1776729.1428345751</v>
      </c>
      <c r="C90" s="32">
        <f t="shared" ca="1" si="3"/>
        <v>-0.23352381150012316</v>
      </c>
      <c r="D90" s="33">
        <f t="shared" ca="1" si="1"/>
        <v>-5.3669030160864014E-3</v>
      </c>
      <c r="E90" s="5"/>
      <c r="F90">
        <v>-255840.06890000001</v>
      </c>
    </row>
    <row r="91" spans="1:6" x14ac:dyDescent="0.2">
      <c r="A91" s="5">
        <v>61</v>
      </c>
      <c r="B91" s="18">
        <f t="shared" ca="1" si="2"/>
        <v>1834797.3239910444</v>
      </c>
      <c r="C91" s="32">
        <f t="shared" ca="1" si="3"/>
        <v>0.75593939598851101</v>
      </c>
      <c r="D91" s="33">
        <f t="shared" ca="1" si="1"/>
        <v>3.5027763277326152E-2</v>
      </c>
      <c r="E91" s="5"/>
      <c r="F91">
        <v>2944990.2777999998</v>
      </c>
    </row>
    <row r="92" spans="1:6" x14ac:dyDescent="0.2">
      <c r="A92" s="5">
        <v>62</v>
      </c>
      <c r="B92" s="18">
        <f t="shared" ca="1" si="2"/>
        <v>1757029.8521942757</v>
      </c>
      <c r="C92" s="32">
        <f t="shared" ca="1" si="3"/>
        <v>-1.0846469874152422</v>
      </c>
      <c r="D92" s="33">
        <f t="shared" ca="1" si="1"/>
        <v>-4.0113861170238518E-2</v>
      </c>
      <c r="E92" s="5"/>
      <c r="F92">
        <v>-1057137.0967000001</v>
      </c>
    </row>
    <row r="93" spans="1:6" x14ac:dyDescent="0.2">
      <c r="A93" s="5">
        <v>63</v>
      </c>
      <c r="B93" s="18">
        <f t="shared" ca="1" si="2"/>
        <v>1767342.1719451081</v>
      </c>
      <c r="C93" s="32">
        <f t="shared" ca="1" si="3"/>
        <v>9.9790665806601453E-2</v>
      </c>
      <c r="D93" s="33">
        <f t="shared" ca="1" si="1"/>
        <v>8.2406035386462378E-3</v>
      </c>
      <c r="E93" s="5"/>
      <c r="F93">
        <v>2134203.0824000002</v>
      </c>
    </row>
    <row r="94" spans="1:6" x14ac:dyDescent="0.2">
      <c r="A94" s="5">
        <v>64</v>
      </c>
      <c r="B94" s="18">
        <f t="shared" ca="1" si="2"/>
        <v>1878298.42265845</v>
      </c>
      <c r="C94" s="32">
        <f t="shared" ca="1" si="3"/>
        <v>1.493511267725087</v>
      </c>
      <c r="D94" s="33">
        <f t="shared" ca="1" si="1"/>
        <v>6.513900885039503E-2</v>
      </c>
      <c r="E94" s="5"/>
      <c r="F94">
        <v>186484.3413</v>
      </c>
    </row>
    <row r="95" spans="1:6" x14ac:dyDescent="0.2">
      <c r="A95" s="5">
        <v>65</v>
      </c>
      <c r="B95" s="18">
        <f t="shared" ca="1" si="2"/>
        <v>1825686.476046721</v>
      </c>
      <c r="C95" s="32">
        <f t="shared" ca="1" si="3"/>
        <v>-0.73383716692571332</v>
      </c>
      <c r="D95" s="33">
        <f t="shared" ca="1" si="1"/>
        <v>-2.5792110220960032E-2</v>
      </c>
      <c r="E95" s="5"/>
      <c r="F95">
        <v>-1032586.4462</v>
      </c>
    </row>
    <row r="96" spans="1:6" x14ac:dyDescent="0.2">
      <c r="A96" s="5">
        <v>66</v>
      </c>
      <c r="B96" s="18">
        <f t="shared" ca="1" si="2"/>
        <v>1900697.3531544695</v>
      </c>
      <c r="C96" s="32">
        <f t="shared" ca="1" si="3"/>
        <v>0.96024837268106678</v>
      </c>
      <c r="D96" s="33">
        <f t="shared" ref="D96:D159" ca="1" si="4">$D$20+(C96*$D$21)</f>
        <v>4.3368642323441862E-2</v>
      </c>
      <c r="E96" s="5"/>
      <c r="F96">
        <v>2406794.8062999998</v>
      </c>
    </row>
    <row r="97" spans="1:6" x14ac:dyDescent="0.2">
      <c r="A97" s="5">
        <v>67</v>
      </c>
      <c r="B97" s="18">
        <f t="shared" ref="B97:B160" ca="1" si="5">(B96*(1+D97))+$C$13</f>
        <v>1980678.1971051462</v>
      </c>
      <c r="C97" s="32">
        <f t="shared" ref="C97:C160" ca="1" si="6">NORMSINV(RAND())</f>
        <v>0.98237393081108793</v>
      </c>
      <c r="D97" s="33">
        <f t="shared" ca="1" si="4"/>
        <v>4.4271914451655861E-2</v>
      </c>
      <c r="E97" s="5"/>
      <c r="F97">
        <v>2617696.5931000002</v>
      </c>
    </row>
    <row r="98" spans="1:6" x14ac:dyDescent="0.2">
      <c r="A98" s="5">
        <v>68</v>
      </c>
      <c r="B98" s="18">
        <f t="shared" ca="1" si="5"/>
        <v>2080010.7143161378</v>
      </c>
      <c r="C98" s="32">
        <f t="shared" ca="1" si="6"/>
        <v>1.1779045048183976</v>
      </c>
      <c r="D98" s="33">
        <f t="shared" ca="1" si="4"/>
        <v>5.2254416708846063E-2</v>
      </c>
      <c r="E98" s="5"/>
      <c r="F98">
        <v>5962854.2548000002</v>
      </c>
    </row>
    <row r="99" spans="1:6" x14ac:dyDescent="0.2">
      <c r="A99" s="5">
        <v>69</v>
      </c>
      <c r="B99" s="18">
        <f t="shared" ca="1" si="5"/>
        <v>2078910.7348773249</v>
      </c>
      <c r="C99" s="32">
        <f t="shared" ca="1" si="6"/>
        <v>-6.5947744659624649E-2</v>
      </c>
      <c r="D99" s="33">
        <f t="shared" ca="1" si="4"/>
        <v>1.4743612649427548E-3</v>
      </c>
      <c r="E99" s="5"/>
      <c r="F99">
        <v>22812597.836199999</v>
      </c>
    </row>
    <row r="100" spans="1:6" x14ac:dyDescent="0.2">
      <c r="A100" s="5">
        <v>70</v>
      </c>
      <c r="B100" s="18">
        <f t="shared" ca="1" si="5"/>
        <v>2120506.2204886568</v>
      </c>
      <c r="C100" s="32">
        <f t="shared" ca="1" si="6"/>
        <v>0.43713338552501735</v>
      </c>
      <c r="D100" s="33">
        <f t="shared" ca="1" si="4"/>
        <v>2.2012562401193578E-2</v>
      </c>
      <c r="E100" s="5"/>
      <c r="F100">
        <v>229350.09770000001</v>
      </c>
    </row>
    <row r="101" spans="1:6" x14ac:dyDescent="0.2">
      <c r="A101" s="5">
        <v>71</v>
      </c>
      <c r="B101" s="18">
        <f t="shared" ca="1" si="5"/>
        <v>2062410.5447268221</v>
      </c>
      <c r="C101" s="32">
        <f t="shared" ca="1" si="6"/>
        <v>-0.72501971047016467</v>
      </c>
      <c r="D101" s="33">
        <f t="shared" ca="1" si="4"/>
        <v>-2.5432139068538303E-2</v>
      </c>
      <c r="E101" s="5"/>
      <c r="F101">
        <v>1761488.0127999999</v>
      </c>
    </row>
    <row r="102" spans="1:6" x14ac:dyDescent="0.2">
      <c r="A102" s="5">
        <v>72</v>
      </c>
      <c r="B102" s="18">
        <f t="shared" ca="1" si="5"/>
        <v>2297096.012135759</v>
      </c>
      <c r="C102" s="32">
        <f t="shared" ca="1" si="6"/>
        <v>2.7347438870701941</v>
      </c>
      <c r="D102" s="33">
        <f t="shared" ca="1" si="4"/>
        <v>0.11581211834195732</v>
      </c>
      <c r="E102" s="5"/>
      <c r="F102">
        <v>630131.54879999999</v>
      </c>
    </row>
    <row r="103" spans="1:6" x14ac:dyDescent="0.2">
      <c r="A103" s="5">
        <v>73</v>
      </c>
      <c r="B103" s="18">
        <f t="shared" ca="1" si="5"/>
        <v>2323976.9027681006</v>
      </c>
      <c r="C103" s="32">
        <f t="shared" ca="1" si="6"/>
        <v>0.22901104204973069</v>
      </c>
      <c r="D103" s="33">
        <f t="shared" ca="1" si="4"/>
        <v>1.3516003308081708E-2</v>
      </c>
      <c r="E103" s="5"/>
      <c r="F103">
        <v>3424695.9717000001</v>
      </c>
    </row>
    <row r="104" spans="1:6" x14ac:dyDescent="0.2">
      <c r="A104" s="5">
        <v>74</v>
      </c>
      <c r="B104" s="18">
        <f t="shared" ca="1" si="5"/>
        <v>2528826.1834625872</v>
      </c>
      <c r="C104" s="32">
        <f t="shared" ca="1" si="6"/>
        <v>2.1009822800599487</v>
      </c>
      <c r="D104" s="33">
        <f t="shared" ca="1" si="4"/>
        <v>8.993890907960099E-2</v>
      </c>
      <c r="E104" s="5"/>
      <c r="F104">
        <v>748266.80449999997</v>
      </c>
    </row>
    <row r="105" spans="1:6" x14ac:dyDescent="0.2">
      <c r="A105" s="5">
        <v>75</v>
      </c>
      <c r="B105" s="18">
        <f t="shared" ca="1" si="5"/>
        <v>2543086.7349078897</v>
      </c>
      <c r="C105" s="32">
        <f t="shared" ca="1" si="6"/>
        <v>7.6428968201609104E-2</v>
      </c>
      <c r="D105" s="33">
        <f t="shared" ca="1" si="4"/>
        <v>7.2868662276890529E-3</v>
      </c>
      <c r="E105" s="5"/>
      <c r="F105">
        <v>-1121311.7945000001</v>
      </c>
    </row>
    <row r="106" spans="1:6" x14ac:dyDescent="0.2">
      <c r="A106" s="5">
        <v>76</v>
      </c>
      <c r="B106" s="18">
        <f t="shared" ca="1" si="5"/>
        <v>2603174.7283971664</v>
      </c>
      <c r="C106" s="32">
        <f t="shared" ca="1" si="6"/>
        <v>0.51683593356510371</v>
      </c>
      <c r="D106" s="33">
        <f t="shared" ca="1" si="4"/>
        <v>2.5266405299491493E-2</v>
      </c>
      <c r="E106" s="5"/>
      <c r="F106">
        <v>-743137.68740000005</v>
      </c>
    </row>
    <row r="107" spans="1:6" x14ac:dyDescent="0.2">
      <c r="A107" s="5">
        <v>77</v>
      </c>
      <c r="B107" s="18">
        <f t="shared" ca="1" si="5"/>
        <v>2586053.2303482238</v>
      </c>
      <c r="C107" s="32">
        <f t="shared" ca="1" si="6"/>
        <v>-0.22396217499560586</v>
      </c>
      <c r="D107" s="33">
        <f t="shared" ca="1" si="4"/>
        <v>-4.9765508403857963E-3</v>
      </c>
      <c r="E107" s="5"/>
      <c r="F107">
        <v>1785305.0067</v>
      </c>
    </row>
    <row r="108" spans="1:6" x14ac:dyDescent="0.2">
      <c r="A108" s="5">
        <v>78</v>
      </c>
      <c r="B108" s="18">
        <f t="shared" ca="1" si="5"/>
        <v>2580534.195218734</v>
      </c>
      <c r="C108" s="32">
        <f t="shared" ca="1" si="6"/>
        <v>-0.11487160274966568</v>
      </c>
      <c r="D108" s="33">
        <f t="shared" ca="1" si="4"/>
        <v>-5.2294687787283415E-4</v>
      </c>
      <c r="E108" s="5"/>
      <c r="F108">
        <v>-1766306.9876999999</v>
      </c>
    </row>
    <row r="109" spans="1:6" x14ac:dyDescent="0.2">
      <c r="A109" s="5">
        <v>79</v>
      </c>
      <c r="B109" s="18">
        <f t="shared" ca="1" si="5"/>
        <v>2622883.6444187881</v>
      </c>
      <c r="C109" s="32">
        <f t="shared" ca="1" si="6"/>
        <v>0.33947731446426876</v>
      </c>
      <c r="D109" s="33">
        <f t="shared" ca="1" si="4"/>
        <v>1.8025769994796763E-2</v>
      </c>
      <c r="E109" s="5"/>
      <c r="F109">
        <v>14093401.8892</v>
      </c>
    </row>
    <row r="110" spans="1:6" x14ac:dyDescent="0.2">
      <c r="A110" s="5">
        <v>80</v>
      </c>
      <c r="B110" s="18">
        <f t="shared" ca="1" si="5"/>
        <v>2790988.6245635659</v>
      </c>
      <c r="C110" s="32">
        <f t="shared" ca="1" si="6"/>
        <v>1.5067688518321012</v>
      </c>
      <c r="D110" s="33">
        <f t="shared" ca="1" si="4"/>
        <v>6.5680247455131971E-2</v>
      </c>
      <c r="E110" s="5"/>
      <c r="F110">
        <v>2522619.4796000002</v>
      </c>
    </row>
    <row r="111" spans="1:6" x14ac:dyDescent="0.2">
      <c r="A111" s="5">
        <v>81</v>
      </c>
      <c r="B111" s="18">
        <f t="shared" ca="1" si="5"/>
        <v>2713812.4476813609</v>
      </c>
      <c r="C111" s="32">
        <f t="shared" ca="1" si="6"/>
        <v>-0.74282443482928417</v>
      </c>
      <c r="D111" s="33">
        <f t="shared" ca="1" si="4"/>
        <v>-2.6159013896717386E-2</v>
      </c>
      <c r="E111" s="5"/>
      <c r="F111">
        <v>1996257.5634999999</v>
      </c>
    </row>
    <row r="112" spans="1:6" x14ac:dyDescent="0.2">
      <c r="A112" s="5">
        <v>82</v>
      </c>
      <c r="B112" s="18">
        <f t="shared" ca="1" si="5"/>
        <v>2887702.7662190297</v>
      </c>
      <c r="C112" s="32">
        <f t="shared" ca="1" si="6"/>
        <v>1.5050819997813496</v>
      </c>
      <c r="D112" s="33">
        <f t="shared" ca="1" si="4"/>
        <v>6.5611382008533489E-2</v>
      </c>
      <c r="E112" s="5"/>
      <c r="F112">
        <v>2599039.8284999998</v>
      </c>
    </row>
    <row r="113" spans="1:6" x14ac:dyDescent="0.2">
      <c r="A113" s="5">
        <v>83</v>
      </c>
      <c r="B113" s="18">
        <f t="shared" ca="1" si="5"/>
        <v>2989880.6799180158</v>
      </c>
      <c r="C113" s="32">
        <f t="shared" ca="1" si="6"/>
        <v>0.80000430988543192</v>
      </c>
      <c r="D113" s="33">
        <f t="shared" ca="1" si="4"/>
        <v>3.6826705854111678E-2</v>
      </c>
      <c r="E113" s="5"/>
      <c r="F113">
        <v>1364885.1835</v>
      </c>
    </row>
    <row r="114" spans="1:6" x14ac:dyDescent="0.2">
      <c r="A114" s="5">
        <v>84</v>
      </c>
      <c r="B114" s="18">
        <f t="shared" ca="1" si="5"/>
        <v>2818781.4512630147</v>
      </c>
      <c r="C114" s="32">
        <f t="shared" ca="1" si="6"/>
        <v>-1.4696738340931998</v>
      </c>
      <c r="D114" s="33">
        <f t="shared" ca="1" si="4"/>
        <v>-5.5832516364135325E-2</v>
      </c>
      <c r="E114" s="5"/>
      <c r="F114">
        <v>11455307.6938</v>
      </c>
    </row>
    <row r="115" spans="1:6" x14ac:dyDescent="0.2">
      <c r="A115" s="5">
        <v>85</v>
      </c>
      <c r="B115" s="18">
        <f t="shared" ca="1" si="5"/>
        <v>3041758.3775303769</v>
      </c>
      <c r="C115" s="32">
        <f t="shared" ca="1" si="6"/>
        <v>1.8717904968392514</v>
      </c>
      <c r="D115" s="33">
        <f t="shared" ca="1" si="4"/>
        <v>8.0582193710779584E-2</v>
      </c>
      <c r="E115" s="5"/>
      <c r="F115">
        <v>3064070.3275000001</v>
      </c>
    </row>
    <row r="116" spans="1:6" x14ac:dyDescent="0.2">
      <c r="A116" s="5">
        <v>86</v>
      </c>
      <c r="B116" s="18">
        <f t="shared" ca="1" si="5"/>
        <v>3076989.7436874816</v>
      </c>
      <c r="C116" s="32">
        <f t="shared" ca="1" si="6"/>
        <v>0.21520532771586279</v>
      </c>
      <c r="D116" s="33">
        <f t="shared" ca="1" si="4"/>
        <v>1.2952387380538305E-2</v>
      </c>
      <c r="E116" s="5"/>
      <c r="F116">
        <v>493296.11550000001</v>
      </c>
    </row>
    <row r="117" spans="1:6" x14ac:dyDescent="0.2">
      <c r="A117" s="5">
        <v>87</v>
      </c>
      <c r="B117" s="18">
        <f t="shared" ca="1" si="5"/>
        <v>3062165.5157271498</v>
      </c>
      <c r="C117" s="32">
        <f t="shared" ca="1" si="6"/>
        <v>-0.186903392368402</v>
      </c>
      <c r="D117" s="33">
        <f t="shared" ca="1" si="4"/>
        <v>-3.463632374963008E-3</v>
      </c>
      <c r="E117" s="5"/>
      <c r="F117">
        <v>14311935.7587</v>
      </c>
    </row>
    <row r="118" spans="1:6" x14ac:dyDescent="0.2">
      <c r="A118" s="5">
        <v>88</v>
      </c>
      <c r="B118" s="18">
        <f t="shared" ca="1" si="5"/>
        <v>3286456.7045344198</v>
      </c>
      <c r="C118" s="32">
        <f t="shared" ca="1" si="6"/>
        <v>1.7254197234121742</v>
      </c>
      <c r="D118" s="33">
        <f t="shared" ca="1" si="4"/>
        <v>7.4606631908231816E-2</v>
      </c>
      <c r="E118" s="5"/>
      <c r="F118">
        <v>5766463.4637000002</v>
      </c>
    </row>
    <row r="119" spans="1:6" x14ac:dyDescent="0.2">
      <c r="A119" s="5">
        <v>89</v>
      </c>
      <c r="B119" s="18">
        <f t="shared" ca="1" si="5"/>
        <v>3252039.5836605858</v>
      </c>
      <c r="C119" s="32">
        <f t="shared" ca="1" si="6"/>
        <v>-0.32752731970944804</v>
      </c>
      <c r="D119" s="33">
        <f t="shared" ca="1" si="4"/>
        <v>-9.2045801684926612E-3</v>
      </c>
      <c r="E119" s="5"/>
      <c r="F119">
        <v>-507274.4068</v>
      </c>
    </row>
    <row r="120" spans="1:6" x14ac:dyDescent="0.2">
      <c r="A120" s="5">
        <v>90</v>
      </c>
      <c r="B120" s="18">
        <f t="shared" ca="1" si="5"/>
        <v>3312179.8874895629</v>
      </c>
      <c r="C120" s="32">
        <f t="shared" ca="1" si="6"/>
        <v>0.38230861404471644</v>
      </c>
      <c r="D120" s="33">
        <f t="shared" ca="1" si="4"/>
        <v>1.9774350478003098E-2</v>
      </c>
      <c r="E120" s="5"/>
      <c r="F120">
        <v>-4367737.4387999997</v>
      </c>
    </row>
    <row r="121" spans="1:6" x14ac:dyDescent="0.2">
      <c r="A121" s="5">
        <v>91</v>
      </c>
      <c r="B121" s="18">
        <f t="shared" ca="1" si="5"/>
        <v>3343624.4923233679</v>
      </c>
      <c r="C121" s="32">
        <f t="shared" ca="1" si="6"/>
        <v>0.16129754923714329</v>
      </c>
      <c r="D121" s="33">
        <f t="shared" ca="1" si="4"/>
        <v>1.0751611539874119E-2</v>
      </c>
      <c r="E121" s="5"/>
      <c r="F121">
        <v>6514040.1672999999</v>
      </c>
    </row>
    <row r="122" spans="1:6" x14ac:dyDescent="0.2">
      <c r="A122" s="5">
        <v>92</v>
      </c>
      <c r="B122" s="18">
        <f t="shared" ca="1" si="5"/>
        <v>3436998.0191307864</v>
      </c>
      <c r="C122" s="32">
        <f t="shared" ca="1" si="6"/>
        <v>0.61250292704952514</v>
      </c>
      <c r="D122" s="33">
        <f t="shared" ca="1" si="4"/>
        <v>2.917199395387475E-2</v>
      </c>
      <c r="E122" s="5"/>
      <c r="F122">
        <v>10384974.230900001</v>
      </c>
    </row>
    <row r="123" spans="1:6" x14ac:dyDescent="0.2">
      <c r="A123" s="5">
        <v>93</v>
      </c>
      <c r="B123" s="18">
        <f t="shared" ca="1" si="5"/>
        <v>3732307.2481038552</v>
      </c>
      <c r="C123" s="32">
        <f t="shared" ca="1" si="6"/>
        <v>2.0322514489433345</v>
      </c>
      <c r="D123" s="33">
        <f t="shared" ca="1" si="4"/>
        <v>8.7132984649049158E-2</v>
      </c>
      <c r="E123" s="5"/>
      <c r="F123">
        <v>7852942.5565999998</v>
      </c>
    </row>
    <row r="124" spans="1:6" x14ac:dyDescent="0.2">
      <c r="A124" s="5">
        <v>94</v>
      </c>
      <c r="B124" s="18">
        <f t="shared" ca="1" si="5"/>
        <v>3839619.6300219772</v>
      </c>
      <c r="C124" s="32">
        <f t="shared" ca="1" si="6"/>
        <v>0.62956790287009767</v>
      </c>
      <c r="D124" s="33">
        <f t="shared" ca="1" si="4"/>
        <v>2.9868668674430342E-2</v>
      </c>
      <c r="E124" s="5"/>
      <c r="F124">
        <v>4814772.4359999998</v>
      </c>
    </row>
    <row r="125" spans="1:6" x14ac:dyDescent="0.2">
      <c r="A125" s="5">
        <v>95</v>
      </c>
      <c r="B125" s="18">
        <f t="shared" ca="1" si="5"/>
        <v>3812372.0358872451</v>
      </c>
      <c r="C125" s="32">
        <f t="shared" ca="1" si="6"/>
        <v>-0.249307113882269</v>
      </c>
      <c r="D125" s="33">
        <f t="shared" ca="1" si="4"/>
        <v>-6.0112536376249271E-3</v>
      </c>
      <c r="E125" s="5"/>
      <c r="F125">
        <v>-798329.79180000001</v>
      </c>
    </row>
    <row r="126" spans="1:6" x14ac:dyDescent="0.2">
      <c r="A126" s="5">
        <v>96</v>
      </c>
      <c r="B126" s="18">
        <f t="shared" ca="1" si="5"/>
        <v>3844717.5563813318</v>
      </c>
      <c r="C126" s="32">
        <f t="shared" ca="1" si="6"/>
        <v>0.13253262877977695</v>
      </c>
      <c r="D126" s="33">
        <f t="shared" ca="1" si="4"/>
        <v>9.5772885796692377E-3</v>
      </c>
      <c r="E126" s="5"/>
      <c r="F126">
        <v>4141420.2869000002</v>
      </c>
    </row>
    <row r="127" spans="1:6" x14ac:dyDescent="0.2">
      <c r="A127" s="5">
        <v>97</v>
      </c>
      <c r="B127" s="18">
        <f t="shared" ca="1" si="5"/>
        <v>3695275.8512153695</v>
      </c>
      <c r="C127" s="32">
        <f t="shared" ca="1" si="6"/>
        <v>-1.0276169709096754</v>
      </c>
      <c r="D127" s="33">
        <f t="shared" ca="1" si="4"/>
        <v>-3.7785620495886164E-2</v>
      </c>
      <c r="E127" s="5"/>
      <c r="F127">
        <v>-1663070.8359999999</v>
      </c>
    </row>
    <row r="128" spans="1:6" x14ac:dyDescent="0.2">
      <c r="A128" s="5">
        <v>98</v>
      </c>
      <c r="B128" s="18">
        <f t="shared" ca="1" si="5"/>
        <v>3774389.5170811336</v>
      </c>
      <c r="C128" s="32">
        <f t="shared" ca="1" si="6"/>
        <v>0.44997877230950156</v>
      </c>
      <c r="D128" s="33">
        <f t="shared" ca="1" si="4"/>
        <v>2.2536973120704854E-2</v>
      </c>
      <c r="E128" s="5"/>
      <c r="F128">
        <v>567021.75650000002</v>
      </c>
    </row>
    <row r="129" spans="1:6" x14ac:dyDescent="0.2">
      <c r="A129" s="5">
        <v>99</v>
      </c>
      <c r="B129" s="18">
        <f t="shared" ca="1" si="5"/>
        <v>3855540.6670352546</v>
      </c>
      <c r="C129" s="32">
        <f t="shared" ca="1" si="6"/>
        <v>0.45163042717375096</v>
      </c>
      <c r="D129" s="33">
        <f t="shared" ca="1" si="4"/>
        <v>2.260440164818147E-2</v>
      </c>
      <c r="E129" s="5"/>
      <c r="F129">
        <v>-1274694.1253</v>
      </c>
    </row>
    <row r="130" spans="1:6" x14ac:dyDescent="0.2">
      <c r="A130" s="5">
        <v>100</v>
      </c>
      <c r="B130" s="18">
        <f t="shared" ca="1" si="5"/>
        <v>4017837.2045069025</v>
      </c>
      <c r="C130" s="32">
        <f t="shared" ca="1" si="6"/>
        <v>0.955506622155878</v>
      </c>
      <c r="D130" s="33">
        <f t="shared" ca="1" si="4"/>
        <v>4.3175061168870418E-2</v>
      </c>
      <c r="E130" s="5"/>
      <c r="F130">
        <v>3958935.4945</v>
      </c>
    </row>
    <row r="131" spans="1:6" x14ac:dyDescent="0.2">
      <c r="A131" s="5">
        <v>101</v>
      </c>
      <c r="B131" s="18">
        <f t="shared" ca="1" si="5"/>
        <v>4131340.0217268355</v>
      </c>
      <c r="C131" s="32">
        <f t="shared" ca="1" si="6"/>
        <v>0.61531441415533106</v>
      </c>
      <c r="D131" s="33">
        <f t="shared" ca="1" si="4"/>
        <v>2.9286772434335397E-2</v>
      </c>
      <c r="E131" s="5"/>
      <c r="F131">
        <v>2041533.5125</v>
      </c>
    </row>
    <row r="132" spans="1:6" x14ac:dyDescent="0.2">
      <c r="A132" s="5">
        <v>102</v>
      </c>
      <c r="B132" s="18">
        <f t="shared" ca="1" si="5"/>
        <v>3745392.7604792211</v>
      </c>
      <c r="C132" s="32">
        <f t="shared" ca="1" si="6"/>
        <v>-2.3656560772285631</v>
      </c>
      <c r="D132" s="33">
        <f t="shared" ca="1" si="4"/>
        <v>-9.2410838268734252E-2</v>
      </c>
      <c r="E132" s="5"/>
      <c r="F132">
        <v>6440454.9342</v>
      </c>
    </row>
    <row r="133" spans="1:6" x14ac:dyDescent="0.2">
      <c r="A133" s="5">
        <v>103</v>
      </c>
      <c r="B133" s="18">
        <f t="shared" ca="1" si="5"/>
        <v>3844836.5860007009</v>
      </c>
      <c r="C133" s="32">
        <f t="shared" ca="1" si="6"/>
        <v>0.5755513422909081</v>
      </c>
      <c r="D133" s="33">
        <f t="shared" ca="1" si="4"/>
        <v>2.7663451823111158E-2</v>
      </c>
      <c r="E133" s="5"/>
      <c r="F133">
        <v>3609498.2866000002</v>
      </c>
    </row>
    <row r="134" spans="1:6" x14ac:dyDescent="0.2">
      <c r="A134" s="5">
        <v>104</v>
      </c>
      <c r="B134" s="18">
        <f t="shared" ca="1" si="5"/>
        <v>3921349.6681970954</v>
      </c>
      <c r="C134" s="32">
        <f t="shared" ca="1" si="6"/>
        <v>0.41193693064454778</v>
      </c>
      <c r="D134" s="33">
        <f t="shared" ca="1" si="4"/>
        <v>2.0983921438123422E-2</v>
      </c>
      <c r="E134" s="5"/>
      <c r="F134">
        <v>1520822.1111000001</v>
      </c>
    </row>
    <row r="135" spans="1:6" x14ac:dyDescent="0.2">
      <c r="A135" s="5">
        <v>105</v>
      </c>
      <c r="B135" s="18">
        <f t="shared" ca="1" si="5"/>
        <v>3761208.4771744511</v>
      </c>
      <c r="C135" s="32">
        <f t="shared" ca="1" si="6"/>
        <v>-1.0763643661451958</v>
      </c>
      <c r="D135" s="33">
        <f t="shared" ca="1" si="4"/>
        <v>-3.9775724572832905E-2</v>
      </c>
      <c r="E135" s="5"/>
      <c r="F135">
        <v>2079793.9221000001</v>
      </c>
    </row>
    <row r="136" spans="1:6" x14ac:dyDescent="0.2">
      <c r="A136" s="5">
        <v>106</v>
      </c>
      <c r="B136" s="18">
        <f t="shared" ca="1" si="5"/>
        <v>3671098.497621655</v>
      </c>
      <c r="C136" s="32">
        <f t="shared" ca="1" si="6"/>
        <v>-0.66176851976703477</v>
      </c>
      <c r="D136" s="33">
        <f t="shared" ca="1" si="4"/>
        <v>-2.2849920021102643E-2</v>
      </c>
      <c r="E136" s="5"/>
      <c r="F136">
        <v>6899376.7723000003</v>
      </c>
    </row>
    <row r="137" spans="1:6" x14ac:dyDescent="0.2">
      <c r="A137" s="5">
        <v>107</v>
      </c>
      <c r="B137" s="18">
        <f t="shared" ca="1" si="5"/>
        <v>3630276.187027724</v>
      </c>
      <c r="C137" s="32">
        <f t="shared" ca="1" si="6"/>
        <v>-0.34664179139255608</v>
      </c>
      <c r="D137" s="33">
        <f t="shared" ca="1" si="4"/>
        <v>-9.9849252072675386E-3</v>
      </c>
      <c r="E137" s="5"/>
      <c r="F137">
        <v>-684596.32979999995</v>
      </c>
    </row>
    <row r="138" spans="1:6" x14ac:dyDescent="0.2">
      <c r="A138" s="5">
        <v>108</v>
      </c>
      <c r="B138" s="18">
        <f t="shared" ca="1" si="5"/>
        <v>3423514.7142724404</v>
      </c>
      <c r="C138" s="32">
        <f t="shared" ca="1" si="6"/>
        <v>-1.4690486981198521</v>
      </c>
      <c r="D138" s="33">
        <f t="shared" ca="1" si="4"/>
        <v>-5.5806995294892657E-2</v>
      </c>
      <c r="E138" s="5"/>
      <c r="F138">
        <v>3122639.1734000002</v>
      </c>
    </row>
    <row r="139" spans="1:6" x14ac:dyDescent="0.2">
      <c r="A139" s="5">
        <v>109</v>
      </c>
      <c r="B139" s="18">
        <f t="shared" ca="1" si="5"/>
        <v>3163292.1299581374</v>
      </c>
      <c r="C139" s="32">
        <f t="shared" ca="1" si="6"/>
        <v>-1.9341159593483115</v>
      </c>
      <c r="D139" s="33">
        <f t="shared" ca="1" si="4"/>
        <v>-7.4793286729615591E-2</v>
      </c>
      <c r="E139" s="5"/>
      <c r="F139">
        <v>6912371.0307</v>
      </c>
    </row>
    <row r="140" spans="1:6" x14ac:dyDescent="0.2">
      <c r="A140" s="5">
        <v>110</v>
      </c>
      <c r="B140" s="18">
        <f t="shared" ca="1" si="5"/>
        <v>3239673.3024183661</v>
      </c>
      <c r="C140" s="32">
        <f t="shared" ca="1" si="6"/>
        <v>0.52165871458584889</v>
      </c>
      <c r="D140" s="33">
        <f t="shared" ca="1" si="4"/>
        <v>2.5463294510191574E-2</v>
      </c>
      <c r="E140" s="5"/>
      <c r="F140">
        <v>5086003.5980000002</v>
      </c>
    </row>
    <row r="141" spans="1:6" x14ac:dyDescent="0.2">
      <c r="A141" s="5">
        <v>111</v>
      </c>
      <c r="B141" s="18">
        <f t="shared" ca="1" si="5"/>
        <v>3072573.5078836512</v>
      </c>
      <c r="C141" s="32">
        <f t="shared" ca="1" si="6"/>
        <v>-1.3339857520019092</v>
      </c>
      <c r="D141" s="33">
        <f t="shared" ca="1" si="4"/>
        <v>-5.0293073609126354E-2</v>
      </c>
      <c r="E141" s="5"/>
      <c r="F141">
        <v>7985188.1331000002</v>
      </c>
    </row>
    <row r="142" spans="1:6" x14ac:dyDescent="0.2">
      <c r="A142" s="5">
        <v>112</v>
      </c>
      <c r="B142" s="18">
        <f t="shared" ca="1" si="5"/>
        <v>3033439.5671914215</v>
      </c>
      <c r="C142" s="32">
        <f t="shared" ca="1" si="6"/>
        <v>-0.38082506669548377</v>
      </c>
      <c r="D142" s="33">
        <f t="shared" ca="1" si="4"/>
        <v>-1.1380451577755121E-2</v>
      </c>
      <c r="E142" s="5"/>
      <c r="F142">
        <v>1626663.1514999999</v>
      </c>
    </row>
    <row r="143" spans="1:6" x14ac:dyDescent="0.2">
      <c r="A143" s="5">
        <v>113</v>
      </c>
      <c r="B143" s="18">
        <f t="shared" ca="1" si="5"/>
        <v>2963603.6546467282</v>
      </c>
      <c r="C143" s="32">
        <f t="shared" ca="1" si="6"/>
        <v>-0.63233848205657339</v>
      </c>
      <c r="D143" s="33">
        <f t="shared" ca="1" si="4"/>
        <v>-2.1648443762744357E-2</v>
      </c>
      <c r="E143" s="5"/>
      <c r="F143">
        <v>2219572.1694999998</v>
      </c>
    </row>
    <row r="144" spans="1:6" x14ac:dyDescent="0.2">
      <c r="A144" s="5">
        <v>114</v>
      </c>
      <c r="B144" s="18">
        <f t="shared" ca="1" si="5"/>
        <v>2922791.2362705963</v>
      </c>
      <c r="C144" s="32">
        <f t="shared" ca="1" si="6"/>
        <v>-0.40494802967764038</v>
      </c>
      <c r="D144" s="33">
        <f t="shared" ca="1" si="4"/>
        <v>-1.2365267417593969E-2</v>
      </c>
      <c r="E144" s="5"/>
      <c r="F144">
        <v>1089085.8022</v>
      </c>
    </row>
    <row r="145" spans="1:6" x14ac:dyDescent="0.2">
      <c r="A145" s="5">
        <v>115</v>
      </c>
      <c r="B145" s="18">
        <f t="shared" ca="1" si="5"/>
        <v>2814942.8523173947</v>
      </c>
      <c r="C145" s="32">
        <f t="shared" ca="1" si="6"/>
        <v>-0.97098250680875842</v>
      </c>
      <c r="D145" s="33">
        <f t="shared" ca="1" si="4"/>
        <v>-3.547352818083252E-2</v>
      </c>
      <c r="E145" s="5"/>
      <c r="F145">
        <v>39025855.5647</v>
      </c>
    </row>
    <row r="146" spans="1:6" x14ac:dyDescent="0.2">
      <c r="A146" s="5">
        <v>116</v>
      </c>
      <c r="B146" s="18">
        <f t="shared" ca="1" si="5"/>
        <v>2912581.1758145839</v>
      </c>
      <c r="C146" s="32">
        <f t="shared" ca="1" si="6"/>
        <v>0.78381835996622029</v>
      </c>
      <c r="D146" s="33">
        <f t="shared" ca="1" si="4"/>
        <v>3.6165917215706493E-2</v>
      </c>
      <c r="E146" s="5"/>
      <c r="F146">
        <v>870736.66579999996</v>
      </c>
    </row>
    <row r="147" spans="1:6" x14ac:dyDescent="0.2">
      <c r="A147" s="5">
        <v>117</v>
      </c>
      <c r="B147" s="18">
        <f t="shared" ca="1" si="5"/>
        <v>2943325.321029508</v>
      </c>
      <c r="C147" s="32">
        <f t="shared" ca="1" si="6"/>
        <v>0.19153893094155183</v>
      </c>
      <c r="D147" s="33">
        <f t="shared" ca="1" si="4"/>
        <v>1.1986210778083112E-2</v>
      </c>
      <c r="E147" s="5"/>
      <c r="F147">
        <v>-372386.85119999998</v>
      </c>
    </row>
    <row r="148" spans="1:6" x14ac:dyDescent="0.2">
      <c r="A148" s="5">
        <v>118</v>
      </c>
      <c r="B148" s="18">
        <f t="shared" ca="1" si="5"/>
        <v>2790882.5024379976</v>
      </c>
      <c r="C148" s="32">
        <f t="shared" ca="1" si="6"/>
        <v>-1.3360436194204033</v>
      </c>
      <c r="D148" s="33">
        <f t="shared" ca="1" si="4"/>
        <v>-5.0377085694686505E-2</v>
      </c>
      <c r="E148" s="5"/>
      <c r="F148">
        <v>-2235350.0858</v>
      </c>
    </row>
    <row r="149" spans="1:6" x14ac:dyDescent="0.2">
      <c r="A149" s="5">
        <v>119</v>
      </c>
      <c r="B149" s="18">
        <f t="shared" ca="1" si="5"/>
        <v>2775257.3986068857</v>
      </c>
      <c r="C149" s="32">
        <f t="shared" ca="1" si="6"/>
        <v>-0.2026299907498042</v>
      </c>
      <c r="D149" s="33">
        <f t="shared" ca="1" si="4"/>
        <v>-4.1056680653649277E-3</v>
      </c>
      <c r="E149" s="5"/>
      <c r="F149">
        <v>1115652.3315999999</v>
      </c>
    </row>
    <row r="150" spans="1:6" x14ac:dyDescent="0.2">
      <c r="A150" s="5">
        <v>120</v>
      </c>
      <c r="B150" s="18">
        <f t="shared" ca="1" si="5"/>
        <v>2907228.3788761743</v>
      </c>
      <c r="C150" s="32">
        <f t="shared" ca="1" si="6"/>
        <v>1.0995121307125397</v>
      </c>
      <c r="D150" s="33">
        <f t="shared" ca="1" si="4"/>
        <v>4.905406143743405E-2</v>
      </c>
      <c r="E150" s="5"/>
      <c r="F150">
        <v>36248919.545900002</v>
      </c>
    </row>
    <row r="151" spans="1:6" x14ac:dyDescent="0.2">
      <c r="A151" s="5">
        <v>121</v>
      </c>
      <c r="B151" s="18">
        <f t="shared" ca="1" si="5"/>
        <v>3171951.4109845944</v>
      </c>
      <c r="C151" s="32">
        <f t="shared" ca="1" si="6"/>
        <v>2.1634722207175328</v>
      </c>
      <c r="D151" s="33">
        <f t="shared" ca="1" si="4"/>
        <v>9.2490050224065673E-2</v>
      </c>
      <c r="E151" s="5"/>
      <c r="F151">
        <v>3036954.8665</v>
      </c>
    </row>
    <row r="152" spans="1:6" x14ac:dyDescent="0.2">
      <c r="A152" s="5">
        <v>122</v>
      </c>
      <c r="B152" s="18">
        <f t="shared" ca="1" si="5"/>
        <v>3295756.0047227927</v>
      </c>
      <c r="C152" s="32">
        <f t="shared" ca="1" si="6"/>
        <v>0.88617592071272322</v>
      </c>
      <c r="D152" s="33">
        <f t="shared" ca="1" si="4"/>
        <v>4.0344647134787574E-2</v>
      </c>
      <c r="E152" s="5"/>
      <c r="F152">
        <v>4653474.3413000004</v>
      </c>
    </row>
    <row r="153" spans="1:6" x14ac:dyDescent="0.2">
      <c r="A153" s="5">
        <v>123</v>
      </c>
      <c r="B153" s="18">
        <f t="shared" ca="1" si="5"/>
        <v>3292255.1603099983</v>
      </c>
      <c r="C153" s="32">
        <f t="shared" ca="1" si="6"/>
        <v>-9.7113512167192287E-2</v>
      </c>
      <c r="D153" s="33">
        <f t="shared" ca="1" si="4"/>
        <v>2.0202413434688548E-4</v>
      </c>
      <c r="E153" s="5"/>
      <c r="F153">
        <v>571196.42590000003</v>
      </c>
    </row>
    <row r="154" spans="1:6" x14ac:dyDescent="0.2">
      <c r="A154" s="5">
        <v>124</v>
      </c>
      <c r="B154" s="18">
        <f t="shared" ca="1" si="5"/>
        <v>3390536.6482782965</v>
      </c>
      <c r="C154" s="32">
        <f t="shared" ca="1" si="6"/>
        <v>0.66016834916513689</v>
      </c>
      <c r="D154" s="33">
        <f t="shared" ca="1" si="4"/>
        <v>3.1117926663168441E-2</v>
      </c>
      <c r="E154" s="5"/>
      <c r="F154">
        <v>22119233.8884</v>
      </c>
    </row>
    <row r="155" spans="1:6" x14ac:dyDescent="0.2">
      <c r="A155" s="5">
        <v>125</v>
      </c>
      <c r="B155" s="18">
        <f t="shared" ca="1" si="5"/>
        <v>3341493.4952238705</v>
      </c>
      <c r="C155" s="32">
        <f t="shared" ca="1" si="6"/>
        <v>-0.42627179072883431</v>
      </c>
      <c r="D155" s="33">
        <f t="shared" ca="1" si="4"/>
        <v>-1.3235806317134953E-2</v>
      </c>
      <c r="E155" s="5"/>
      <c r="F155">
        <v>5085998.6035000002</v>
      </c>
    </row>
    <row r="156" spans="1:6" x14ac:dyDescent="0.2">
      <c r="A156" s="5">
        <v>126</v>
      </c>
      <c r="B156" s="18">
        <f t="shared" ca="1" si="5"/>
        <v>3354095.6995187094</v>
      </c>
      <c r="C156" s="32">
        <f t="shared" ca="1" si="6"/>
        <v>2.0862534231158997E-2</v>
      </c>
      <c r="D156" s="33">
        <f t="shared" ca="1" si="4"/>
        <v>5.0183760601281149E-3</v>
      </c>
      <c r="E156" s="5"/>
      <c r="F156">
        <v>2880960.8283000002</v>
      </c>
    </row>
    <row r="157" spans="1:6" x14ac:dyDescent="0.2">
      <c r="A157" s="5">
        <v>127</v>
      </c>
      <c r="B157" s="18">
        <f t="shared" ca="1" si="5"/>
        <v>3303412.9134891778</v>
      </c>
      <c r="C157" s="32">
        <f t="shared" ca="1" si="6"/>
        <v>-0.44176841215113494</v>
      </c>
      <c r="D157" s="33">
        <f t="shared" ca="1" si="4"/>
        <v>-1.3868453237496945E-2</v>
      </c>
      <c r="E157" s="5"/>
      <c r="F157">
        <v>7794567.8876999998</v>
      </c>
    </row>
    <row r="158" spans="1:6" x14ac:dyDescent="0.2">
      <c r="A158" s="5">
        <v>128</v>
      </c>
      <c r="B158" s="18">
        <f t="shared" ca="1" si="5"/>
        <v>3168106.4535462153</v>
      </c>
      <c r="C158" s="32">
        <f t="shared" ca="1" si="6"/>
        <v>-1.0744672393733468</v>
      </c>
      <c r="D158" s="33">
        <f t="shared" ca="1" si="4"/>
        <v>-3.9698274696692848E-2</v>
      </c>
      <c r="E158" s="5"/>
      <c r="F158">
        <v>7042496.2780999998</v>
      </c>
    </row>
    <row r="159" spans="1:6" x14ac:dyDescent="0.2">
      <c r="A159" s="5">
        <v>129</v>
      </c>
      <c r="B159" s="18">
        <f t="shared" ca="1" si="5"/>
        <v>3313895.4054241767</v>
      </c>
      <c r="C159" s="32">
        <f t="shared" ca="1" si="6"/>
        <v>1.0573520912819014</v>
      </c>
      <c r="D159" s="33">
        <f t="shared" ca="1" si="4"/>
        <v>4.7332885035089339E-2</v>
      </c>
      <c r="E159" s="5"/>
      <c r="F159">
        <v>901803.6226</v>
      </c>
    </row>
    <row r="160" spans="1:6" x14ac:dyDescent="0.2">
      <c r="A160" s="5">
        <v>130</v>
      </c>
      <c r="B160" s="18">
        <f t="shared" ca="1" si="5"/>
        <v>3112283.7700445824</v>
      </c>
      <c r="C160" s="32">
        <f t="shared" ca="1" si="6"/>
        <v>-1.5614908307923472</v>
      </c>
      <c r="D160" s="33">
        <f t="shared" ref="D160:D223" ca="1" si="7">$D$20+(C160*$D$21)</f>
        <v>-5.9580929557930637E-2</v>
      </c>
      <c r="E160" s="5"/>
      <c r="F160">
        <v>-131833.0551</v>
      </c>
    </row>
    <row r="161" spans="1:6" x14ac:dyDescent="0.2">
      <c r="A161" s="5">
        <v>131</v>
      </c>
      <c r="B161" s="18">
        <f t="shared" ref="B161:B224" ca="1" si="8">(B160*(1+D161))+$C$13</f>
        <v>3082852.2040450014</v>
      </c>
      <c r="C161" s="32">
        <f t="shared" ref="C161:C224" ca="1" si="9">NORMSINV(RAND())</f>
        <v>-0.30090676783325759</v>
      </c>
      <c r="D161" s="33">
        <f t="shared" ca="1" si="7"/>
        <v>-8.1178006890267294E-3</v>
      </c>
      <c r="E161" s="5"/>
      <c r="F161">
        <v>5583093.1051000003</v>
      </c>
    </row>
    <row r="162" spans="1:6" x14ac:dyDescent="0.2">
      <c r="A162" s="5">
        <v>132</v>
      </c>
      <c r="B162" s="18">
        <f t="shared" ca="1" si="8"/>
        <v>3436763.5001576119</v>
      </c>
      <c r="C162" s="32">
        <f t="shared" ca="1" si="9"/>
        <v>2.743057442986125</v>
      </c>
      <c r="D162" s="33">
        <f t="shared" ca="1" si="7"/>
        <v>0.11615151784099277</v>
      </c>
      <c r="E162" s="5"/>
      <c r="F162">
        <v>129909.92570000001</v>
      </c>
    </row>
    <row r="163" spans="1:6" x14ac:dyDescent="0.2">
      <c r="A163" s="5">
        <v>133</v>
      </c>
      <c r="B163" s="18">
        <f t="shared" ca="1" si="8"/>
        <v>3204730.5454836534</v>
      </c>
      <c r="C163" s="32">
        <f t="shared" ca="1" si="9"/>
        <v>-1.7261369767353263</v>
      </c>
      <c r="D163" s="33">
        <f t="shared" ca="1" si="7"/>
        <v>-6.6302580319199125E-2</v>
      </c>
      <c r="E163" s="5"/>
      <c r="F163">
        <v>3271780.5850999998</v>
      </c>
    </row>
    <row r="164" spans="1:6" x14ac:dyDescent="0.2">
      <c r="A164" s="5">
        <v>134</v>
      </c>
      <c r="B164" s="18">
        <f t="shared" ca="1" si="8"/>
        <v>3383188.0155516169</v>
      </c>
      <c r="C164" s="32">
        <f t="shared" ca="1" si="9"/>
        <v>1.2937992747491933</v>
      </c>
      <c r="D164" s="33">
        <f t="shared" ca="1" si="7"/>
        <v>5.6985800878641066E-2</v>
      </c>
      <c r="E164" s="5"/>
      <c r="F164">
        <v>67411.837899999999</v>
      </c>
    </row>
    <row r="165" spans="1:6" x14ac:dyDescent="0.2">
      <c r="A165" s="5">
        <v>135</v>
      </c>
      <c r="B165" s="18">
        <f t="shared" ca="1" si="8"/>
        <v>3364193.5206527966</v>
      </c>
      <c r="C165" s="32">
        <f t="shared" ca="1" si="9"/>
        <v>-0.20941824967575554</v>
      </c>
      <c r="D165" s="33">
        <f t="shared" ca="1" si="7"/>
        <v>-4.3827975755394979E-3</v>
      </c>
      <c r="E165" s="5"/>
      <c r="F165">
        <v>6462254.9696000004</v>
      </c>
    </row>
    <row r="166" spans="1:6" x14ac:dyDescent="0.2">
      <c r="A166" s="5">
        <v>136</v>
      </c>
      <c r="B166" s="18">
        <f t="shared" ca="1" si="8"/>
        <v>3596795.6540709157</v>
      </c>
      <c r="C166" s="32">
        <f t="shared" ca="1" si="9"/>
        <v>1.6218659465612022</v>
      </c>
      <c r="D166" s="33">
        <f t="shared" ca="1" si="7"/>
        <v>7.0379066671183252E-2</v>
      </c>
      <c r="E166" s="5"/>
      <c r="F166">
        <v>-569446.14729999995</v>
      </c>
    </row>
    <row r="167" spans="1:6" x14ac:dyDescent="0.2">
      <c r="A167" s="5">
        <v>137</v>
      </c>
      <c r="B167" s="18">
        <f t="shared" ca="1" si="8"/>
        <v>3643367.235155527</v>
      </c>
      <c r="C167" s="32">
        <f t="shared" ca="1" si="9"/>
        <v>0.24347553748674169</v>
      </c>
      <c r="D167" s="33">
        <f t="shared" ca="1" si="7"/>
        <v>1.4106513861539917E-2</v>
      </c>
      <c r="E167" s="5"/>
      <c r="F167">
        <v>842287.58700000006</v>
      </c>
    </row>
    <row r="168" spans="1:6" x14ac:dyDescent="0.2">
      <c r="A168" s="5">
        <v>138</v>
      </c>
      <c r="B168" s="18">
        <f t="shared" ca="1" si="8"/>
        <v>3793000.1629569004</v>
      </c>
      <c r="C168" s="32">
        <f t="shared" ca="1" si="9"/>
        <v>0.93195537547033624</v>
      </c>
      <c r="D168" s="33">
        <f t="shared" ca="1" si="7"/>
        <v>4.2213585549103906E-2</v>
      </c>
      <c r="E168" s="5"/>
      <c r="F168">
        <v>-166031.12270000001</v>
      </c>
    </row>
    <row r="169" spans="1:6" x14ac:dyDescent="0.2">
      <c r="A169" s="5">
        <v>139</v>
      </c>
      <c r="B169" s="18">
        <f t="shared" ca="1" si="8"/>
        <v>3934914.026383773</v>
      </c>
      <c r="C169" s="32">
        <f t="shared" ca="1" si="9"/>
        <v>0.84131452825796249</v>
      </c>
      <c r="D169" s="33">
        <f t="shared" ca="1" si="7"/>
        <v>3.8513188457039126E-2</v>
      </c>
      <c r="E169" s="5"/>
      <c r="F169">
        <v>-2624425.3798000002</v>
      </c>
    </row>
    <row r="170" spans="1:6" x14ac:dyDescent="0.2">
      <c r="A170" s="5">
        <v>140</v>
      </c>
      <c r="B170" s="18">
        <f t="shared" ca="1" si="8"/>
        <v>3837071.4380479218</v>
      </c>
      <c r="C170" s="32">
        <f t="shared" ca="1" si="9"/>
        <v>-0.68519605657571991</v>
      </c>
      <c r="D170" s="33">
        <f t="shared" ca="1" si="7"/>
        <v>-2.3806345206295137E-2</v>
      </c>
      <c r="E170" s="5"/>
      <c r="F170">
        <v>4188809.6521999999</v>
      </c>
    </row>
    <row r="171" spans="1:6" x14ac:dyDescent="0.2">
      <c r="A171" s="5">
        <v>141</v>
      </c>
      <c r="B171" s="18">
        <f t="shared" ca="1" si="8"/>
        <v>3627150.0728232525</v>
      </c>
      <c r="C171" s="32">
        <f t="shared" ca="1" si="9"/>
        <v>-1.41554823461371</v>
      </c>
      <c r="D171" s="33">
        <f t="shared" ca="1" si="7"/>
        <v>-5.362284801835198E-2</v>
      </c>
      <c r="E171" s="5"/>
      <c r="F171">
        <v>23695.363399999998</v>
      </c>
    </row>
    <row r="172" spans="1:6" x14ac:dyDescent="0.2">
      <c r="A172" s="5">
        <v>142</v>
      </c>
      <c r="B172" s="18">
        <f t="shared" ca="1" si="8"/>
        <v>3767345.1683784542</v>
      </c>
      <c r="C172" s="32">
        <f t="shared" ca="1" si="9"/>
        <v>0.87284287676025174</v>
      </c>
      <c r="D172" s="33">
        <f t="shared" ca="1" si="7"/>
        <v>3.9800327894759971E-2</v>
      </c>
      <c r="E172" s="5"/>
      <c r="F172">
        <v>-177301.92449999999</v>
      </c>
    </row>
    <row r="173" spans="1:6" x14ac:dyDescent="0.2">
      <c r="A173" s="5">
        <v>143</v>
      </c>
      <c r="B173" s="18">
        <f t="shared" ca="1" si="8"/>
        <v>3625829.2459604135</v>
      </c>
      <c r="C173" s="32">
        <f t="shared" ca="1" si="9"/>
        <v>-0.99509304829028511</v>
      </c>
      <c r="D173" s="33">
        <f t="shared" ca="1" si="7"/>
        <v>-3.6457836915031655E-2</v>
      </c>
      <c r="E173" s="5"/>
      <c r="F173">
        <v>342316.43540000002</v>
      </c>
    </row>
    <row r="174" spans="1:6" x14ac:dyDescent="0.2">
      <c r="A174" s="5">
        <v>144</v>
      </c>
      <c r="B174" s="18">
        <f t="shared" ca="1" si="8"/>
        <v>3805300.8668502024</v>
      </c>
      <c r="C174" s="32">
        <f t="shared" ca="1" si="9"/>
        <v>1.138537170310203</v>
      </c>
      <c r="D174" s="33">
        <f t="shared" ca="1" si="7"/>
        <v>5.0647252007537114E-2</v>
      </c>
      <c r="E174" s="5"/>
      <c r="F174">
        <v>8560180.6861000005</v>
      </c>
    </row>
    <row r="175" spans="1:6" x14ac:dyDescent="0.2">
      <c r="A175" s="5">
        <v>145</v>
      </c>
      <c r="B175" s="18">
        <f t="shared" ca="1" si="8"/>
        <v>3671393.525504285</v>
      </c>
      <c r="C175" s="32">
        <f t="shared" ca="1" si="9"/>
        <v>-0.93720878760265347</v>
      </c>
      <c r="D175" s="33">
        <f t="shared" ca="1" si="7"/>
        <v>-3.4094721867982632E-2</v>
      </c>
      <c r="E175" s="5"/>
      <c r="F175">
        <v>6051758.6572000002</v>
      </c>
    </row>
    <row r="176" spans="1:6" x14ac:dyDescent="0.2">
      <c r="A176" s="5">
        <v>146</v>
      </c>
      <c r="B176" s="18">
        <f t="shared" ca="1" si="8"/>
        <v>3547761.9781072633</v>
      </c>
      <c r="C176" s="32">
        <f t="shared" ca="1" si="9"/>
        <v>-0.89911092597097753</v>
      </c>
      <c r="D176" s="33">
        <f t="shared" ca="1" si="7"/>
        <v>-3.2539383179836581E-2</v>
      </c>
      <c r="E176" s="5"/>
      <c r="F176">
        <v>3968960.5419000001</v>
      </c>
    </row>
    <row r="177" spans="1:6" x14ac:dyDescent="0.2">
      <c r="A177" s="5">
        <v>147</v>
      </c>
      <c r="B177" s="18">
        <f t="shared" ca="1" si="8"/>
        <v>3587445.6367253102</v>
      </c>
      <c r="C177" s="32">
        <f t="shared" ca="1" si="9"/>
        <v>0.20069477146046821</v>
      </c>
      <c r="D177" s="33">
        <f t="shared" ca="1" si="7"/>
        <v>1.2359996402043851E-2</v>
      </c>
      <c r="E177" s="5"/>
      <c r="F177">
        <v>7953036.7958000004</v>
      </c>
    </row>
    <row r="178" spans="1:6" x14ac:dyDescent="0.2">
      <c r="A178" s="5">
        <v>148</v>
      </c>
      <c r="B178" s="18">
        <f t="shared" ca="1" si="8"/>
        <v>3712285.6231557829</v>
      </c>
      <c r="C178" s="32">
        <f t="shared" ca="1" si="9"/>
        <v>0.77878883220967976</v>
      </c>
      <c r="D178" s="33">
        <f t="shared" ca="1" si="7"/>
        <v>3.596058760486167E-2</v>
      </c>
      <c r="E178" s="5"/>
      <c r="F178">
        <v>2020698.7577</v>
      </c>
    </row>
    <row r="179" spans="1:6" x14ac:dyDescent="0.2">
      <c r="A179" s="5">
        <v>149</v>
      </c>
      <c r="B179" s="18">
        <f t="shared" ca="1" si="8"/>
        <v>3518091.3071118523</v>
      </c>
      <c r="C179" s="32">
        <f t="shared" ca="1" si="9"/>
        <v>-1.3559278179976839</v>
      </c>
      <c r="D179" s="33">
        <f t="shared" ca="1" si="7"/>
        <v>-5.1188854702328382E-2</v>
      </c>
      <c r="E179" s="5"/>
      <c r="F179">
        <v>15085168.9198</v>
      </c>
    </row>
    <row r="180" spans="1:6" x14ac:dyDescent="0.2">
      <c r="A180" s="5">
        <v>150</v>
      </c>
      <c r="B180" s="18">
        <f t="shared" ca="1" si="8"/>
        <v>3308762.4475498158</v>
      </c>
      <c r="C180" s="32">
        <f t="shared" ca="1" si="9"/>
        <v>-1.5305147284302654</v>
      </c>
      <c r="D180" s="33">
        <f t="shared" ca="1" si="7"/>
        <v>-5.8316335474475275E-2</v>
      </c>
      <c r="E180" s="5"/>
      <c r="F180">
        <v>-107678.3775</v>
      </c>
    </row>
    <row r="181" spans="1:6" x14ac:dyDescent="0.2">
      <c r="A181" s="5">
        <v>151</v>
      </c>
      <c r="B181" s="18">
        <f t="shared" ca="1" si="8"/>
        <v>3211969.1234735735</v>
      </c>
      <c r="C181" s="32">
        <f t="shared" ca="1" si="9"/>
        <v>-0.78778082949155082</v>
      </c>
      <c r="D181" s="33">
        <f t="shared" ca="1" si="7"/>
        <v>-2.7994351023346298E-2</v>
      </c>
      <c r="E181" s="5"/>
      <c r="F181">
        <v>37387.133999999998</v>
      </c>
    </row>
    <row r="182" spans="1:6" x14ac:dyDescent="0.2">
      <c r="A182" s="5">
        <v>152</v>
      </c>
      <c r="B182" s="18">
        <f t="shared" ca="1" si="8"/>
        <v>3108585.8183990312</v>
      </c>
      <c r="C182" s="32">
        <f t="shared" ca="1" si="9"/>
        <v>-0.85870115833262795</v>
      </c>
      <c r="D182" s="33">
        <f t="shared" ca="1" si="7"/>
        <v>-3.0889661324196765E-2</v>
      </c>
      <c r="E182" s="5"/>
      <c r="F182">
        <v>-238830.0907</v>
      </c>
    </row>
    <row r="183" spans="1:6" x14ac:dyDescent="0.2">
      <c r="A183" s="5">
        <v>153</v>
      </c>
      <c r="B183" s="18">
        <f t="shared" ca="1" si="8"/>
        <v>3041230.434800013</v>
      </c>
      <c r="C183" s="32">
        <f t="shared" ca="1" si="9"/>
        <v>-0.59997373736498449</v>
      </c>
      <c r="D183" s="33">
        <f t="shared" ca="1" si="7"/>
        <v>-2.0327158593580301E-2</v>
      </c>
      <c r="E183" s="5"/>
      <c r="F183">
        <v>2602470.0688</v>
      </c>
    </row>
    <row r="184" spans="1:6" x14ac:dyDescent="0.2">
      <c r="A184" s="5">
        <v>154</v>
      </c>
      <c r="B184" s="18">
        <f t="shared" ca="1" si="8"/>
        <v>3190344.7348237894</v>
      </c>
      <c r="C184" s="32">
        <f t="shared" ca="1" si="9"/>
        <v>1.1325045402123073</v>
      </c>
      <c r="D184" s="33">
        <f t="shared" ca="1" si="7"/>
        <v>5.0400970915090437E-2</v>
      </c>
      <c r="E184" s="5"/>
      <c r="F184">
        <v>-194340.05470000001</v>
      </c>
    </row>
    <row r="185" spans="1:6" x14ac:dyDescent="0.2">
      <c r="A185" s="5">
        <v>155</v>
      </c>
      <c r="B185" s="18">
        <f t="shared" ca="1" si="8"/>
        <v>3313514.8153704619</v>
      </c>
      <c r="C185" s="32">
        <f t="shared" ca="1" si="9"/>
        <v>0.87560674409162986</v>
      </c>
      <c r="D185" s="33">
        <f t="shared" ca="1" si="7"/>
        <v>3.9913162306070379E-2</v>
      </c>
      <c r="E185" s="5"/>
      <c r="F185">
        <v>-51568.964500000002</v>
      </c>
    </row>
    <row r="186" spans="1:6" x14ac:dyDescent="0.2">
      <c r="A186" s="5">
        <v>156</v>
      </c>
      <c r="B186" s="18">
        <f t="shared" ca="1" si="8"/>
        <v>3289247.4771321123</v>
      </c>
      <c r="C186" s="32">
        <f t="shared" ca="1" si="9"/>
        <v>-0.25065470485499358</v>
      </c>
      <c r="D186" s="33">
        <f t="shared" ca="1" si="7"/>
        <v>-6.066268808710861E-3</v>
      </c>
      <c r="E186" s="5"/>
      <c r="F186">
        <v>751196.70299999998</v>
      </c>
    </row>
    <row r="187" spans="1:6" x14ac:dyDescent="0.2">
      <c r="A187" s="5">
        <v>157</v>
      </c>
      <c r="B187" s="18">
        <f t="shared" ca="1" si="8"/>
        <v>3447096.5345652965</v>
      </c>
      <c r="C187" s="32">
        <f t="shared" ca="1" si="9"/>
        <v>1.1044626936451343</v>
      </c>
      <c r="D187" s="33">
        <f t="shared" ca="1" si="7"/>
        <v>4.9256167322840605E-2</v>
      </c>
      <c r="E187" s="5"/>
      <c r="F187">
        <v>-1504990.7519</v>
      </c>
    </row>
    <row r="188" spans="1:6" x14ac:dyDescent="0.2">
      <c r="A188" s="5">
        <v>158</v>
      </c>
      <c r="B188" s="18">
        <f t="shared" ca="1" si="8"/>
        <v>3389165.5954209706</v>
      </c>
      <c r="C188" s="32">
        <f t="shared" ca="1" si="9"/>
        <v>-0.48410833282850085</v>
      </c>
      <c r="D188" s="33">
        <f t="shared" ca="1" si="7"/>
        <v>-1.5596973260987964E-2</v>
      </c>
      <c r="E188" s="5"/>
      <c r="F188">
        <v>531018.34970000002</v>
      </c>
    </row>
    <row r="189" spans="1:6" x14ac:dyDescent="0.2">
      <c r="A189" s="5">
        <v>159</v>
      </c>
      <c r="B189" s="18">
        <f t="shared" ca="1" si="8"/>
        <v>3406406.0945679299</v>
      </c>
      <c r="C189" s="32">
        <f t="shared" ca="1" si="9"/>
        <v>5.2656342894273303E-2</v>
      </c>
      <c r="D189" s="33">
        <f t="shared" ca="1" si="7"/>
        <v>6.3163528635332726E-3</v>
      </c>
      <c r="E189" s="5"/>
      <c r="F189">
        <v>-580593.10660000006</v>
      </c>
    </row>
    <row r="190" spans="1:6" x14ac:dyDescent="0.2">
      <c r="A190" s="5">
        <v>160</v>
      </c>
      <c r="B190" s="18">
        <f t="shared" ca="1" si="8"/>
        <v>3409751.8321928321</v>
      </c>
      <c r="C190" s="32">
        <f t="shared" ca="1" si="9"/>
        <v>-4.8041627768884376E-2</v>
      </c>
      <c r="D190" s="33">
        <f t="shared" ca="1" si="7"/>
        <v>2.2053754258918369E-3</v>
      </c>
      <c r="E190" s="5"/>
      <c r="F190">
        <v>-1206898.4528000001</v>
      </c>
    </row>
    <row r="191" spans="1:6" x14ac:dyDescent="0.2">
      <c r="A191" s="5">
        <v>161</v>
      </c>
      <c r="B191" s="18">
        <f t="shared" ca="1" si="8"/>
        <v>3372895.3172276751</v>
      </c>
      <c r="C191" s="32">
        <f t="shared" ca="1" si="9"/>
        <v>-0.33689865909210004</v>
      </c>
      <c r="D191" s="33">
        <f t="shared" ca="1" si="7"/>
        <v>-9.5871634967250978E-3</v>
      </c>
      <c r="E191" s="5"/>
      <c r="F191">
        <v>6040372.0420000004</v>
      </c>
    </row>
    <row r="192" spans="1:6" x14ac:dyDescent="0.2">
      <c r="A192" s="5">
        <v>162</v>
      </c>
      <c r="B192" s="18">
        <f t="shared" ca="1" si="8"/>
        <v>3183019.4177678386</v>
      </c>
      <c r="C192" s="32">
        <f t="shared" ca="1" si="9"/>
        <v>-1.4507338162765393</v>
      </c>
      <c r="D192" s="33">
        <f t="shared" ca="1" si="7"/>
        <v>-5.5059293374634652E-2</v>
      </c>
      <c r="E192" s="5"/>
      <c r="F192">
        <v>1491671.0323000001</v>
      </c>
    </row>
    <row r="193" spans="1:6" x14ac:dyDescent="0.2">
      <c r="A193" s="5">
        <v>163</v>
      </c>
      <c r="B193" s="18">
        <f t="shared" ca="1" si="8"/>
        <v>3469261.4978620131</v>
      </c>
      <c r="C193" s="32">
        <f t="shared" ca="1" si="9"/>
        <v>2.1327758376850929</v>
      </c>
      <c r="D193" s="33">
        <f t="shared" ca="1" si="7"/>
        <v>9.1236875634423925E-2</v>
      </c>
      <c r="E193" s="5"/>
      <c r="F193">
        <v>-1167757.6262999999</v>
      </c>
    </row>
    <row r="194" spans="1:6" x14ac:dyDescent="0.2">
      <c r="A194" s="5">
        <v>164</v>
      </c>
      <c r="B194" s="18">
        <f t="shared" ca="1" si="8"/>
        <v>3274781.1940727206</v>
      </c>
      <c r="C194" s="32">
        <f t="shared" ca="1" si="9"/>
        <v>-1.4457811965013154</v>
      </c>
      <c r="D194" s="33">
        <f t="shared" ca="1" si="7"/>
        <v>-5.4857103518979385E-2</v>
      </c>
      <c r="E194" s="5"/>
      <c r="F194">
        <v>1364377.4369000001</v>
      </c>
    </row>
    <row r="195" spans="1:6" x14ac:dyDescent="0.2">
      <c r="A195" s="5">
        <v>165</v>
      </c>
      <c r="B195" s="18">
        <f t="shared" ca="1" si="8"/>
        <v>3168433.6533042602</v>
      </c>
      <c r="C195" s="32">
        <f t="shared" ca="1" si="9"/>
        <v>-0.86636047360221913</v>
      </c>
      <c r="D195" s="33">
        <f t="shared" ca="1" si="7"/>
        <v>-3.1202351560690206E-2</v>
      </c>
      <c r="E195" s="5"/>
      <c r="F195">
        <v>272329.05119999999</v>
      </c>
    </row>
    <row r="196" spans="1:6" x14ac:dyDescent="0.2">
      <c r="A196" s="5">
        <v>166</v>
      </c>
      <c r="B196" s="18">
        <f t="shared" ca="1" si="8"/>
        <v>3111902.3640281046</v>
      </c>
      <c r="C196" s="32">
        <f t="shared" ca="1" si="9"/>
        <v>-0.50688862100491616</v>
      </c>
      <c r="D196" s="33">
        <f t="shared" ca="1" si="7"/>
        <v>-1.6526974631417536E-2</v>
      </c>
      <c r="E196" s="5"/>
      <c r="F196">
        <v>-208010.8112</v>
      </c>
    </row>
    <row r="197" spans="1:6" x14ac:dyDescent="0.2">
      <c r="A197" s="5">
        <v>167</v>
      </c>
      <c r="B197" s="18">
        <f t="shared" ca="1" si="8"/>
        <v>3022433.0671359664</v>
      </c>
      <c r="C197" s="32">
        <f t="shared" ca="1" si="9"/>
        <v>-0.77350960961148119</v>
      </c>
      <c r="D197" s="33">
        <f t="shared" ca="1" si="7"/>
        <v>-2.7411730911459063E-2</v>
      </c>
      <c r="E197" s="5"/>
      <c r="F197">
        <v>685047.11910000001</v>
      </c>
    </row>
    <row r="198" spans="1:6" x14ac:dyDescent="0.2">
      <c r="A198" s="5">
        <v>168</v>
      </c>
      <c r="B198" s="18">
        <f t="shared" ca="1" si="8"/>
        <v>3187111.1743464898</v>
      </c>
      <c r="C198" s="32">
        <f t="shared" ca="1" si="9"/>
        <v>1.2663174168482292</v>
      </c>
      <c r="D198" s="33">
        <f t="shared" ca="1" si="7"/>
        <v>5.5863858727957127E-2</v>
      </c>
      <c r="E198" s="5"/>
      <c r="F198">
        <v>1919041.7154000001</v>
      </c>
    </row>
    <row r="199" spans="1:6" x14ac:dyDescent="0.2">
      <c r="A199" s="5">
        <v>169</v>
      </c>
      <c r="B199" s="18">
        <f t="shared" ca="1" si="8"/>
        <v>2961415.7766293022</v>
      </c>
      <c r="C199" s="32">
        <f t="shared" ca="1" si="9"/>
        <v>-1.8046457753990688</v>
      </c>
      <c r="D199" s="33">
        <f t="shared" ca="1" si="7"/>
        <v>-6.9507688603283574E-2</v>
      </c>
      <c r="E199" s="5"/>
      <c r="F199">
        <v>664652.91500000004</v>
      </c>
    </row>
    <row r="200" spans="1:6" x14ac:dyDescent="0.2">
      <c r="A200" s="5">
        <v>170</v>
      </c>
      <c r="B200" s="18">
        <f t="shared" ca="1" si="8"/>
        <v>2992267.6245919396</v>
      </c>
      <c r="C200" s="32">
        <f t="shared" ca="1" si="9"/>
        <v>0.18758821245685375</v>
      </c>
      <c r="D200" s="33">
        <f t="shared" ca="1" si="7"/>
        <v>1.1824923371334915E-2</v>
      </c>
      <c r="E200" s="5"/>
      <c r="F200">
        <v>43105663.251000002</v>
      </c>
    </row>
    <row r="201" spans="1:6" x14ac:dyDescent="0.2">
      <c r="A201" s="5">
        <v>171</v>
      </c>
      <c r="B201" s="18">
        <f t="shared" ca="1" si="8"/>
        <v>3045241.4356154134</v>
      </c>
      <c r="C201" s="32">
        <f t="shared" ca="1" si="9"/>
        <v>0.36569359485651459</v>
      </c>
      <c r="D201" s="33">
        <f t="shared" ca="1" si="7"/>
        <v>1.9096045160042329E-2</v>
      </c>
      <c r="E201" s="5"/>
      <c r="F201">
        <v>14594683.6494</v>
      </c>
    </row>
    <row r="202" spans="1:6" x14ac:dyDescent="0.2">
      <c r="A202" s="5">
        <v>172</v>
      </c>
      <c r="B202" s="18">
        <f t="shared" ca="1" si="8"/>
        <v>3073999.6181096286</v>
      </c>
      <c r="C202" s="32">
        <f t="shared" ca="1" si="9"/>
        <v>0.16277433529257174</v>
      </c>
      <c r="D202" s="33">
        <f t="shared" ca="1" si="7"/>
        <v>1.0811901078125073E-2</v>
      </c>
      <c r="E202" s="5"/>
      <c r="F202">
        <v>-1621044.5094000001</v>
      </c>
    </row>
    <row r="203" spans="1:6" x14ac:dyDescent="0.2">
      <c r="A203" s="5">
        <v>173</v>
      </c>
      <c r="B203" s="18">
        <f t="shared" ca="1" si="8"/>
        <v>2956728.1785648223</v>
      </c>
      <c r="C203" s="32">
        <f t="shared" ca="1" si="9"/>
        <v>-1.0033275750339428</v>
      </c>
      <c r="D203" s="33">
        <f t="shared" ca="1" si="7"/>
        <v>-3.6794010061619378E-2</v>
      </c>
      <c r="E203" s="5"/>
      <c r="F203">
        <v>-120435.0536</v>
      </c>
    </row>
    <row r="204" spans="1:6" x14ac:dyDescent="0.2">
      <c r="A204" s="5">
        <v>174</v>
      </c>
      <c r="B204" s="18">
        <f t="shared" ca="1" si="8"/>
        <v>2728342.1841306761</v>
      </c>
      <c r="C204" s="32">
        <f t="shared" ca="1" si="9"/>
        <v>-1.9595982082737624</v>
      </c>
      <c r="D204" s="33">
        <f t="shared" ca="1" si="7"/>
        <v>-7.5833595185714586E-2</v>
      </c>
      <c r="E204" s="5"/>
      <c r="F204">
        <v>2880747.2253999999</v>
      </c>
    </row>
    <row r="205" spans="1:6" x14ac:dyDescent="0.2">
      <c r="A205" s="5">
        <v>175</v>
      </c>
      <c r="B205" s="18">
        <f t="shared" ca="1" si="8"/>
        <v>2766839.0225411486</v>
      </c>
      <c r="C205" s="32">
        <f t="shared" ca="1" si="9"/>
        <v>0.28096839433012866</v>
      </c>
      <c r="D205" s="33">
        <f t="shared" ca="1" si="7"/>
        <v>1.5637153332631826E-2</v>
      </c>
      <c r="E205" s="5"/>
      <c r="F205">
        <v>6523955.3042000001</v>
      </c>
    </row>
    <row r="206" spans="1:6" x14ac:dyDescent="0.2">
      <c r="A206" s="5">
        <v>176</v>
      </c>
      <c r="B206" s="18">
        <f t="shared" ca="1" si="8"/>
        <v>2807189.3351207445</v>
      </c>
      <c r="C206" s="32">
        <f t="shared" ca="1" si="9"/>
        <v>0.29204789603433179</v>
      </c>
      <c r="D206" s="33">
        <f t="shared" ca="1" si="7"/>
        <v>1.6089472095625064E-2</v>
      </c>
      <c r="E206" s="5"/>
      <c r="F206">
        <v>-244357.484</v>
      </c>
    </row>
    <row r="207" spans="1:6" x14ac:dyDescent="0.2">
      <c r="A207" s="5">
        <v>177</v>
      </c>
      <c r="B207" s="18">
        <f t="shared" ca="1" si="8"/>
        <v>2979837.3873074288</v>
      </c>
      <c r="C207" s="32">
        <f t="shared" ca="1" si="9"/>
        <v>1.4407830600075684</v>
      </c>
      <c r="D207" s="33">
        <f t="shared" ca="1" si="7"/>
        <v>6.298638878440499E-2</v>
      </c>
      <c r="E207" s="5"/>
      <c r="F207">
        <v>7210521.3925000001</v>
      </c>
    </row>
    <row r="208" spans="1:6" x14ac:dyDescent="0.2">
      <c r="A208" s="5">
        <v>178</v>
      </c>
      <c r="B208" s="18">
        <f t="shared" ca="1" si="8"/>
        <v>3080350.8777789683</v>
      </c>
      <c r="C208" s="32">
        <f t="shared" ca="1" si="9"/>
        <v>0.7584310948137517</v>
      </c>
      <c r="D208" s="33">
        <f t="shared" ca="1" si="7"/>
        <v>3.5129486455901686E-2</v>
      </c>
      <c r="E208" s="5"/>
      <c r="F208">
        <v>2112453.3034000001</v>
      </c>
    </row>
    <row r="209" spans="1:6" x14ac:dyDescent="0.2">
      <c r="A209" s="5">
        <v>179</v>
      </c>
      <c r="B209" s="18">
        <f t="shared" ca="1" si="8"/>
        <v>2715504.5279069263</v>
      </c>
      <c r="C209" s="32">
        <f t="shared" ca="1" si="9"/>
        <v>-2.9701807366782598</v>
      </c>
      <c r="D209" s="33">
        <f t="shared" ca="1" si="7"/>
        <v>-0.11709045414509303</v>
      </c>
      <c r="E209" s="5"/>
      <c r="F209">
        <v>1560196.9136999999</v>
      </c>
    </row>
    <row r="210" spans="1:6" x14ac:dyDescent="0.2">
      <c r="A210" s="5">
        <v>180</v>
      </c>
      <c r="B210" s="18">
        <f t="shared" ca="1" si="8"/>
        <v>2790285.3722189032</v>
      </c>
      <c r="C210" s="32">
        <f t="shared" ca="1" si="9"/>
        <v>0.61007490367368689</v>
      </c>
      <c r="D210" s="33">
        <f t="shared" ca="1" si="7"/>
        <v>2.9072870314635527E-2</v>
      </c>
      <c r="E210" s="5"/>
      <c r="F210">
        <v>-19925.854200000002</v>
      </c>
    </row>
    <row r="211" spans="1:6" x14ac:dyDescent="0.2">
      <c r="A211" s="5">
        <v>181</v>
      </c>
      <c r="B211" s="18">
        <f t="shared" ca="1" si="8"/>
        <v>2724911.658290714</v>
      </c>
      <c r="C211" s="32">
        <f t="shared" ca="1" si="9"/>
        <v>-0.63937641309835236</v>
      </c>
      <c r="D211" s="33">
        <f t="shared" ca="1" si="7"/>
        <v>-2.1935766094365237E-2</v>
      </c>
      <c r="E211" s="5"/>
      <c r="F211">
        <v>2662937.5863000001</v>
      </c>
    </row>
    <row r="212" spans="1:6" x14ac:dyDescent="0.2">
      <c r="A212" s="5">
        <v>182</v>
      </c>
      <c r="B212" s="18">
        <f t="shared" ca="1" si="8"/>
        <v>2770969.2177497311</v>
      </c>
      <c r="C212" s="32">
        <f t="shared" ca="1" si="9"/>
        <v>0.34941578120647987</v>
      </c>
      <c r="D212" s="33">
        <f t="shared" ca="1" si="7"/>
        <v>1.8431506200530728E-2</v>
      </c>
      <c r="E212" s="5"/>
      <c r="F212">
        <v>953320.36399999994</v>
      </c>
    </row>
    <row r="213" spans="1:6" x14ac:dyDescent="0.2">
      <c r="A213" s="5">
        <v>183</v>
      </c>
      <c r="B213" s="18">
        <f t="shared" ca="1" si="8"/>
        <v>2590290.3589635328</v>
      </c>
      <c r="C213" s="32">
        <f t="shared" ca="1" si="9"/>
        <v>-1.6623998825902118</v>
      </c>
      <c r="D213" s="33">
        <f t="shared" ca="1" si="7"/>
        <v>-6.3700524346811394E-2</v>
      </c>
      <c r="E213" s="5"/>
      <c r="F213">
        <v>188008.32449999999</v>
      </c>
    </row>
    <row r="214" spans="1:6" x14ac:dyDescent="0.2">
      <c r="A214" s="5">
        <v>184</v>
      </c>
      <c r="B214" s="18">
        <f t="shared" ca="1" si="8"/>
        <v>2608686.0288525093</v>
      </c>
      <c r="C214" s="32">
        <f t="shared" ca="1" si="9"/>
        <v>0.11129706596487079</v>
      </c>
      <c r="D214" s="33">
        <f t="shared" ca="1" si="7"/>
        <v>8.7103503580468963E-3</v>
      </c>
      <c r="E214" s="5"/>
      <c r="F214">
        <v>2922355.0617</v>
      </c>
    </row>
    <row r="215" spans="1:6" x14ac:dyDescent="0.2">
      <c r="A215" s="5">
        <v>185</v>
      </c>
      <c r="B215" s="18">
        <f t="shared" ca="1" si="8"/>
        <v>2757362.8016005247</v>
      </c>
      <c r="C215" s="32">
        <f t="shared" ca="1" si="9"/>
        <v>1.3330988971487572</v>
      </c>
      <c r="D215" s="33">
        <f t="shared" ca="1" si="7"/>
        <v>5.8590201244690797E-2</v>
      </c>
      <c r="E215" s="5"/>
      <c r="F215">
        <v>-171532.12049999999</v>
      </c>
    </row>
    <row r="216" spans="1:6" x14ac:dyDescent="0.2">
      <c r="A216" s="5">
        <v>186</v>
      </c>
      <c r="B216" s="18">
        <f t="shared" ca="1" si="8"/>
        <v>2829330.7195557212</v>
      </c>
      <c r="C216" s="32">
        <f t="shared" ca="1" si="9"/>
        <v>0.57427578177904615</v>
      </c>
      <c r="D216" s="33">
        <f t="shared" ca="1" si="7"/>
        <v>2.7611377283276072E-2</v>
      </c>
      <c r="E216" s="5"/>
      <c r="F216">
        <v>-1027803.1014</v>
      </c>
    </row>
    <row r="217" spans="1:6" x14ac:dyDescent="0.2">
      <c r="A217" s="5">
        <v>187</v>
      </c>
      <c r="B217" s="18">
        <f t="shared" ca="1" si="8"/>
        <v>2868881.9763926221</v>
      </c>
      <c r="C217" s="32">
        <f t="shared" ca="1" si="9"/>
        <v>0.27642533593478963</v>
      </c>
      <c r="D217" s="33">
        <f t="shared" ca="1" si="7"/>
        <v>1.5451683750294359E-2</v>
      </c>
      <c r="E217" s="5"/>
      <c r="F217">
        <v>-1622822.8089000001</v>
      </c>
    </row>
    <row r="218" spans="1:6" x14ac:dyDescent="0.2">
      <c r="A218" s="5">
        <v>188</v>
      </c>
      <c r="B218" s="18">
        <f t="shared" ca="1" si="8"/>
        <v>2948211.8818197907</v>
      </c>
      <c r="C218" s="32">
        <f t="shared" ca="1" si="9"/>
        <v>0.61084281013761677</v>
      </c>
      <c r="D218" s="33">
        <f t="shared" ca="1" si="7"/>
        <v>2.9104219964749076E-2</v>
      </c>
      <c r="E218" s="5"/>
      <c r="F218">
        <v>29072887.975200001</v>
      </c>
    </row>
    <row r="219" spans="1:6" x14ac:dyDescent="0.2">
      <c r="A219" s="5">
        <v>189</v>
      </c>
      <c r="B219" s="18">
        <f t="shared" ca="1" si="8"/>
        <v>2958157.8668500143</v>
      </c>
      <c r="C219" s="32">
        <f t="shared" ca="1" si="9"/>
        <v>1.5191357465408581E-2</v>
      </c>
      <c r="D219" s="33">
        <f t="shared" ca="1" si="7"/>
        <v>4.7868512381745165E-3</v>
      </c>
      <c r="E219" s="5"/>
      <c r="F219">
        <v>17998964.385000002</v>
      </c>
    </row>
    <row r="220" spans="1:6" x14ac:dyDescent="0.2">
      <c r="A220" s="5">
        <v>190</v>
      </c>
      <c r="B220" s="18">
        <f t="shared" ca="1" si="8"/>
        <v>3310583.1954107331</v>
      </c>
      <c r="C220" s="32">
        <f t="shared" ca="1" si="9"/>
        <v>2.8506824190029953</v>
      </c>
      <c r="D220" s="33">
        <f t="shared" ca="1" si="7"/>
        <v>0.12054528908800292</v>
      </c>
      <c r="E220" s="5"/>
      <c r="F220">
        <v>15696676.347899999</v>
      </c>
    </row>
    <row r="221" spans="1:6" x14ac:dyDescent="0.2">
      <c r="A221" s="5">
        <v>191</v>
      </c>
      <c r="B221" s="18">
        <f t="shared" ca="1" si="8"/>
        <v>3238895.2328501809</v>
      </c>
      <c r="C221" s="32">
        <f t="shared" ca="1" si="9"/>
        <v>-0.60164994565530083</v>
      </c>
      <c r="D221" s="33">
        <f t="shared" ca="1" si="7"/>
        <v>-2.0395589510478603E-2</v>
      </c>
      <c r="E221" s="5"/>
      <c r="F221">
        <v>18758738.408100002</v>
      </c>
    </row>
    <row r="222" spans="1:6" x14ac:dyDescent="0.2">
      <c r="A222" s="5">
        <v>192</v>
      </c>
      <c r="B222" s="18">
        <f t="shared" ca="1" si="8"/>
        <v>3364499.2544514062</v>
      </c>
      <c r="C222" s="32">
        <f t="shared" ca="1" si="9"/>
        <v>0.87935889649142707</v>
      </c>
      <c r="D222" s="33">
        <f t="shared" ca="1" si="7"/>
        <v>4.0066343286348088E-2</v>
      </c>
      <c r="E222" s="5"/>
      <c r="F222">
        <v>64047.063399999999</v>
      </c>
    </row>
    <row r="223" spans="1:6" x14ac:dyDescent="0.2">
      <c r="A223" s="5">
        <v>193</v>
      </c>
      <c r="B223" s="18">
        <f t="shared" ca="1" si="8"/>
        <v>3346842.0508219819</v>
      </c>
      <c r="C223" s="32">
        <f t="shared" ca="1" si="9"/>
        <v>-0.20027856611404685</v>
      </c>
      <c r="D223" s="33">
        <f t="shared" ca="1" si="7"/>
        <v>-4.0096715565946734E-3</v>
      </c>
      <c r="E223" s="5"/>
      <c r="F223">
        <v>5590852.1505000005</v>
      </c>
    </row>
    <row r="224" spans="1:6" x14ac:dyDescent="0.2">
      <c r="A224" s="5">
        <v>194</v>
      </c>
      <c r="B224" s="18">
        <f t="shared" ca="1" si="8"/>
        <v>3271850.3212152431</v>
      </c>
      <c r="C224" s="32">
        <f t="shared" ca="1" si="9"/>
        <v>-0.62041717443821032</v>
      </c>
      <c r="D224" s="33">
        <f t="shared" ref="D224:D287" ca="1" si="10">$D$20+(C224*$D$21)</f>
        <v>-2.11617584172153E-2</v>
      </c>
      <c r="E224" s="5"/>
      <c r="F224">
        <v>-2013038.3511999999</v>
      </c>
    </row>
    <row r="225" spans="1:6" x14ac:dyDescent="0.2">
      <c r="A225" s="5">
        <v>195</v>
      </c>
      <c r="B225" s="18">
        <f t="shared" ref="B225:B288" ca="1" si="11">(B224*(1+D225))+$C$13</f>
        <v>3403163.573578164</v>
      </c>
      <c r="C225" s="32">
        <f t="shared" ref="C225:C288" ca="1" si="12">NORMSINV(RAND())</f>
        <v>0.912216208588567</v>
      </c>
      <c r="D225" s="33">
        <f t="shared" ca="1" si="10"/>
        <v>4.1407737435637582E-2</v>
      </c>
      <c r="E225" s="5"/>
      <c r="F225">
        <v>1062146.4044000001</v>
      </c>
    </row>
    <row r="226" spans="1:6" x14ac:dyDescent="0.2">
      <c r="A226" s="5">
        <v>196</v>
      </c>
      <c r="B226" s="18">
        <f t="shared" ca="1" si="11"/>
        <v>3159355.7279851683</v>
      </c>
      <c r="C226" s="32">
        <f t="shared" ca="1" si="12"/>
        <v>-1.8269236522529599</v>
      </c>
      <c r="D226" s="33">
        <f t="shared" ca="1" si="10"/>
        <v>-7.0417179117360132E-2</v>
      </c>
      <c r="E226" s="5"/>
      <c r="F226">
        <v>1228927.4253</v>
      </c>
    </row>
    <row r="227" spans="1:6" x14ac:dyDescent="0.2">
      <c r="A227" s="5">
        <v>197</v>
      </c>
      <c r="B227" s="18">
        <f t="shared" ca="1" si="11"/>
        <v>3070864.234573557</v>
      </c>
      <c r="C227" s="32">
        <f t="shared" ca="1" si="12"/>
        <v>-0.75584346337261066</v>
      </c>
      <c r="D227" s="33">
        <f t="shared" ca="1" si="10"/>
        <v>-2.6690513511348712E-2</v>
      </c>
      <c r="E227" s="5"/>
      <c r="F227">
        <v>3225224.0995999998</v>
      </c>
    </row>
    <row r="228" spans="1:6" x14ac:dyDescent="0.2">
      <c r="A228" s="5">
        <v>198</v>
      </c>
      <c r="B228" s="18">
        <f t="shared" ca="1" si="11"/>
        <v>3166639.3453660356</v>
      </c>
      <c r="C228" s="32">
        <f t="shared" ca="1" si="12"/>
        <v>0.69512835998448774</v>
      </c>
      <c r="D228" s="33">
        <f t="shared" ca="1" si="10"/>
        <v>3.254516312832826E-2</v>
      </c>
      <c r="E228" s="5"/>
      <c r="F228">
        <v>2246908.0764000001</v>
      </c>
    </row>
    <row r="229" spans="1:6" x14ac:dyDescent="0.2">
      <c r="A229" s="5">
        <v>199</v>
      </c>
      <c r="B229" s="18">
        <f t="shared" ca="1" si="11"/>
        <v>2954868.146199299</v>
      </c>
      <c r="C229" s="32">
        <f t="shared" ca="1" si="12"/>
        <v>-1.7079448949158251</v>
      </c>
      <c r="D229" s="33">
        <f t="shared" ca="1" si="10"/>
        <v>-6.5559891688920111E-2</v>
      </c>
      <c r="E229" s="5"/>
      <c r="F229">
        <v>-727535.36589999998</v>
      </c>
    </row>
    <row r="230" spans="1:6" x14ac:dyDescent="0.2">
      <c r="A230" s="5">
        <v>200</v>
      </c>
      <c r="B230" s="18">
        <f t="shared" ca="1" si="11"/>
        <v>2983725.0797361904</v>
      </c>
      <c r="C230" s="32">
        <f t="shared" ca="1" si="12"/>
        <v>0.17169284965504508</v>
      </c>
      <c r="D230" s="33">
        <f t="shared" ca="1" si="10"/>
        <v>1.1175997902320788E-2</v>
      </c>
      <c r="E230" s="5"/>
      <c r="F230">
        <v>9697667.8873999994</v>
      </c>
    </row>
    <row r="231" spans="1:6" x14ac:dyDescent="0.2">
      <c r="A231" s="5">
        <v>201</v>
      </c>
      <c r="B231" s="18">
        <f t="shared" ca="1" si="11"/>
        <v>3044900.2061006771</v>
      </c>
      <c r="C231" s="32">
        <f t="shared" ca="1" si="12"/>
        <v>0.43436151711711868</v>
      </c>
      <c r="D231" s="33">
        <f t="shared" ca="1" si="10"/>
        <v>2.1899401347302033E-2</v>
      </c>
      <c r="E231" s="5"/>
      <c r="F231">
        <v>1201559.0379999999</v>
      </c>
    </row>
    <row r="232" spans="1:6" x14ac:dyDescent="0.2">
      <c r="A232" s="5">
        <v>202</v>
      </c>
      <c r="B232" s="18">
        <f t="shared" ca="1" si="11"/>
        <v>3105000.6953653339</v>
      </c>
      <c r="C232" s="32">
        <f t="shared" ca="1" si="12"/>
        <v>0.41493923644571612</v>
      </c>
      <c r="D232" s="33">
        <f t="shared" ca="1" si="10"/>
        <v>2.1106490059201091E-2</v>
      </c>
      <c r="E232" s="5"/>
      <c r="F232">
        <v>5699972.3097999999</v>
      </c>
    </row>
    <row r="233" spans="1:6" x14ac:dyDescent="0.2">
      <c r="A233" s="5">
        <v>203</v>
      </c>
      <c r="B233" s="18">
        <f t="shared" ca="1" si="11"/>
        <v>3195130.3209297895</v>
      </c>
      <c r="C233" s="32">
        <f t="shared" ca="1" si="12"/>
        <v>0.64182761780305975</v>
      </c>
      <c r="D233" s="33">
        <f t="shared" ca="1" si="10"/>
        <v>3.0369169440725947E-2</v>
      </c>
      <c r="E233" s="5"/>
      <c r="F233">
        <v>38665099.430699997</v>
      </c>
    </row>
    <row r="234" spans="1:6" x14ac:dyDescent="0.2">
      <c r="A234" s="5">
        <v>204</v>
      </c>
      <c r="B234" s="18">
        <f t="shared" ca="1" si="11"/>
        <v>3073368.0727007501</v>
      </c>
      <c r="C234" s="32">
        <f t="shared" ca="1" si="12"/>
        <v>-1.0035876502951646</v>
      </c>
      <c r="D234" s="33">
        <f t="shared" ca="1" si="10"/>
        <v>-3.680462758969795E-2</v>
      </c>
      <c r="E234" s="5"/>
      <c r="F234">
        <v>1798022.3388</v>
      </c>
    </row>
    <row r="235" spans="1:6" x14ac:dyDescent="0.2">
      <c r="A235" s="5">
        <v>205</v>
      </c>
      <c r="B235" s="18">
        <f t="shared" ca="1" si="11"/>
        <v>3045640.3981570904</v>
      </c>
      <c r="C235" s="32">
        <f t="shared" ca="1" si="12"/>
        <v>-0.28984448513257971</v>
      </c>
      <c r="D235" s="33">
        <f t="shared" ca="1" si="10"/>
        <v>-7.6661848889087577E-3</v>
      </c>
      <c r="E235" s="5"/>
      <c r="F235">
        <v>6417708.9729000004</v>
      </c>
    </row>
    <row r="236" spans="1:6" x14ac:dyDescent="0.2">
      <c r="A236" s="5">
        <v>206</v>
      </c>
      <c r="B236" s="18">
        <f t="shared" ca="1" si="11"/>
        <v>3200155.0409238557</v>
      </c>
      <c r="C236" s="32">
        <f t="shared" ca="1" si="12"/>
        <v>1.1741497876673073</v>
      </c>
      <c r="D236" s="33">
        <f t="shared" ca="1" si="10"/>
        <v>5.2101131023035263E-2</v>
      </c>
      <c r="E236" s="5"/>
      <c r="F236">
        <v>4215219.1726000002</v>
      </c>
    </row>
    <row r="237" spans="1:6" x14ac:dyDescent="0.2">
      <c r="A237" s="5">
        <v>207</v>
      </c>
      <c r="B237" s="18">
        <f t="shared" ca="1" si="11"/>
        <v>3146283.4061161643</v>
      </c>
      <c r="C237" s="32">
        <f t="shared" ca="1" si="12"/>
        <v>-0.48251804449805374</v>
      </c>
      <c r="D237" s="33">
        <f t="shared" ca="1" si="10"/>
        <v>-1.5532050011762999E-2</v>
      </c>
      <c r="E237" s="5"/>
      <c r="F237">
        <v>-249147.55850000001</v>
      </c>
    </row>
    <row r="238" spans="1:6" x14ac:dyDescent="0.2">
      <c r="A238" s="5">
        <v>208</v>
      </c>
      <c r="B238" s="18">
        <f t="shared" ca="1" si="11"/>
        <v>3009218.3328476744</v>
      </c>
      <c r="C238" s="32">
        <f t="shared" ca="1" si="12"/>
        <v>-1.1367218339412792</v>
      </c>
      <c r="D238" s="33">
        <f t="shared" ca="1" si="10"/>
        <v>-4.223980787728078E-2</v>
      </c>
      <c r="E238" s="5"/>
      <c r="F238">
        <v>602219.70739999996</v>
      </c>
    </row>
    <row r="239" spans="1:6" x14ac:dyDescent="0.2">
      <c r="A239" s="5">
        <v>209</v>
      </c>
      <c r="B239" s="18">
        <f t="shared" ca="1" si="11"/>
        <v>2924062.1959753484</v>
      </c>
      <c r="C239" s="32">
        <f t="shared" ca="1" si="12"/>
        <v>-0.76131259750052538</v>
      </c>
      <c r="D239" s="33">
        <f t="shared" ca="1" si="10"/>
        <v>-2.6913789977152588E-2</v>
      </c>
      <c r="E239" s="5"/>
      <c r="F239">
        <v>24719.985199999999</v>
      </c>
    </row>
    <row r="240" spans="1:6" x14ac:dyDescent="0.2">
      <c r="A240" s="5">
        <v>210</v>
      </c>
      <c r="B240" s="18">
        <f t="shared" ca="1" si="11"/>
        <v>2948644.5774263921</v>
      </c>
      <c r="C240" s="32">
        <f t="shared" ca="1" si="12"/>
        <v>0.13876898281109454</v>
      </c>
      <c r="D240" s="33">
        <f t="shared" ca="1" si="10"/>
        <v>9.8318866668705204E-3</v>
      </c>
      <c r="E240" s="5"/>
      <c r="F240">
        <v>26110.095000000001</v>
      </c>
    </row>
    <row r="241" spans="1:6" x14ac:dyDescent="0.2">
      <c r="A241" s="5">
        <v>211</v>
      </c>
      <c r="B241" s="18">
        <f t="shared" ca="1" si="11"/>
        <v>3141355.1521782344</v>
      </c>
      <c r="C241" s="32">
        <f t="shared" ca="1" si="12"/>
        <v>1.5334310184604627</v>
      </c>
      <c r="D241" s="33">
        <f t="shared" ca="1" si="10"/>
        <v>6.6768725849741098E-2</v>
      </c>
      <c r="E241" s="5"/>
      <c r="F241">
        <v>1970338.6429000001</v>
      </c>
    </row>
    <row r="242" spans="1:6" x14ac:dyDescent="0.2">
      <c r="A242" s="5">
        <v>212</v>
      </c>
      <c r="B242" s="18">
        <f t="shared" ca="1" si="11"/>
        <v>3075125.2677797894</v>
      </c>
      <c r="C242" s="32">
        <f t="shared" ca="1" si="12"/>
        <v>-0.58600358153034893</v>
      </c>
      <c r="D242" s="33">
        <f t="shared" ca="1" si="10"/>
        <v>-1.9756829369879929E-2</v>
      </c>
      <c r="E242" s="5"/>
      <c r="F242">
        <v>-1015373.9501</v>
      </c>
    </row>
    <row r="243" spans="1:6" x14ac:dyDescent="0.2">
      <c r="A243" s="5">
        <v>213</v>
      </c>
      <c r="B243" s="18">
        <f t="shared" ca="1" si="11"/>
        <v>3170291.5098205041</v>
      </c>
      <c r="C243" s="32">
        <f t="shared" ca="1" si="12"/>
        <v>0.68917379523282229</v>
      </c>
      <c r="D243" s="33">
        <f t="shared" ca="1" si="10"/>
        <v>3.230206904029588E-2</v>
      </c>
      <c r="E243" s="5"/>
      <c r="F243">
        <v>311762.83159999998</v>
      </c>
    </row>
    <row r="244" spans="1:6" x14ac:dyDescent="0.2">
      <c r="A244" s="5">
        <v>214</v>
      </c>
      <c r="B244" s="18">
        <f t="shared" ca="1" si="11"/>
        <v>2810590.2882522596</v>
      </c>
      <c r="C244" s="32">
        <f t="shared" ca="1" si="12"/>
        <v>-2.8490594472697102</v>
      </c>
      <c r="D244" s="33">
        <f t="shared" ca="1" si="10"/>
        <v>-0.1121456982111111</v>
      </c>
      <c r="E244" s="5"/>
      <c r="F244">
        <v>-1187393.1510000001</v>
      </c>
    </row>
    <row r="245" spans="1:6" x14ac:dyDescent="0.2">
      <c r="A245" s="5">
        <v>215</v>
      </c>
      <c r="B245" s="18">
        <f t="shared" ca="1" si="11"/>
        <v>2897329.4574140105</v>
      </c>
      <c r="C245" s="32">
        <f t="shared" ca="1" si="12"/>
        <v>0.69020179220834377</v>
      </c>
      <c r="D245" s="33">
        <f t="shared" ca="1" si="10"/>
        <v>3.2344036841081746E-2</v>
      </c>
      <c r="E245" s="5"/>
      <c r="F245">
        <v>1036654.9387000001</v>
      </c>
    </row>
    <row r="246" spans="1:6" x14ac:dyDescent="0.2">
      <c r="A246" s="5">
        <v>216</v>
      </c>
      <c r="B246" s="18">
        <f t="shared" ca="1" si="11"/>
        <v>2796986.4798193919</v>
      </c>
      <c r="C246" s="32">
        <f t="shared" ca="1" si="12"/>
        <v>-0.91516562393598844</v>
      </c>
      <c r="D246" s="33">
        <f t="shared" ca="1" si="10"/>
        <v>-3.3194813479649518E-2</v>
      </c>
      <c r="E246" s="5"/>
      <c r="F246">
        <v>8216743.5432000002</v>
      </c>
    </row>
    <row r="247" spans="1:6" x14ac:dyDescent="0.2">
      <c r="A247" s="5">
        <v>217</v>
      </c>
      <c r="B247" s="18">
        <f t="shared" ca="1" si="11"/>
        <v>2822342.9414797542</v>
      </c>
      <c r="C247" s="32">
        <f t="shared" ca="1" si="12"/>
        <v>0.15648976713621798</v>
      </c>
      <c r="D247" s="33">
        <f t="shared" ca="1" si="10"/>
        <v>1.0555334657511567E-2</v>
      </c>
      <c r="E247" s="5"/>
      <c r="F247">
        <v>3178165.0123000001</v>
      </c>
    </row>
    <row r="248" spans="1:6" x14ac:dyDescent="0.2">
      <c r="A248" s="5">
        <v>218</v>
      </c>
      <c r="B248" s="18">
        <f t="shared" ca="1" si="11"/>
        <v>3001955.1516716657</v>
      </c>
      <c r="C248" s="32">
        <f t="shared" ca="1" si="12"/>
        <v>1.4929406720514762</v>
      </c>
      <c r="D248" s="33">
        <f t="shared" ca="1" si="10"/>
        <v>6.5115714379565259E-2</v>
      </c>
      <c r="E248" s="5"/>
      <c r="F248">
        <v>1368804.6307000001</v>
      </c>
    </row>
    <row r="249" spans="1:6" x14ac:dyDescent="0.2">
      <c r="A249" s="5">
        <v>219</v>
      </c>
      <c r="B249" s="18">
        <f t="shared" ca="1" si="11"/>
        <v>2976344.2829864202</v>
      </c>
      <c r="C249" s="32">
        <f t="shared" ca="1" si="12"/>
        <v>-0.27703921328853515</v>
      </c>
      <c r="D249" s="33">
        <f t="shared" ca="1" si="10"/>
        <v>-7.1434118549831343E-3</v>
      </c>
      <c r="E249" s="5"/>
      <c r="F249">
        <v>-1280083.0114</v>
      </c>
    </row>
    <row r="250" spans="1:6" x14ac:dyDescent="0.2">
      <c r="A250" s="5">
        <v>220</v>
      </c>
      <c r="B250" s="18">
        <f t="shared" ca="1" si="11"/>
        <v>2852563.7470879168</v>
      </c>
      <c r="C250" s="32">
        <f t="shared" ca="1" si="12"/>
        <v>-1.0864674972599437</v>
      </c>
      <c r="D250" s="33">
        <f t="shared" ca="1" si="10"/>
        <v>-4.0188183173425721E-2</v>
      </c>
      <c r="E250" s="5"/>
      <c r="F250">
        <v>981366.75809999998</v>
      </c>
    </row>
    <row r="251" spans="1:6" x14ac:dyDescent="0.2">
      <c r="A251" s="5">
        <v>221</v>
      </c>
      <c r="B251" s="18">
        <f t="shared" ca="1" si="11"/>
        <v>2810661.1567207458</v>
      </c>
      <c r="C251" s="32">
        <f t="shared" ca="1" si="12"/>
        <v>-0.42609955690775769</v>
      </c>
      <c r="D251" s="33">
        <f t="shared" ca="1" si="10"/>
        <v>-1.3228774900833493E-2</v>
      </c>
      <c r="E251" s="5"/>
      <c r="F251">
        <v>1017338.6805</v>
      </c>
    </row>
    <row r="252" spans="1:6" x14ac:dyDescent="0.2">
      <c r="A252" s="5">
        <v>222</v>
      </c>
      <c r="B252" s="18">
        <f t="shared" ca="1" si="11"/>
        <v>2558651.5746937017</v>
      </c>
      <c r="C252" s="32">
        <f t="shared" ca="1" si="12"/>
        <v>-2.2620117967051785</v>
      </c>
      <c r="D252" s="33">
        <f t="shared" ca="1" si="10"/>
        <v>-8.8179578234731382E-2</v>
      </c>
      <c r="E252" s="5"/>
      <c r="F252">
        <v>801013.73019999999</v>
      </c>
    </row>
    <row r="253" spans="1:6" x14ac:dyDescent="0.2">
      <c r="A253" s="5">
        <v>223</v>
      </c>
      <c r="B253" s="18">
        <f t="shared" ca="1" si="11"/>
        <v>2675889.5187134175</v>
      </c>
      <c r="C253" s="32">
        <f t="shared" ca="1" si="12"/>
        <v>1.0601881983631076</v>
      </c>
      <c r="D253" s="33">
        <f t="shared" ca="1" si="10"/>
        <v>4.7448668621836824E-2</v>
      </c>
      <c r="E253" s="5"/>
      <c r="F253">
        <v>5203548.1825999999</v>
      </c>
    </row>
    <row r="254" spans="1:6" x14ac:dyDescent="0.2">
      <c r="A254" s="5">
        <v>224</v>
      </c>
      <c r="B254" s="18">
        <f t="shared" ca="1" si="11"/>
        <v>2691577.6308994391</v>
      </c>
      <c r="C254" s="32">
        <f t="shared" ca="1" si="12"/>
        <v>7.9687124444578483E-2</v>
      </c>
      <c r="D254" s="33">
        <f t="shared" ca="1" si="10"/>
        <v>7.4198798993146946E-3</v>
      </c>
      <c r="E254" s="5"/>
      <c r="F254">
        <v>-912206.59589999996</v>
      </c>
    </row>
    <row r="255" spans="1:6" x14ac:dyDescent="0.2">
      <c r="A255" s="5">
        <v>225</v>
      </c>
      <c r="B255" s="18">
        <f t="shared" ca="1" si="11"/>
        <v>2689770.0808476987</v>
      </c>
      <c r="C255" s="32">
        <f t="shared" ca="1" si="12"/>
        <v>-8.0592760774642905E-2</v>
      </c>
      <c r="D255" s="33">
        <f t="shared" ca="1" si="10"/>
        <v>8.7648098566556198E-4</v>
      </c>
      <c r="E255" s="5"/>
      <c r="F255">
        <v>-212368.0692</v>
      </c>
    </row>
    <row r="256" spans="1:6" x14ac:dyDescent="0.2">
      <c r="A256" s="5">
        <v>226</v>
      </c>
      <c r="B256" s="18">
        <f t="shared" ca="1" si="11"/>
        <v>2647172.2122615078</v>
      </c>
      <c r="C256" s="32">
        <f t="shared" ca="1" si="12"/>
        <v>-0.45204304524629829</v>
      </c>
      <c r="D256" s="33">
        <f t="shared" ca="1" si="10"/>
        <v>-1.428791337712133E-2</v>
      </c>
      <c r="E256" s="5"/>
      <c r="F256">
        <v>4791824.3267999999</v>
      </c>
    </row>
    <row r="257" spans="1:6" x14ac:dyDescent="0.2">
      <c r="A257" s="5">
        <v>227</v>
      </c>
      <c r="B257" s="18">
        <f t="shared" ca="1" si="11"/>
        <v>2633812.9122011717</v>
      </c>
      <c r="C257" s="32">
        <f t="shared" ca="1" si="12"/>
        <v>-0.18712363794466239</v>
      </c>
      <c r="D257" s="33">
        <f t="shared" ca="1" si="10"/>
        <v>-3.4726238629620605E-3</v>
      </c>
      <c r="E257" s="5"/>
      <c r="F257">
        <v>1314058.1779</v>
      </c>
    </row>
    <row r="258" spans="1:6" x14ac:dyDescent="0.2">
      <c r="A258" s="5">
        <v>228</v>
      </c>
      <c r="B258" s="18">
        <f t="shared" ca="1" si="11"/>
        <v>2685939.9532080372</v>
      </c>
      <c r="C258" s="32">
        <f t="shared" ca="1" si="12"/>
        <v>0.42147875631220011</v>
      </c>
      <c r="D258" s="33">
        <f t="shared" ca="1" si="10"/>
        <v>2.1373464839795749E-2</v>
      </c>
      <c r="E258" s="5"/>
      <c r="F258">
        <v>480145.24619999999</v>
      </c>
    </row>
    <row r="259" spans="1:6" x14ac:dyDescent="0.2">
      <c r="A259" s="5">
        <v>229</v>
      </c>
      <c r="B259" s="18">
        <f t="shared" ca="1" si="11"/>
        <v>2684617.2666481086</v>
      </c>
      <c r="C259" s="32">
        <f t="shared" ca="1" si="12"/>
        <v>-7.6125900469554017E-2</v>
      </c>
      <c r="D259" s="33">
        <f t="shared" ca="1" si="10"/>
        <v>1.0588397939949048E-3</v>
      </c>
      <c r="E259" s="5"/>
      <c r="F259">
        <v>9602095.4096000008</v>
      </c>
    </row>
    <row r="260" spans="1:6" x14ac:dyDescent="0.2">
      <c r="A260" s="5">
        <v>230</v>
      </c>
      <c r="B260" s="18">
        <f t="shared" ca="1" si="11"/>
        <v>2738254.6985525736</v>
      </c>
      <c r="C260" s="32">
        <f t="shared" ca="1" si="12"/>
        <v>0.4253522009188157</v>
      </c>
      <c r="D260" s="33">
        <f t="shared" ca="1" si="10"/>
        <v>2.1531597553681475E-2</v>
      </c>
      <c r="E260" s="5"/>
      <c r="F260">
        <v>-961828.41599999997</v>
      </c>
    </row>
    <row r="261" spans="1:6" x14ac:dyDescent="0.2">
      <c r="A261" s="5">
        <v>231</v>
      </c>
      <c r="B261" s="18">
        <f t="shared" ca="1" si="11"/>
        <v>2760076.4399816105</v>
      </c>
      <c r="C261" s="32">
        <f t="shared" ca="1" si="12"/>
        <v>0.13041571367374138</v>
      </c>
      <c r="D261" s="33">
        <f t="shared" ca="1" si="10"/>
        <v>9.490865882359624E-3</v>
      </c>
      <c r="E261" s="5"/>
      <c r="F261">
        <v>205459.15659999999</v>
      </c>
    </row>
    <row r="262" spans="1:6" x14ac:dyDescent="0.2">
      <c r="A262" s="5">
        <v>232</v>
      </c>
      <c r="B262" s="18">
        <f t="shared" ca="1" si="11"/>
        <v>2827229.1266485541</v>
      </c>
      <c r="C262" s="32">
        <f t="shared" ca="1" si="12"/>
        <v>0.53087700806315796</v>
      </c>
      <c r="D262" s="33">
        <f t="shared" ca="1" si="10"/>
        <v>2.5839629765502133E-2</v>
      </c>
      <c r="E262" s="5"/>
      <c r="F262">
        <v>1224280.1584000001</v>
      </c>
    </row>
    <row r="263" spans="1:6" x14ac:dyDescent="0.2">
      <c r="A263" s="5">
        <v>233</v>
      </c>
      <c r="B263" s="18">
        <f t="shared" ca="1" si="11"/>
        <v>2759022.1067339387</v>
      </c>
      <c r="C263" s="32">
        <f t="shared" ca="1" si="12"/>
        <v>-0.65690280669900325</v>
      </c>
      <c r="D263" s="33">
        <f t="shared" ca="1" si="10"/>
        <v>-2.2651278116911491E-2</v>
      </c>
      <c r="E263" s="5"/>
      <c r="F263">
        <v>-820969.31700000004</v>
      </c>
    </row>
    <row r="264" spans="1:6" x14ac:dyDescent="0.2">
      <c r="A264" s="5">
        <v>234</v>
      </c>
      <c r="B264" s="18">
        <f t="shared" ca="1" si="11"/>
        <v>2757737.0719589354</v>
      </c>
      <c r="C264" s="32">
        <f t="shared" ca="1" si="12"/>
        <v>-7.6478632222800477E-2</v>
      </c>
      <c r="D264" s="33">
        <f t="shared" ca="1" si="10"/>
        <v>1.044439580469386E-3</v>
      </c>
      <c r="E264" s="5"/>
      <c r="F264">
        <v>-1369364.3038000001</v>
      </c>
    </row>
    <row r="265" spans="1:6" x14ac:dyDescent="0.2">
      <c r="A265" s="5">
        <v>235</v>
      </c>
      <c r="B265" s="18">
        <f t="shared" ca="1" si="11"/>
        <v>2693112.8679427067</v>
      </c>
      <c r="C265" s="32">
        <f t="shared" ca="1" si="12"/>
        <v>-0.63906075576630827</v>
      </c>
      <c r="D265" s="33">
        <f t="shared" ca="1" si="10"/>
        <v>-2.1922879437747299E-2</v>
      </c>
      <c r="E265" s="5"/>
      <c r="F265">
        <v>2934148.3961</v>
      </c>
    </row>
    <row r="266" spans="1:6" x14ac:dyDescent="0.2">
      <c r="A266" s="5">
        <v>236</v>
      </c>
      <c r="B266" s="18">
        <f t="shared" ca="1" si="11"/>
        <v>2737101.2613660605</v>
      </c>
      <c r="C266" s="32">
        <f t="shared" ca="1" si="12"/>
        <v>0.33592672153256586</v>
      </c>
      <c r="D266" s="33">
        <f t="shared" ca="1" si="10"/>
        <v>1.7880817645346686E-2</v>
      </c>
      <c r="E266" s="5"/>
      <c r="F266">
        <v>3162741.6671000002</v>
      </c>
    </row>
    <row r="267" spans="1:6" x14ac:dyDescent="0.2">
      <c r="A267" s="5">
        <v>237</v>
      </c>
      <c r="B267" s="18">
        <f t="shared" ca="1" si="11"/>
        <v>2771025.2204485349</v>
      </c>
      <c r="C267" s="32">
        <f t="shared" ca="1" si="12"/>
        <v>0.23881898423666889</v>
      </c>
      <c r="D267" s="33">
        <f t="shared" ca="1" si="10"/>
        <v>1.3916410871160301E-2</v>
      </c>
      <c r="E267" s="5"/>
      <c r="F267">
        <v>366340.00530000002</v>
      </c>
    </row>
    <row r="268" spans="1:6" x14ac:dyDescent="0.2">
      <c r="A268" s="5">
        <v>238</v>
      </c>
      <c r="B268" s="18">
        <f t="shared" ca="1" si="11"/>
        <v>2743068.0587140652</v>
      </c>
      <c r="C268" s="32">
        <f t="shared" ca="1" si="12"/>
        <v>-0.31236175958483536</v>
      </c>
      <c r="D268" s="33">
        <f t="shared" ca="1" si="10"/>
        <v>-8.5854487690126546E-3</v>
      </c>
      <c r="E268" s="5"/>
      <c r="F268">
        <v>2066131.4243000001</v>
      </c>
    </row>
    <row r="269" spans="1:6" x14ac:dyDescent="0.2">
      <c r="A269" s="5">
        <v>239</v>
      </c>
      <c r="B269" s="18">
        <f t="shared" ca="1" si="11"/>
        <v>2667190.5819821614</v>
      </c>
      <c r="C269" s="32">
        <f t="shared" ca="1" si="12"/>
        <v>-0.74242129791283118</v>
      </c>
      <c r="D269" s="33">
        <f t="shared" ca="1" si="10"/>
        <v>-2.6142555901020905E-2</v>
      </c>
      <c r="E269" s="5"/>
      <c r="F269">
        <v>1808808.1325000001</v>
      </c>
    </row>
    <row r="270" spans="1:6" x14ac:dyDescent="0.2">
      <c r="A270" s="5">
        <v>240</v>
      </c>
      <c r="B270" s="18">
        <f t="shared" ca="1" si="11"/>
        <v>2608856.954969239</v>
      </c>
      <c r="C270" s="32">
        <f t="shared" ca="1" si="12"/>
        <v>-0.59951963962376975</v>
      </c>
      <c r="D270" s="33">
        <f t="shared" ca="1" si="10"/>
        <v>-2.0308620130924861E-2</v>
      </c>
      <c r="E270" s="5"/>
      <c r="F270">
        <v>921960.35309999995</v>
      </c>
    </row>
    <row r="271" spans="1:6" x14ac:dyDescent="0.2">
      <c r="A271" s="5">
        <v>241</v>
      </c>
      <c r="B271" s="18">
        <f t="shared" ca="1" si="11"/>
        <v>2607453.0305036111</v>
      </c>
      <c r="C271" s="32">
        <f t="shared" ca="1" si="12"/>
        <v>-7.6122326588461173E-2</v>
      </c>
      <c r="D271" s="33">
        <f t="shared" ca="1" si="10"/>
        <v>1.0589856970795526E-3</v>
      </c>
      <c r="E271" s="5"/>
      <c r="F271">
        <v>11274806.747099999</v>
      </c>
    </row>
    <row r="272" spans="1:6" x14ac:dyDescent="0.2">
      <c r="A272" s="5">
        <v>242</v>
      </c>
      <c r="B272" s="18">
        <f t="shared" ca="1" si="11"/>
        <v>2497376.19041437</v>
      </c>
      <c r="C272" s="32">
        <f t="shared" ca="1" si="12"/>
        <v>-1.0970018871401694</v>
      </c>
      <c r="D272" s="33">
        <f t="shared" ca="1" si="10"/>
        <v>-4.0618247839393912E-2</v>
      </c>
      <c r="E272" s="5"/>
      <c r="F272">
        <v>6781.5874000000003</v>
      </c>
    </row>
    <row r="273" spans="1:6" x14ac:dyDescent="0.2">
      <c r="A273" s="5">
        <v>243</v>
      </c>
      <c r="B273" s="18">
        <f t="shared" ca="1" si="11"/>
        <v>2239401.7324329764</v>
      </c>
      <c r="C273" s="32">
        <f t="shared" ca="1" si="12"/>
        <v>-2.5914730946723732</v>
      </c>
      <c r="D273" s="33">
        <f t="shared" ca="1" si="10"/>
        <v>-0.10162977940164264</v>
      </c>
      <c r="E273" s="5"/>
      <c r="F273">
        <v>24669988.213199999</v>
      </c>
    </row>
    <row r="274" spans="1:6" x14ac:dyDescent="0.2">
      <c r="A274" s="5">
        <v>244</v>
      </c>
      <c r="B274" s="18">
        <f t="shared" ca="1" si="11"/>
        <v>2362180.5643067611</v>
      </c>
      <c r="C274" s="32">
        <f t="shared" ca="1" si="12"/>
        <v>1.2864860028090837</v>
      </c>
      <c r="D274" s="33">
        <f t="shared" ca="1" si="10"/>
        <v>5.6687237801916354E-2</v>
      </c>
      <c r="E274" s="5"/>
      <c r="F274">
        <v>-1070427.9790000001</v>
      </c>
    </row>
    <row r="275" spans="1:6" x14ac:dyDescent="0.2">
      <c r="A275" s="5">
        <v>245</v>
      </c>
      <c r="B275" s="18">
        <f t="shared" ca="1" si="11"/>
        <v>2470248.6053597317</v>
      </c>
      <c r="C275" s="32">
        <f t="shared" ca="1" si="12"/>
        <v>1.0617683707362748</v>
      </c>
      <c r="D275" s="33">
        <f t="shared" ca="1" si="10"/>
        <v>4.7513178888835203E-2</v>
      </c>
      <c r="E275" s="5"/>
      <c r="F275">
        <v>7978048.9665999999</v>
      </c>
    </row>
    <row r="276" spans="1:6" x14ac:dyDescent="0.2">
      <c r="A276" s="5">
        <v>246</v>
      </c>
      <c r="B276" s="18">
        <f t="shared" ca="1" si="11"/>
        <v>2424914.6220195335</v>
      </c>
      <c r="C276" s="32">
        <f t="shared" ca="1" si="12"/>
        <v>-0.51027572249286668</v>
      </c>
      <c r="D276" s="33">
        <f t="shared" ca="1" si="10"/>
        <v>-1.6665252470625874E-2</v>
      </c>
      <c r="E276" s="5"/>
      <c r="F276">
        <v>2346130.5904000001</v>
      </c>
    </row>
    <row r="277" spans="1:6" x14ac:dyDescent="0.2">
      <c r="A277" s="5">
        <v>247</v>
      </c>
      <c r="B277" s="18">
        <f t="shared" ca="1" si="11"/>
        <v>2625840.4327567136</v>
      </c>
      <c r="C277" s="32">
        <f t="shared" ca="1" si="12"/>
        <v>1.9696476492888981</v>
      </c>
      <c r="D277" s="33">
        <f t="shared" ca="1" si="10"/>
        <v>8.4577195230502583E-2</v>
      </c>
      <c r="E277" s="5"/>
      <c r="F277">
        <v>18460.1296</v>
      </c>
    </row>
    <row r="278" spans="1:6" x14ac:dyDescent="0.2">
      <c r="A278" s="5">
        <v>248</v>
      </c>
      <c r="B278" s="18">
        <f t="shared" ca="1" si="11"/>
        <v>2469097.2209422635</v>
      </c>
      <c r="C278" s="32">
        <f t="shared" ca="1" si="12"/>
        <v>-1.5253575541941362</v>
      </c>
      <c r="D278" s="33">
        <f t="shared" ca="1" si="10"/>
        <v>-5.8105794717922876E-2</v>
      </c>
      <c r="E278" s="5"/>
      <c r="F278">
        <v>2833764.8894000002</v>
      </c>
    </row>
    <row r="279" spans="1:6" x14ac:dyDescent="0.2">
      <c r="A279" s="5">
        <v>249</v>
      </c>
      <c r="B279" s="18">
        <f t="shared" ca="1" si="11"/>
        <v>2288395.6742054885</v>
      </c>
      <c r="C279" s="32">
        <f t="shared" ca="1" si="12"/>
        <v>-1.8533919688529681</v>
      </c>
      <c r="D279" s="33">
        <f t="shared" ca="1" si="10"/>
        <v>-7.1497743617701087E-2</v>
      </c>
      <c r="E279" s="5"/>
      <c r="F279">
        <v>361888.83069999999</v>
      </c>
    </row>
    <row r="280" spans="1:6" x14ac:dyDescent="0.2">
      <c r="A280" s="5">
        <v>250</v>
      </c>
      <c r="B280" s="18">
        <f t="shared" ca="1" si="11"/>
        <v>2259568.5275684157</v>
      </c>
      <c r="C280" s="32">
        <f t="shared" ca="1" si="12"/>
        <v>-0.36602688176372355</v>
      </c>
      <c r="D280" s="33">
        <f t="shared" ca="1" si="10"/>
        <v>-1.0776318207719199E-2</v>
      </c>
      <c r="E280" s="5"/>
      <c r="F280">
        <v>-234823.31940000001</v>
      </c>
    </row>
    <row r="281" spans="1:6" x14ac:dyDescent="0.2">
      <c r="A281" s="5">
        <v>251</v>
      </c>
      <c r="B281" s="18">
        <f t="shared" ca="1" si="11"/>
        <v>2186485.6553385137</v>
      </c>
      <c r="C281" s="32">
        <f t="shared" ca="1" si="12"/>
        <v>-0.84914956555579157</v>
      </c>
      <c r="D281" s="33">
        <f t="shared" ca="1" si="10"/>
        <v>-3.0499719181961725E-2</v>
      </c>
      <c r="E281" s="5"/>
      <c r="F281">
        <v>-10764.342000000001</v>
      </c>
    </row>
    <row r="282" spans="1:6" x14ac:dyDescent="0.2">
      <c r="A282" s="5">
        <v>252</v>
      </c>
      <c r="B282" s="18">
        <f t="shared" ca="1" si="11"/>
        <v>2200776.2517832471</v>
      </c>
      <c r="C282" s="32">
        <f t="shared" ca="1" si="12"/>
        <v>0.10471210200913449</v>
      </c>
      <c r="D282" s="33">
        <f t="shared" ca="1" si="10"/>
        <v>8.4415203302773446E-3</v>
      </c>
      <c r="E282" s="5"/>
      <c r="F282">
        <v>10993242.756899999</v>
      </c>
    </row>
    <row r="283" spans="1:6" x14ac:dyDescent="0.2">
      <c r="A283" s="5">
        <v>253</v>
      </c>
      <c r="B283" s="18">
        <f t="shared" ca="1" si="11"/>
        <v>2304974.3457737961</v>
      </c>
      <c r="C283" s="32">
        <f t="shared" ca="1" si="12"/>
        <v>1.1040504047152637</v>
      </c>
      <c r="D283" s="33">
        <f t="shared" ca="1" si="10"/>
        <v>4.9239335697760921E-2</v>
      </c>
      <c r="E283" s="5"/>
      <c r="F283">
        <v>646301.46680000005</v>
      </c>
    </row>
    <row r="284" spans="1:6" x14ac:dyDescent="0.2">
      <c r="A284" s="5">
        <v>254</v>
      </c>
      <c r="B284" s="18">
        <f t="shared" ca="1" si="11"/>
        <v>2384058.1306215893</v>
      </c>
      <c r="C284" s="32">
        <f t="shared" ca="1" si="12"/>
        <v>0.78263812997253557</v>
      </c>
      <c r="D284" s="33">
        <f t="shared" ca="1" si="10"/>
        <v>3.6117734527978895E-2</v>
      </c>
      <c r="E284" s="5"/>
      <c r="F284">
        <v>2017701.61</v>
      </c>
    </row>
    <row r="285" spans="1:6" x14ac:dyDescent="0.2">
      <c r="A285" s="5">
        <v>255</v>
      </c>
      <c r="B285" s="18">
        <f t="shared" ca="1" si="11"/>
        <v>2463827.3184339232</v>
      </c>
      <c r="C285" s="32">
        <f t="shared" ca="1" si="12"/>
        <v>0.76033306765877096</v>
      </c>
      <c r="D285" s="33">
        <f t="shared" ca="1" si="10"/>
        <v>3.5207134172150462E-2</v>
      </c>
      <c r="E285" s="5"/>
      <c r="F285">
        <v>-1052236.7918</v>
      </c>
    </row>
    <row r="286" spans="1:6" x14ac:dyDescent="0.2">
      <c r="A286" s="5">
        <v>256</v>
      </c>
      <c r="B286" s="18">
        <f t="shared" ca="1" si="11"/>
        <v>2530715.2460971614</v>
      </c>
      <c r="C286" s="32">
        <f t="shared" ca="1" si="12"/>
        <v>0.60434904104662213</v>
      </c>
      <c r="D286" s="33">
        <f t="shared" ca="1" si="10"/>
        <v>2.8839112951742515E-2</v>
      </c>
      <c r="E286" s="5"/>
      <c r="F286">
        <v>4935346.0614</v>
      </c>
    </row>
    <row r="287" spans="1:6" x14ac:dyDescent="0.2">
      <c r="A287" s="5">
        <v>257</v>
      </c>
      <c r="B287" s="18">
        <f t="shared" ca="1" si="11"/>
        <v>2599560.5922392192</v>
      </c>
      <c r="C287" s="32">
        <f t="shared" ca="1" si="12"/>
        <v>0.60462421597668614</v>
      </c>
      <c r="D287" s="33">
        <f t="shared" ca="1" si="10"/>
        <v>2.8850346921220228E-2</v>
      </c>
      <c r="E287" s="5"/>
      <c r="F287">
        <v>-187759.79569999999</v>
      </c>
    </row>
    <row r="288" spans="1:6" x14ac:dyDescent="0.2">
      <c r="A288" s="5">
        <v>258</v>
      </c>
      <c r="B288" s="18">
        <f t="shared" ca="1" si="11"/>
        <v>2642280.9638368562</v>
      </c>
      <c r="C288" s="32">
        <f t="shared" ca="1" si="12"/>
        <v>0.33974074452462111</v>
      </c>
      <c r="D288" s="33">
        <f t="shared" ref="D288:D351" ca="1" si="13">$D$20+(C288*$D$21)</f>
        <v>1.8036524481976329E-2</v>
      </c>
      <c r="E288" s="5"/>
      <c r="F288">
        <v>272158.9656</v>
      </c>
    </row>
    <row r="289" spans="1:6" x14ac:dyDescent="0.2">
      <c r="A289" s="5">
        <v>259</v>
      </c>
      <c r="B289" s="18">
        <f t="shared" ref="B289:B352" ca="1" si="14">(B288*(1+D289))+$C$13</f>
        <v>2585934.1412459295</v>
      </c>
      <c r="C289" s="32">
        <f t="shared" ref="C289:C352" ca="1" si="15">NORMSINV(RAND())</f>
        <v>-0.58579093590725761</v>
      </c>
      <c r="D289" s="33">
        <f t="shared" ca="1" si="13"/>
        <v>-1.9748148148669764E-2</v>
      </c>
      <c r="E289" s="5"/>
      <c r="F289">
        <v>1660185.5178</v>
      </c>
    </row>
    <row r="290" spans="1:6" x14ac:dyDescent="0.2">
      <c r="A290" s="5">
        <v>260</v>
      </c>
      <c r="B290" s="18">
        <f t="shared" ca="1" si="14"/>
        <v>2558982.0595094822</v>
      </c>
      <c r="C290" s="32">
        <f t="shared" ca="1" si="15"/>
        <v>-0.3178937119770277</v>
      </c>
      <c r="D290" s="33">
        <f t="shared" ca="1" si="13"/>
        <v>-8.8112897797166558E-3</v>
      </c>
      <c r="E290" s="5"/>
      <c r="F290">
        <v>117083.23669999999</v>
      </c>
    </row>
    <row r="291" spans="1:6" x14ac:dyDescent="0.2">
      <c r="A291" s="5">
        <v>261</v>
      </c>
      <c r="B291" s="18">
        <f t="shared" ca="1" si="14"/>
        <v>2586120.8150991341</v>
      </c>
      <c r="C291" s="32">
        <f t="shared" ca="1" si="15"/>
        <v>0.19759735807596768</v>
      </c>
      <c r="D291" s="33">
        <f t="shared" ca="1" si="13"/>
        <v>1.2233545030135629E-2</v>
      </c>
      <c r="E291" s="5"/>
      <c r="F291">
        <v>537273.9412</v>
      </c>
    </row>
    <row r="292" spans="1:6" x14ac:dyDescent="0.2">
      <c r="A292" s="5">
        <v>262</v>
      </c>
      <c r="B292" s="18">
        <f t="shared" ca="1" si="14"/>
        <v>2520277.3919465747</v>
      </c>
      <c r="C292" s="32">
        <f t="shared" ca="1" si="15"/>
        <v>-0.68624430222514099</v>
      </c>
      <c r="D292" s="33">
        <f t="shared" ca="1" si="13"/>
        <v>-2.384913965573137E-2</v>
      </c>
      <c r="E292" s="5"/>
      <c r="F292">
        <v>-190528.22990000001</v>
      </c>
    </row>
    <row r="293" spans="1:6" x14ac:dyDescent="0.2">
      <c r="A293" s="5">
        <v>263</v>
      </c>
      <c r="B293" s="18">
        <f t="shared" ca="1" si="14"/>
        <v>2448245.9512683111</v>
      </c>
      <c r="C293" s="32">
        <f t="shared" ca="1" si="15"/>
        <v>-0.76164846722831225</v>
      </c>
      <c r="D293" s="33">
        <f t="shared" ca="1" si="13"/>
        <v>-2.6927501801371344E-2</v>
      </c>
      <c r="E293" s="5"/>
      <c r="F293">
        <v>1872068.0525</v>
      </c>
    </row>
    <row r="294" spans="1:6" x14ac:dyDescent="0.2">
      <c r="A294" s="5">
        <v>264</v>
      </c>
      <c r="B294" s="18">
        <f t="shared" ca="1" si="14"/>
        <v>2646701.2985526184</v>
      </c>
      <c r="C294" s="32">
        <f t="shared" ca="1" si="15"/>
        <v>1.9251874550626638</v>
      </c>
      <c r="D294" s="33">
        <f t="shared" ca="1" si="13"/>
        <v>8.2762115401847428E-2</v>
      </c>
      <c r="E294" s="5"/>
      <c r="F294">
        <v>2266901.4227</v>
      </c>
    </row>
    <row r="295" spans="1:6" x14ac:dyDescent="0.2">
      <c r="A295" s="5">
        <v>265</v>
      </c>
      <c r="B295" s="18">
        <f t="shared" ca="1" si="14"/>
        <v>2534570.0318805492</v>
      </c>
      <c r="C295" s="32">
        <f t="shared" ca="1" si="15"/>
        <v>-1.1012612661235421</v>
      </c>
      <c r="D295" s="33">
        <f t="shared" ca="1" si="13"/>
        <v>-4.0792136258233878E-2</v>
      </c>
      <c r="E295" s="5"/>
      <c r="F295">
        <v>1839644.3743</v>
      </c>
    </row>
    <row r="296" spans="1:6" x14ac:dyDescent="0.2">
      <c r="A296" s="5">
        <v>266</v>
      </c>
      <c r="B296" s="18">
        <f t="shared" ca="1" si="14"/>
        <v>2675233.3585637244</v>
      </c>
      <c r="C296" s="32">
        <f t="shared" ca="1" si="15"/>
        <v>1.2976214188461976</v>
      </c>
      <c r="D296" s="33">
        <f t="shared" ca="1" si="13"/>
        <v>5.7141839257991926E-2</v>
      </c>
      <c r="E296" s="5"/>
      <c r="F296">
        <v>269655.61609999998</v>
      </c>
    </row>
    <row r="297" spans="1:6" x14ac:dyDescent="0.2">
      <c r="A297" s="5">
        <v>267</v>
      </c>
      <c r="B297" s="18">
        <f t="shared" ca="1" si="14"/>
        <v>2720693.1054084552</v>
      </c>
      <c r="C297" s="32">
        <f t="shared" ca="1" si="15"/>
        <v>0.35232591741921881</v>
      </c>
      <c r="D297" s="33">
        <f t="shared" ca="1" si="13"/>
        <v>1.8550312013917495E-2</v>
      </c>
      <c r="E297" s="5"/>
      <c r="F297">
        <v>-774956.40819999995</v>
      </c>
    </row>
    <row r="298" spans="1:6" x14ac:dyDescent="0.2">
      <c r="A298" s="5">
        <v>268</v>
      </c>
      <c r="B298" s="18">
        <f t="shared" ca="1" si="14"/>
        <v>2647434.8211564426</v>
      </c>
      <c r="C298" s="32">
        <f t="shared" ca="1" si="15"/>
        <v>-0.72410653713558992</v>
      </c>
      <c r="D298" s="33">
        <f t="shared" ca="1" si="13"/>
        <v>-2.5394858923264568E-2</v>
      </c>
      <c r="E298" s="5"/>
      <c r="F298">
        <v>12634075.344599999</v>
      </c>
    </row>
    <row r="299" spans="1:6" x14ac:dyDescent="0.2">
      <c r="A299" s="5">
        <v>269</v>
      </c>
      <c r="B299" s="18">
        <f t="shared" ca="1" si="14"/>
        <v>2738203.6854099906</v>
      </c>
      <c r="C299" s="32">
        <f t="shared" ca="1" si="15"/>
        <v>0.77631123937802715</v>
      </c>
      <c r="D299" s="33">
        <f t="shared" ca="1" si="13"/>
        <v>3.5859440301062903E-2</v>
      </c>
      <c r="E299" s="5"/>
      <c r="F299">
        <v>-662993.52410000004</v>
      </c>
    </row>
    <row r="300" spans="1:6" x14ac:dyDescent="0.2">
      <c r="A300" s="5">
        <v>270</v>
      </c>
      <c r="B300" s="18">
        <f t="shared" ca="1" si="14"/>
        <v>2932527.1031146916</v>
      </c>
      <c r="C300" s="32">
        <f t="shared" ca="1" si="15"/>
        <v>1.673552460015246</v>
      </c>
      <c r="D300" s="33">
        <f t="shared" ca="1" si="13"/>
        <v>7.2489159746948334E-2</v>
      </c>
      <c r="E300" s="5"/>
      <c r="F300">
        <v>-122965.2132</v>
      </c>
    </row>
    <row r="301" spans="1:6" x14ac:dyDescent="0.2">
      <c r="A301" s="5">
        <v>271</v>
      </c>
      <c r="B301" s="18">
        <f t="shared" ca="1" si="14"/>
        <v>2955520.3256059415</v>
      </c>
      <c r="C301" s="32">
        <f t="shared" ca="1" si="15"/>
        <v>0.12479983715729294</v>
      </c>
      <c r="D301" s="33">
        <f t="shared" ca="1" si="13"/>
        <v>9.2615986836299992E-3</v>
      </c>
      <c r="E301" s="5"/>
      <c r="F301">
        <v>-718453.00859999994</v>
      </c>
    </row>
    <row r="302" spans="1:6" x14ac:dyDescent="0.2">
      <c r="A302" s="5">
        <v>272</v>
      </c>
      <c r="B302" s="18">
        <f t="shared" ca="1" si="14"/>
        <v>2983500.5899279793</v>
      </c>
      <c r="C302" s="32">
        <f t="shared" ca="1" si="15"/>
        <v>0.16436674208909366</v>
      </c>
      <c r="D302" s="33">
        <f t="shared" ca="1" si="13"/>
        <v>1.0876910813365384E-2</v>
      </c>
      <c r="E302" s="5"/>
      <c r="F302">
        <v>-480229.96539999999</v>
      </c>
    </row>
    <row r="303" spans="1:6" x14ac:dyDescent="0.2">
      <c r="A303" s="5">
        <v>273</v>
      </c>
      <c r="B303" s="18">
        <f t="shared" ca="1" si="14"/>
        <v>2945777.7384032761</v>
      </c>
      <c r="C303" s="32">
        <f t="shared" ca="1" si="15"/>
        <v>-0.37756237214391658</v>
      </c>
      <c r="D303" s="33">
        <f t="shared" ca="1" si="13"/>
        <v>-1.1247252630456814E-2</v>
      </c>
      <c r="E303" s="5"/>
      <c r="F303">
        <v>40732678.552199997</v>
      </c>
    </row>
    <row r="304" spans="1:6" x14ac:dyDescent="0.2">
      <c r="A304" s="5">
        <v>274</v>
      </c>
      <c r="B304" s="18">
        <f t="shared" ca="1" si="14"/>
        <v>3115636.9304631893</v>
      </c>
      <c r="C304" s="32">
        <f t="shared" ca="1" si="15"/>
        <v>1.3450075768439023</v>
      </c>
      <c r="D304" s="33">
        <f t="shared" ca="1" si="13"/>
        <v>5.9076371057413264E-2</v>
      </c>
      <c r="E304" s="5"/>
      <c r="F304">
        <v>1076128.4450000001</v>
      </c>
    </row>
    <row r="305" spans="1:6" x14ac:dyDescent="0.2">
      <c r="A305" s="5">
        <v>275</v>
      </c>
      <c r="B305" s="18">
        <f t="shared" ca="1" si="14"/>
        <v>3074053.585210436</v>
      </c>
      <c r="C305" s="32">
        <f t="shared" ca="1" si="15"/>
        <v>-0.39622911598840627</v>
      </c>
      <c r="D305" s="33">
        <f t="shared" ca="1" si="13"/>
        <v>-1.2009319256760791E-2</v>
      </c>
      <c r="E305" s="5"/>
      <c r="F305">
        <v>-348109.12</v>
      </c>
    </row>
    <row r="306" spans="1:6" x14ac:dyDescent="0.2">
      <c r="A306" s="5">
        <v>276</v>
      </c>
      <c r="B306" s="18">
        <f t="shared" ca="1" si="14"/>
        <v>2964124.2829344077</v>
      </c>
      <c r="C306" s="32">
        <f t="shared" ca="1" si="15"/>
        <v>-0.94480760034921996</v>
      </c>
      <c r="D306" s="33">
        <f t="shared" ca="1" si="13"/>
        <v>-3.4404942099316715E-2</v>
      </c>
      <c r="E306" s="5"/>
      <c r="F306">
        <v>-156787.4663</v>
      </c>
    </row>
    <row r="307" spans="1:6" x14ac:dyDescent="0.2">
      <c r="A307" s="5">
        <v>277</v>
      </c>
      <c r="B307" s="18">
        <f t="shared" ca="1" si="14"/>
        <v>2899360.6815210241</v>
      </c>
      <c r="C307" s="32">
        <f t="shared" ca="1" si="15"/>
        <v>-0.60282235099147807</v>
      </c>
      <c r="D307" s="33">
        <f t="shared" ca="1" si="13"/>
        <v>-2.0443452757901107E-2</v>
      </c>
      <c r="E307" s="5"/>
      <c r="F307">
        <v>3959565.0822000001</v>
      </c>
    </row>
    <row r="308" spans="1:6" x14ac:dyDescent="0.2">
      <c r="A308" s="5">
        <v>278</v>
      </c>
      <c r="B308" s="18">
        <f t="shared" ca="1" si="14"/>
        <v>2882393.3650665856</v>
      </c>
      <c r="C308" s="32">
        <f t="shared" ca="1" si="15"/>
        <v>-0.21020681140596176</v>
      </c>
      <c r="D308" s="33">
        <f t="shared" ca="1" si="13"/>
        <v>-4.4149904733676885E-3</v>
      </c>
      <c r="E308" s="5"/>
      <c r="F308">
        <v>-186709.41880000001</v>
      </c>
    </row>
    <row r="309" spans="1:6" x14ac:dyDescent="0.2">
      <c r="A309" s="5">
        <v>279</v>
      </c>
      <c r="B309" s="18">
        <f t="shared" ca="1" si="14"/>
        <v>2921281.415865649</v>
      </c>
      <c r="C309" s="32">
        <f t="shared" ca="1" si="15"/>
        <v>0.26382167555279218</v>
      </c>
      <c r="D309" s="33">
        <f t="shared" ca="1" si="13"/>
        <v>1.4937141469840601E-2</v>
      </c>
      <c r="E309" s="5"/>
      <c r="F309">
        <v>-1101552.6083</v>
      </c>
    </row>
    <row r="310" spans="1:6" x14ac:dyDescent="0.2">
      <c r="A310" s="5">
        <v>280</v>
      </c>
      <c r="B310" s="18">
        <f t="shared" ca="1" si="14"/>
        <v>3099275.6323532639</v>
      </c>
      <c r="C310" s="32">
        <f t="shared" ca="1" si="15"/>
        <v>1.4253539866496459</v>
      </c>
      <c r="D310" s="33">
        <f t="shared" ca="1" si="13"/>
        <v>6.2356499502223647E-2</v>
      </c>
      <c r="E310" s="5"/>
      <c r="F310">
        <v>5301552.5805000002</v>
      </c>
    </row>
    <row r="311" spans="1:6" x14ac:dyDescent="0.2">
      <c r="A311" s="5">
        <v>281</v>
      </c>
      <c r="B311" s="18">
        <f t="shared" ca="1" si="14"/>
        <v>3178580.7407238549</v>
      </c>
      <c r="C311" s="32">
        <f t="shared" ca="1" si="15"/>
        <v>0.55765097333348035</v>
      </c>
      <c r="D311" s="33">
        <f t="shared" ca="1" si="13"/>
        <v>2.6932672320556929E-2</v>
      </c>
      <c r="E311" s="5"/>
      <c r="F311">
        <v>3084883.1490000002</v>
      </c>
    </row>
    <row r="312" spans="1:6" x14ac:dyDescent="0.2">
      <c r="A312" s="5">
        <v>282</v>
      </c>
      <c r="B312" s="18">
        <f t="shared" ca="1" si="14"/>
        <v>3234258.4256251566</v>
      </c>
      <c r="C312" s="32">
        <f t="shared" ca="1" si="15"/>
        <v>0.35911270092735748</v>
      </c>
      <c r="D312" s="33">
        <f t="shared" ca="1" si="13"/>
        <v>1.8827381290412087E-2</v>
      </c>
      <c r="E312" s="5"/>
      <c r="F312">
        <v>5465467.2675000001</v>
      </c>
    </row>
    <row r="313" spans="1:6" x14ac:dyDescent="0.2">
      <c r="A313" s="5">
        <v>283</v>
      </c>
      <c r="B313" s="18">
        <f t="shared" ca="1" si="14"/>
        <v>3280406.2726181666</v>
      </c>
      <c r="C313" s="32">
        <f t="shared" ca="1" si="15"/>
        <v>0.27899864951442344</v>
      </c>
      <c r="D313" s="33">
        <f t="shared" ca="1" si="13"/>
        <v>1.5556738837265653E-2</v>
      </c>
      <c r="E313" s="5"/>
      <c r="F313">
        <v>420902.8933</v>
      </c>
    </row>
    <row r="314" spans="1:6" x14ac:dyDescent="0.2">
      <c r="A314" s="5">
        <v>284</v>
      </c>
      <c r="B314" s="18">
        <f t="shared" ca="1" si="14"/>
        <v>3569673.1372457966</v>
      </c>
      <c r="C314" s="32">
        <f t="shared" ca="1" si="15"/>
        <v>2.089015389628873</v>
      </c>
      <c r="D314" s="33">
        <f t="shared" ca="1" si="13"/>
        <v>8.9450362823535481E-2</v>
      </c>
      <c r="E314" s="5"/>
      <c r="F314">
        <v>12644733.6415</v>
      </c>
    </row>
    <row r="315" spans="1:6" x14ac:dyDescent="0.2">
      <c r="A315" s="5">
        <v>285</v>
      </c>
      <c r="B315" s="18">
        <f t="shared" ca="1" si="14"/>
        <v>3436934.6429094393</v>
      </c>
      <c r="C315" s="32">
        <f t="shared" ca="1" si="15"/>
        <v>-0.984314763490582</v>
      </c>
      <c r="D315" s="33">
        <f t="shared" ca="1" si="13"/>
        <v>-3.6017815280670509E-2</v>
      </c>
      <c r="E315" s="5"/>
      <c r="F315">
        <v>25405142.232099999</v>
      </c>
    </row>
    <row r="316" spans="1:6" x14ac:dyDescent="0.2">
      <c r="A316" s="5">
        <v>286</v>
      </c>
      <c r="B316" s="18">
        <f t="shared" ca="1" si="14"/>
        <v>3243457.2571537145</v>
      </c>
      <c r="C316" s="32">
        <f t="shared" ca="1" si="15"/>
        <v>-1.4512720890596063</v>
      </c>
      <c r="D316" s="33">
        <f t="shared" ca="1" si="13"/>
        <v>-5.5081268268983678E-2</v>
      </c>
      <c r="E316" s="5"/>
      <c r="F316">
        <v>3801005.7185999998</v>
      </c>
    </row>
    <row r="317" spans="1:6" x14ac:dyDescent="0.2">
      <c r="A317" s="5">
        <v>287</v>
      </c>
      <c r="B317" s="18">
        <f t="shared" ca="1" si="14"/>
        <v>3067569.4898569863</v>
      </c>
      <c r="C317" s="32">
        <f t="shared" ca="1" si="15"/>
        <v>-1.3989161430219874</v>
      </c>
      <c r="D317" s="33">
        <f t="shared" ca="1" si="13"/>
        <v>-5.2943845722436066E-2</v>
      </c>
      <c r="E317" s="5"/>
      <c r="F317">
        <v>5869300.9516000003</v>
      </c>
    </row>
    <row r="318" spans="1:6" x14ac:dyDescent="0.2">
      <c r="A318" s="5">
        <v>288</v>
      </c>
      <c r="B318" s="18">
        <f t="shared" ca="1" si="14"/>
        <v>3272449.3098196341</v>
      </c>
      <c r="C318" s="32">
        <f t="shared" ca="1" si="15"/>
        <v>1.5671983188975738</v>
      </c>
      <c r="D318" s="33">
        <f t="shared" ca="1" si="13"/>
        <v>6.814727011744412E-2</v>
      </c>
      <c r="E318" s="5"/>
      <c r="F318">
        <v>-373539.59399999998</v>
      </c>
    </row>
    <row r="319" spans="1:6" x14ac:dyDescent="0.2">
      <c r="A319" s="5">
        <v>289</v>
      </c>
      <c r="B319" s="18">
        <f t="shared" ca="1" si="14"/>
        <v>3368123.0734216138</v>
      </c>
      <c r="C319" s="32">
        <f t="shared" ca="1" si="15"/>
        <v>0.64526229120003942</v>
      </c>
      <c r="D319" s="33">
        <f t="shared" ca="1" si="13"/>
        <v>3.0509389394987811E-2</v>
      </c>
      <c r="E319" s="5"/>
      <c r="F319">
        <v>1649855.2427000001</v>
      </c>
    </row>
    <row r="320" spans="1:6" x14ac:dyDescent="0.2">
      <c r="A320" s="5">
        <v>290</v>
      </c>
      <c r="B320" s="18">
        <f t="shared" ca="1" si="14"/>
        <v>3490988.8460763665</v>
      </c>
      <c r="C320" s="32">
        <f t="shared" ca="1" si="15"/>
        <v>0.82178972951677931</v>
      </c>
      <c r="D320" s="33">
        <f t="shared" ca="1" si="13"/>
        <v>3.7716091886265221E-2</v>
      </c>
      <c r="E320" s="5"/>
      <c r="F320">
        <v>-574017.67760000005</v>
      </c>
    </row>
    <row r="321" spans="1:6" x14ac:dyDescent="0.2">
      <c r="A321" s="5">
        <v>291</v>
      </c>
      <c r="B321" s="18">
        <f t="shared" ca="1" si="14"/>
        <v>3623630.2743998677</v>
      </c>
      <c r="C321" s="32">
        <f t="shared" ca="1" si="15"/>
        <v>0.85786658995986098</v>
      </c>
      <c r="D321" s="33">
        <f t="shared" ca="1" si="13"/>
        <v>3.9188923546384369E-2</v>
      </c>
      <c r="E321" s="5"/>
      <c r="F321">
        <v>1899777.5544</v>
      </c>
    </row>
    <row r="322" spans="1:6" x14ac:dyDescent="0.2">
      <c r="A322" s="5">
        <v>292</v>
      </c>
      <c r="B322" s="18">
        <f t="shared" ca="1" si="14"/>
        <v>3646389.7151133004</v>
      </c>
      <c r="C322" s="32">
        <f t="shared" ca="1" si="15"/>
        <v>7.9952147506295951E-2</v>
      </c>
      <c r="D322" s="33">
        <f t="shared" ca="1" si="13"/>
        <v>7.4306994205026594E-3</v>
      </c>
      <c r="E322" s="5"/>
      <c r="F322">
        <v>10781739.051000001</v>
      </c>
    </row>
    <row r="323" spans="1:6" x14ac:dyDescent="0.2">
      <c r="A323" s="5">
        <v>293</v>
      </c>
      <c r="B323" s="18">
        <f t="shared" ca="1" si="14"/>
        <v>3731582.3900402342</v>
      </c>
      <c r="C323" s="32">
        <f t="shared" ca="1" si="15"/>
        <v>0.49821603191072023</v>
      </c>
      <c r="D323" s="33">
        <f t="shared" ca="1" si="13"/>
        <v>2.4506250997590764E-2</v>
      </c>
      <c r="E323" s="5"/>
      <c r="F323">
        <v>1093634.406</v>
      </c>
    </row>
    <row r="324" spans="1:6" x14ac:dyDescent="0.2">
      <c r="A324" s="5">
        <v>294</v>
      </c>
      <c r="B324" s="18">
        <f t="shared" ca="1" si="14"/>
        <v>3847424.1310173771</v>
      </c>
      <c r="C324" s="32">
        <f t="shared" ca="1" si="15"/>
        <v>0.68569854163670274</v>
      </c>
      <c r="D324" s="33">
        <f t="shared" ca="1" si="13"/>
        <v>3.2160192406341458E-2</v>
      </c>
      <c r="E324" s="5"/>
      <c r="F324">
        <v>1744000.2874</v>
      </c>
    </row>
    <row r="325" spans="1:6" x14ac:dyDescent="0.2">
      <c r="A325" s="5">
        <v>295</v>
      </c>
      <c r="B325" s="18">
        <f t="shared" ca="1" si="14"/>
        <v>3804455.39380816</v>
      </c>
      <c r="C325" s="32">
        <f t="shared" ca="1" si="15"/>
        <v>-0.34909819485288218</v>
      </c>
      <c r="D325" s="33">
        <f t="shared" ca="1" si="13"/>
        <v>-1.0085207458604303E-2</v>
      </c>
      <c r="E325" s="5"/>
      <c r="F325">
        <v>6480786.0897000004</v>
      </c>
    </row>
    <row r="326" spans="1:6" x14ac:dyDescent="0.2">
      <c r="A326" s="5">
        <v>296</v>
      </c>
      <c r="B326" s="18">
        <f t="shared" ca="1" si="14"/>
        <v>3833796.1401810041</v>
      </c>
      <c r="C326" s="32">
        <f t="shared" ca="1" si="15"/>
        <v>0.11367462568009468</v>
      </c>
      <c r="D326" s="33">
        <f t="shared" ca="1" si="13"/>
        <v>8.8074138269684868E-3</v>
      </c>
      <c r="E326" s="5"/>
      <c r="F326">
        <v>13395986.8905</v>
      </c>
    </row>
    <row r="327" spans="1:6" x14ac:dyDescent="0.2">
      <c r="A327" s="5">
        <v>297</v>
      </c>
      <c r="B327" s="18">
        <f t="shared" ca="1" si="14"/>
        <v>3652017.0171191124</v>
      </c>
      <c r="C327" s="32">
        <f t="shared" ca="1" si="15"/>
        <v>-1.2368639092887126</v>
      </c>
      <c r="D327" s="33">
        <f t="shared" ca="1" si="13"/>
        <v>-4.6328090983690083E-2</v>
      </c>
      <c r="E327" s="5"/>
      <c r="F327">
        <v>16480778.229900001</v>
      </c>
    </row>
    <row r="328" spans="1:6" x14ac:dyDescent="0.2">
      <c r="A328" s="5">
        <v>298</v>
      </c>
      <c r="B328" s="18">
        <f t="shared" ca="1" si="14"/>
        <v>3602313.0917640436</v>
      </c>
      <c r="C328" s="32">
        <f t="shared" ca="1" si="15"/>
        <v>-0.4074906824741315</v>
      </c>
      <c r="D328" s="33">
        <f t="shared" ca="1" si="13"/>
        <v>-1.2469070783335038E-2</v>
      </c>
      <c r="E328" s="5"/>
      <c r="F328">
        <v>-25937.745900000002</v>
      </c>
    </row>
    <row r="329" spans="1:6" x14ac:dyDescent="0.2">
      <c r="A329" s="5">
        <v>299</v>
      </c>
      <c r="B329" s="18">
        <f t="shared" ca="1" si="14"/>
        <v>3691590.6337494915</v>
      </c>
      <c r="C329" s="32">
        <f t="shared" ca="1" si="15"/>
        <v>0.53333697456613005</v>
      </c>
      <c r="D329" s="33">
        <f t="shared" ca="1" si="13"/>
        <v>2.5940057477445804E-2</v>
      </c>
      <c r="E329" s="5"/>
      <c r="F329">
        <v>18633807.762899999</v>
      </c>
    </row>
    <row r="330" spans="1:6" x14ac:dyDescent="0.2">
      <c r="A330" s="5">
        <v>300</v>
      </c>
      <c r="B330" s="18">
        <f t="shared" ca="1" si="14"/>
        <v>3764461.3956393148</v>
      </c>
      <c r="C330" s="32">
        <f t="shared" ca="1" si="15"/>
        <v>0.40910617376094194</v>
      </c>
      <c r="D330" s="33">
        <f t="shared" ca="1" si="13"/>
        <v>2.0868356272278329E-2</v>
      </c>
      <c r="E330" s="5"/>
      <c r="F330">
        <v>-70182.162400000001</v>
      </c>
    </row>
    <row r="331" spans="1:6" x14ac:dyDescent="0.2">
      <c r="A331" s="5">
        <v>301</v>
      </c>
      <c r="B331" s="18">
        <f t="shared" ca="1" si="14"/>
        <v>3870998.9836277068</v>
      </c>
      <c r="C331" s="32">
        <f t="shared" ca="1" si="15"/>
        <v>0.61827719444131146</v>
      </c>
      <c r="D331" s="33">
        <f t="shared" ca="1" si="13"/>
        <v>2.9407727433012551E-2</v>
      </c>
      <c r="E331" s="5"/>
      <c r="F331">
        <v>1247247.6728999999</v>
      </c>
    </row>
    <row r="332" spans="1:6" x14ac:dyDescent="0.2">
      <c r="A332" s="5">
        <v>302</v>
      </c>
      <c r="B332" s="18">
        <f t="shared" ca="1" si="14"/>
        <v>3697574.7000173638</v>
      </c>
      <c r="C332" s="32">
        <f t="shared" ca="1" si="15"/>
        <v>-1.173089986456753</v>
      </c>
      <c r="D332" s="33">
        <f t="shared" ca="1" si="13"/>
        <v>-4.3724531486457899E-2</v>
      </c>
      <c r="E332" s="5"/>
      <c r="F332">
        <v>18921862.219300002</v>
      </c>
    </row>
    <row r="333" spans="1:6" x14ac:dyDescent="0.2">
      <c r="A333" s="5">
        <v>303</v>
      </c>
      <c r="B333" s="18">
        <f t="shared" ca="1" si="14"/>
        <v>3805506.1210607598</v>
      </c>
      <c r="C333" s="32">
        <f t="shared" ca="1" si="15"/>
        <v>0.64054122362067023</v>
      </c>
      <c r="D333" s="33">
        <f t="shared" ca="1" si="13"/>
        <v>3.031665261814363E-2</v>
      </c>
      <c r="E333" s="5"/>
      <c r="F333">
        <v>11117037.3562</v>
      </c>
    </row>
    <row r="334" spans="1:6" x14ac:dyDescent="0.2">
      <c r="A334" s="5">
        <v>304</v>
      </c>
      <c r="B334" s="18">
        <f t="shared" ca="1" si="14"/>
        <v>3815006.1023461535</v>
      </c>
      <c r="C334" s="32">
        <f t="shared" ca="1" si="15"/>
        <v>-1.4093973467384256E-2</v>
      </c>
      <c r="D334" s="33">
        <f t="shared" ca="1" si="13"/>
        <v>3.5912826092764001E-3</v>
      </c>
      <c r="E334" s="5"/>
      <c r="F334">
        <v>15314363.2786</v>
      </c>
    </row>
    <row r="335" spans="1:6" x14ac:dyDescent="0.2">
      <c r="A335" s="5">
        <v>305</v>
      </c>
      <c r="B335" s="18">
        <f t="shared" ca="1" si="14"/>
        <v>3792836.6111515411</v>
      </c>
      <c r="C335" s="32">
        <f t="shared" ca="1" si="15"/>
        <v>-0.21765227834383932</v>
      </c>
      <c r="D335" s="33">
        <f t="shared" ca="1" si="13"/>
        <v>-4.7189503882770619E-3</v>
      </c>
      <c r="E335" s="5"/>
      <c r="F335">
        <v>-865189.84970000002</v>
      </c>
    </row>
    <row r="336" spans="1:6" x14ac:dyDescent="0.2">
      <c r="A336" s="5">
        <v>306</v>
      </c>
      <c r="B336" s="18">
        <f t="shared" ca="1" si="14"/>
        <v>3841066.1050611315</v>
      </c>
      <c r="C336" s="32">
        <f t="shared" ca="1" si="15"/>
        <v>0.23632281197255262</v>
      </c>
      <c r="D336" s="33">
        <f t="shared" ca="1" si="13"/>
        <v>1.3814505065207421E-2</v>
      </c>
      <c r="E336" s="5"/>
      <c r="F336">
        <v>15355542.197799999</v>
      </c>
    </row>
    <row r="337" spans="1:6" x14ac:dyDescent="0.2">
      <c r="A337" s="5">
        <v>307</v>
      </c>
      <c r="B337" s="18">
        <f t="shared" ca="1" si="14"/>
        <v>4178994.3776218742</v>
      </c>
      <c r="C337" s="32">
        <f t="shared" ca="1" si="15"/>
        <v>2.0795146609670576</v>
      </c>
      <c r="D337" s="33">
        <f t="shared" ca="1" si="13"/>
        <v>8.9062497200100774E-2</v>
      </c>
      <c r="E337" s="5"/>
      <c r="F337">
        <v>-1281489.4650999999</v>
      </c>
    </row>
    <row r="338" spans="1:6" x14ac:dyDescent="0.2">
      <c r="A338" s="5">
        <v>308</v>
      </c>
      <c r="B338" s="18">
        <f t="shared" ca="1" si="14"/>
        <v>3898410.1760039153</v>
      </c>
      <c r="C338" s="32">
        <f t="shared" ca="1" si="15"/>
        <v>-1.7222650578468428</v>
      </c>
      <c r="D338" s="33">
        <f t="shared" ca="1" si="13"/>
        <v>-6.6144509892495318E-2</v>
      </c>
      <c r="E338" s="5"/>
      <c r="F338">
        <v>-1320299.3263999999</v>
      </c>
    </row>
    <row r="339" spans="1:6" x14ac:dyDescent="0.2">
      <c r="A339" s="5">
        <v>309</v>
      </c>
      <c r="B339" s="18">
        <f t="shared" ca="1" si="14"/>
        <v>3733859.3038622788</v>
      </c>
      <c r="C339" s="32">
        <f t="shared" ca="1" si="15"/>
        <v>-1.1098048407668295</v>
      </c>
      <c r="D339" s="33">
        <f t="shared" ca="1" si="13"/>
        <v>-4.1140926232491125E-2</v>
      </c>
      <c r="E339" s="5"/>
      <c r="F339">
        <v>2089441.3600999999</v>
      </c>
    </row>
    <row r="340" spans="1:6" x14ac:dyDescent="0.2">
      <c r="A340" s="5">
        <v>310</v>
      </c>
      <c r="B340" s="18">
        <f t="shared" ca="1" si="14"/>
        <v>3705733.507129631</v>
      </c>
      <c r="C340" s="32">
        <f t="shared" ca="1" si="15"/>
        <v>-0.25923897342185015</v>
      </c>
      <c r="D340" s="33">
        <f t="shared" ca="1" si="13"/>
        <v>-6.4167201054410481E-3</v>
      </c>
      <c r="E340" s="5"/>
      <c r="F340">
        <v>-558760.77859999996</v>
      </c>
    </row>
    <row r="341" spans="1:6" x14ac:dyDescent="0.2">
      <c r="A341" s="5">
        <v>311</v>
      </c>
      <c r="B341" s="18">
        <f t="shared" ca="1" si="14"/>
        <v>3914439.4410462547</v>
      </c>
      <c r="C341" s="32">
        <f t="shared" ca="1" si="15"/>
        <v>1.3050257566765311</v>
      </c>
      <c r="D341" s="33">
        <f t="shared" ca="1" si="13"/>
        <v>5.7444120084116979E-2</v>
      </c>
      <c r="E341" s="5"/>
      <c r="F341">
        <v>4681919.7550999997</v>
      </c>
    </row>
    <row r="342" spans="1:6" x14ac:dyDescent="0.2">
      <c r="A342" s="5">
        <v>312</v>
      </c>
      <c r="B342" s="18">
        <f t="shared" ca="1" si="14"/>
        <v>3857323.2521828562</v>
      </c>
      <c r="C342" s="32">
        <f t="shared" ca="1" si="15"/>
        <v>-0.43339766602470881</v>
      </c>
      <c r="D342" s="33">
        <f t="shared" ca="1" si="13"/>
        <v>-1.3526718957894895E-2</v>
      </c>
      <c r="E342" s="5"/>
      <c r="F342">
        <v>-148826.4356</v>
      </c>
    </row>
    <row r="343" spans="1:6" x14ac:dyDescent="0.2">
      <c r="A343" s="5">
        <v>313</v>
      </c>
      <c r="B343" s="18">
        <f t="shared" ca="1" si="14"/>
        <v>3779776.8807399296</v>
      </c>
      <c r="C343" s="32">
        <f t="shared" ca="1" si="15"/>
        <v>-0.56804021970589402</v>
      </c>
      <c r="D343" s="33">
        <f t="shared" ca="1" si="13"/>
        <v>-1.9023478194298175E-2</v>
      </c>
      <c r="E343" s="5"/>
      <c r="F343">
        <v>-1865930.5741000001</v>
      </c>
    </row>
    <row r="344" spans="1:6" x14ac:dyDescent="0.2">
      <c r="A344" s="5">
        <v>314</v>
      </c>
      <c r="B344" s="18">
        <f t="shared" ca="1" si="14"/>
        <v>3801095.772090876</v>
      </c>
      <c r="C344" s="32">
        <f t="shared" ca="1" si="15"/>
        <v>6.3097445850180414E-2</v>
      </c>
      <c r="D344" s="33">
        <f t="shared" ca="1" si="13"/>
        <v>6.742609106763899E-3</v>
      </c>
      <c r="E344" s="5"/>
      <c r="F344">
        <v>86862.490900000004</v>
      </c>
    </row>
    <row r="345" spans="1:6" x14ac:dyDescent="0.2">
      <c r="A345" s="5">
        <v>315</v>
      </c>
      <c r="B345" s="18">
        <f t="shared" ca="1" si="14"/>
        <v>3897954.0213115462</v>
      </c>
      <c r="C345" s="32">
        <f t="shared" ca="1" si="15"/>
        <v>0.5489593961102579</v>
      </c>
      <c r="D345" s="33">
        <f t="shared" ca="1" si="13"/>
        <v>2.6577840166275409E-2</v>
      </c>
      <c r="E345" s="5"/>
      <c r="F345">
        <v>1002542.7722</v>
      </c>
    </row>
    <row r="346" spans="1:6" x14ac:dyDescent="0.2">
      <c r="A346" s="5">
        <v>316</v>
      </c>
      <c r="B346" s="18">
        <f t="shared" ca="1" si="14"/>
        <v>4033448.2519463329</v>
      </c>
      <c r="C346" s="32">
        <f t="shared" ca="1" si="15"/>
        <v>0.77557253655959135</v>
      </c>
      <c r="D346" s="33">
        <f t="shared" ca="1" si="13"/>
        <v>3.5829282884784174E-2</v>
      </c>
      <c r="E346" s="5"/>
      <c r="F346">
        <v>1420198.112</v>
      </c>
    </row>
    <row r="347" spans="1:6" x14ac:dyDescent="0.2">
      <c r="A347" s="5">
        <v>317</v>
      </c>
      <c r="B347" s="18">
        <f t="shared" ca="1" si="14"/>
        <v>4328374.7776071485</v>
      </c>
      <c r="C347" s="32">
        <f t="shared" ca="1" si="15"/>
        <v>1.7143135469024375</v>
      </c>
      <c r="D347" s="33">
        <f t="shared" ca="1" si="13"/>
        <v>7.4153224150862826E-2</v>
      </c>
      <c r="E347" s="5"/>
      <c r="F347">
        <v>-17014.920399999999</v>
      </c>
    </row>
    <row r="348" spans="1:6" x14ac:dyDescent="0.2">
      <c r="A348" s="5">
        <v>318</v>
      </c>
      <c r="B348" s="18">
        <f t="shared" ca="1" si="14"/>
        <v>4379768.7773163291</v>
      </c>
      <c r="C348" s="32">
        <f t="shared" ca="1" si="15"/>
        <v>0.21236375551224129</v>
      </c>
      <c r="D348" s="33">
        <f t="shared" ca="1" si="13"/>
        <v>1.2836380681102495E-2</v>
      </c>
      <c r="E348" s="5"/>
      <c r="F348">
        <v>-1347374.9709999999</v>
      </c>
    </row>
    <row r="349" spans="1:6" x14ac:dyDescent="0.2">
      <c r="A349" s="5">
        <v>319</v>
      </c>
      <c r="B349" s="18">
        <f t="shared" ca="1" si="14"/>
        <v>4866126.6752845477</v>
      </c>
      <c r="C349" s="32">
        <f t="shared" ca="1" si="15"/>
        <v>2.6413130933958038</v>
      </c>
      <c r="D349" s="33">
        <f t="shared" ca="1" si="13"/>
        <v>0.11199782216253214</v>
      </c>
      <c r="E349" s="5"/>
      <c r="F349">
        <v>1102692.2851</v>
      </c>
    </row>
    <row r="350" spans="1:6" x14ac:dyDescent="0.2">
      <c r="A350" s="5">
        <v>320</v>
      </c>
      <c r="B350" s="18">
        <f t="shared" ca="1" si="14"/>
        <v>4601917.8387241848</v>
      </c>
      <c r="C350" s="32">
        <f t="shared" ca="1" si="15"/>
        <v>-1.411051070129971</v>
      </c>
      <c r="D350" s="33">
        <f t="shared" ca="1" si="13"/>
        <v>-5.343925204710985E-2</v>
      </c>
      <c r="E350" s="5"/>
      <c r="F350">
        <v>41803.785199999998</v>
      </c>
    </row>
    <row r="351" spans="1:6" x14ac:dyDescent="0.2">
      <c r="A351" s="5">
        <v>321</v>
      </c>
      <c r="B351" s="18">
        <f t="shared" ca="1" si="14"/>
        <v>4700204.5615148349</v>
      </c>
      <c r="C351" s="32">
        <f t="shared" ca="1" si="15"/>
        <v>0.44327257998757152</v>
      </c>
      <c r="D351" s="33">
        <f t="shared" ca="1" si="13"/>
        <v>2.2263193965609874E-2</v>
      </c>
      <c r="E351" s="5"/>
      <c r="F351">
        <v>1745143.3988000001</v>
      </c>
    </row>
    <row r="352" spans="1:6" x14ac:dyDescent="0.2">
      <c r="A352" s="5">
        <v>322</v>
      </c>
      <c r="B352" s="18">
        <f t="shared" ca="1" si="14"/>
        <v>4790371.860320041</v>
      </c>
      <c r="C352" s="32">
        <f t="shared" ca="1" si="15"/>
        <v>0.38955500020552436</v>
      </c>
      <c r="D352" s="33">
        <f t="shared" ref="D352:D415" ca="1" si="16">$D$20+(C352*$D$21)</f>
        <v>2.0070182954222179E-2</v>
      </c>
      <c r="E352" s="5"/>
      <c r="F352">
        <v>-1755566.5131999999</v>
      </c>
    </row>
    <row r="353" spans="1:6" x14ac:dyDescent="0.2">
      <c r="A353" s="5">
        <v>323</v>
      </c>
      <c r="B353" s="18">
        <f t="shared" ref="B353:B416" ca="1" si="17">(B352*(1+D353))+$C$13</f>
        <v>4947618.9141168464</v>
      </c>
      <c r="C353" s="32">
        <f t="shared" ref="C353:C416" ca="1" si="18">NORMSINV(RAND())</f>
        <v>0.72330444202728739</v>
      </c>
      <c r="D353" s="33">
        <f t="shared" ca="1" si="16"/>
        <v>3.3695446860922511E-2</v>
      </c>
      <c r="E353" s="5"/>
      <c r="F353">
        <v>3030163.4988000002</v>
      </c>
    </row>
    <row r="354" spans="1:6" x14ac:dyDescent="0.2">
      <c r="A354" s="5">
        <v>324</v>
      </c>
      <c r="B354" s="18">
        <f t="shared" ca="1" si="17"/>
        <v>5124523.8034285614</v>
      </c>
      <c r="C354" s="32">
        <f t="shared" ca="1" si="18"/>
        <v>0.79439524711276532</v>
      </c>
      <c r="D354" s="33">
        <f t="shared" ca="1" si="16"/>
        <v>3.6597716825307117E-2</v>
      </c>
      <c r="E354" s="5"/>
      <c r="F354">
        <v>537742.97609999997</v>
      </c>
    </row>
    <row r="355" spans="1:6" x14ac:dyDescent="0.2">
      <c r="A355" s="5">
        <v>325</v>
      </c>
      <c r="B355" s="18">
        <f t="shared" ca="1" si="17"/>
        <v>5151544.5481708841</v>
      </c>
      <c r="C355" s="32">
        <f t="shared" ca="1" si="18"/>
        <v>4.7011767765394695E-2</v>
      </c>
      <c r="D355" s="33">
        <f t="shared" ca="1" si="16"/>
        <v>6.0859140488573188E-3</v>
      </c>
      <c r="E355" s="5"/>
      <c r="F355">
        <v>9033042.6411000006</v>
      </c>
    </row>
    <row r="356" spans="1:6" x14ac:dyDescent="0.2">
      <c r="A356" s="5">
        <v>326</v>
      </c>
      <c r="B356" s="18">
        <f t="shared" ca="1" si="17"/>
        <v>5336950.1122620273</v>
      </c>
      <c r="C356" s="32">
        <f t="shared" ca="1" si="18"/>
        <v>0.79932823938794628</v>
      </c>
      <c r="D356" s="33">
        <f t="shared" ca="1" si="16"/>
        <v>3.679910539162852E-2</v>
      </c>
      <c r="E356" s="5"/>
      <c r="F356">
        <v>2374349.8824</v>
      </c>
    </row>
    <row r="357" spans="1:6" x14ac:dyDescent="0.2">
      <c r="A357" s="5">
        <v>327</v>
      </c>
      <c r="B357" s="18">
        <f t="shared" ca="1" si="17"/>
        <v>5250333.851236321</v>
      </c>
      <c r="C357" s="32">
        <f t="shared" ca="1" si="18"/>
        <v>-0.48047939230400849</v>
      </c>
      <c r="D357" s="33">
        <f t="shared" ca="1" si="16"/>
        <v>-1.5448822384456062E-2</v>
      </c>
      <c r="E357" s="5"/>
      <c r="F357">
        <v>3953789.0186999999</v>
      </c>
    </row>
    <row r="358" spans="1:6" x14ac:dyDescent="0.2">
      <c r="A358" s="5">
        <v>328</v>
      </c>
      <c r="B358" s="18">
        <f t="shared" ca="1" si="17"/>
        <v>5196985.7246324578</v>
      </c>
      <c r="C358" s="32">
        <f t="shared" ca="1" si="18"/>
        <v>-0.33151316099370265</v>
      </c>
      <c r="D358" s="33">
        <f t="shared" ca="1" si="16"/>
        <v>-9.3673014575283847E-3</v>
      </c>
      <c r="E358" s="5"/>
      <c r="F358">
        <v>395343.91149999999</v>
      </c>
    </row>
    <row r="359" spans="1:6" x14ac:dyDescent="0.2">
      <c r="A359" s="5">
        <v>329</v>
      </c>
      <c r="B359" s="18">
        <f t="shared" ca="1" si="17"/>
        <v>5020786.9695663303</v>
      </c>
      <c r="C359" s="32">
        <f t="shared" ca="1" si="18"/>
        <v>-0.91289908139733855</v>
      </c>
      <c r="D359" s="33">
        <f t="shared" ca="1" si="16"/>
        <v>-3.3102282267982779E-2</v>
      </c>
      <c r="E359" s="5"/>
      <c r="F359">
        <v>255216.3309</v>
      </c>
    </row>
    <row r="360" spans="1:6" x14ac:dyDescent="0.2">
      <c r="A360" s="5">
        <v>330</v>
      </c>
      <c r="B360" s="18">
        <f t="shared" ca="1" si="17"/>
        <v>4895789.0700854538</v>
      </c>
      <c r="C360" s="32">
        <f t="shared" ca="1" si="18"/>
        <v>-0.69156102403596209</v>
      </c>
      <c r="D360" s="33">
        <f t="shared" ca="1" si="16"/>
        <v>-2.4066193914745338E-2</v>
      </c>
      <c r="E360" s="5"/>
      <c r="F360">
        <v>4474.5074000000004</v>
      </c>
    </row>
    <row r="361" spans="1:6" x14ac:dyDescent="0.2">
      <c r="A361" s="5">
        <v>331</v>
      </c>
      <c r="B361" s="18">
        <f t="shared" ca="1" si="17"/>
        <v>4855157.5824355781</v>
      </c>
      <c r="C361" s="32">
        <f t="shared" ca="1" si="18"/>
        <v>-0.28450499181067301</v>
      </c>
      <c r="D361" s="33">
        <f t="shared" ca="1" si="16"/>
        <v>-7.4482009868475944E-3</v>
      </c>
      <c r="E361" s="5"/>
      <c r="F361">
        <v>2858965.2519999999</v>
      </c>
    </row>
    <row r="362" spans="1:6" x14ac:dyDescent="0.2">
      <c r="A362" s="5">
        <v>332</v>
      </c>
      <c r="B362" s="18">
        <f t="shared" ca="1" si="17"/>
        <v>5028979.7068854477</v>
      </c>
      <c r="C362" s="32">
        <f t="shared" ca="1" si="18"/>
        <v>0.7959143797809175</v>
      </c>
      <c r="D362" s="33">
        <f t="shared" ca="1" si="16"/>
        <v>3.665973515678321E-2</v>
      </c>
      <c r="E362" s="5"/>
      <c r="F362">
        <v>578836.75230000005</v>
      </c>
    </row>
    <row r="363" spans="1:6" x14ac:dyDescent="0.2">
      <c r="A363" s="5">
        <v>333</v>
      </c>
      <c r="B363" s="18">
        <f t="shared" ca="1" si="17"/>
        <v>4778392.1981284386</v>
      </c>
      <c r="C363" s="32">
        <f t="shared" ca="1" si="18"/>
        <v>-1.3023161207320437</v>
      </c>
      <c r="D363" s="33">
        <f t="shared" ca="1" si="16"/>
        <v>-4.9000166326572003E-2</v>
      </c>
      <c r="E363" s="5"/>
      <c r="F363">
        <v>52450792.208899997</v>
      </c>
    </row>
    <row r="364" spans="1:6" x14ac:dyDescent="0.2">
      <c r="A364" s="5">
        <v>334</v>
      </c>
      <c r="B364" s="18">
        <f t="shared" ca="1" si="17"/>
        <v>4875242.459412002</v>
      </c>
      <c r="C364" s="32">
        <f t="shared" ca="1" si="18"/>
        <v>0.41576886005312713</v>
      </c>
      <c r="D364" s="33">
        <f t="shared" ca="1" si="16"/>
        <v>2.1140359301146494E-2</v>
      </c>
      <c r="E364" s="5"/>
      <c r="F364">
        <v>18988241.616999999</v>
      </c>
    </row>
    <row r="365" spans="1:6" x14ac:dyDescent="0.2">
      <c r="A365" s="5">
        <v>335</v>
      </c>
      <c r="B365" s="18">
        <f t="shared" ca="1" si="17"/>
        <v>4655358.1170942634</v>
      </c>
      <c r="C365" s="32">
        <f t="shared" ca="1" si="18"/>
        <v>-1.1859019805660154</v>
      </c>
      <c r="D365" s="33">
        <f t="shared" ca="1" si="16"/>
        <v>-4.4247578955711846E-2</v>
      </c>
      <c r="E365" s="5"/>
      <c r="F365">
        <v>16864175.660399999</v>
      </c>
    </row>
    <row r="366" spans="1:6" x14ac:dyDescent="0.2">
      <c r="A366" s="5">
        <v>336</v>
      </c>
      <c r="B366" s="18">
        <f t="shared" ca="1" si="17"/>
        <v>4905710.0528279757</v>
      </c>
      <c r="C366" s="32">
        <f t="shared" ca="1" si="18"/>
        <v>1.2371275025919961</v>
      </c>
      <c r="D366" s="33">
        <f t="shared" ca="1" si="16"/>
        <v>5.4672185468567738E-2</v>
      </c>
      <c r="E366" s="5"/>
      <c r="F366">
        <v>1464538.4782</v>
      </c>
    </row>
    <row r="367" spans="1:6" x14ac:dyDescent="0.2">
      <c r="A367" s="5">
        <v>337</v>
      </c>
      <c r="B367" s="18">
        <f t="shared" ca="1" si="17"/>
        <v>5389360.1212873617</v>
      </c>
      <c r="C367" s="32">
        <f t="shared" ca="1" si="18"/>
        <v>2.3336752134888763</v>
      </c>
      <c r="D367" s="33">
        <f t="shared" ca="1" si="16"/>
        <v>9.9438558307139102E-2</v>
      </c>
      <c r="E367" s="5"/>
      <c r="F367">
        <v>3773661.1762999999</v>
      </c>
    </row>
    <row r="368" spans="1:6" x14ac:dyDescent="0.2">
      <c r="A368" s="5">
        <v>338</v>
      </c>
      <c r="B368" s="18">
        <f t="shared" ca="1" si="17"/>
        <v>5142825.0851719137</v>
      </c>
      <c r="C368" s="32">
        <f t="shared" ca="1" si="18"/>
        <v>-1.2036378099561169</v>
      </c>
      <c r="D368" s="33">
        <f t="shared" ca="1" si="16"/>
        <v>-4.4971641158558617E-2</v>
      </c>
      <c r="E368" s="5"/>
      <c r="F368">
        <v>192180.96650000001</v>
      </c>
    </row>
    <row r="369" spans="1:6" x14ac:dyDescent="0.2">
      <c r="A369" s="5">
        <v>339</v>
      </c>
      <c r="B369" s="18">
        <f t="shared" ca="1" si="17"/>
        <v>5020449.4853830067</v>
      </c>
      <c r="C369" s="32">
        <f t="shared" ca="1" si="18"/>
        <v>-0.66508252225777875</v>
      </c>
      <c r="D369" s="33">
        <f t="shared" ca="1" si="16"/>
        <v>-2.2985213606246568E-2</v>
      </c>
      <c r="E369" s="5"/>
      <c r="F369">
        <v>1778945.7919999999</v>
      </c>
    </row>
    <row r="370" spans="1:6" x14ac:dyDescent="0.2">
      <c r="A370" s="5">
        <v>340</v>
      </c>
      <c r="B370" s="18">
        <f t="shared" ca="1" si="17"/>
        <v>5297022.1178681953</v>
      </c>
      <c r="C370" s="32">
        <f t="shared" ca="1" si="18"/>
        <v>1.2676719236541882</v>
      </c>
      <c r="D370" s="33">
        <f t="shared" ca="1" si="16"/>
        <v>5.5919156236752574E-2</v>
      </c>
      <c r="E370" s="5"/>
      <c r="F370">
        <v>-1422621.1151999999</v>
      </c>
    </row>
    <row r="371" spans="1:6" x14ac:dyDescent="0.2">
      <c r="A371" s="5">
        <v>341</v>
      </c>
      <c r="B371" s="18">
        <f t="shared" ca="1" si="17"/>
        <v>5281087.5500516417</v>
      </c>
      <c r="C371" s="32">
        <f t="shared" ca="1" si="18"/>
        <v>-0.15648010697436299</v>
      </c>
      <c r="D371" s="33">
        <f t="shared" ca="1" si="16"/>
        <v>-2.2216069497219436E-3</v>
      </c>
      <c r="E371" s="5"/>
      <c r="F371">
        <v>-712801.59149999998</v>
      </c>
    </row>
    <row r="372" spans="1:6" x14ac:dyDescent="0.2">
      <c r="A372" s="5">
        <v>342</v>
      </c>
      <c r="B372" s="18">
        <f t="shared" ca="1" si="17"/>
        <v>5228697.4901825497</v>
      </c>
      <c r="C372" s="32">
        <f t="shared" ca="1" si="18"/>
        <v>-0.3257332499862135</v>
      </c>
      <c r="D372" s="33">
        <f t="shared" ca="1" si="16"/>
        <v>-9.1313375787443127E-3</v>
      </c>
      <c r="E372" s="5"/>
      <c r="F372">
        <v>1961416.5554</v>
      </c>
    </row>
    <row r="373" spans="1:6" x14ac:dyDescent="0.2">
      <c r="A373" s="5">
        <v>343</v>
      </c>
      <c r="B373" s="18">
        <f t="shared" ca="1" si="17"/>
        <v>5655307.9542221418</v>
      </c>
      <c r="C373" s="32">
        <f t="shared" ca="1" si="18"/>
        <v>1.916001058922574</v>
      </c>
      <c r="D373" s="33">
        <f t="shared" ca="1" si="16"/>
        <v>8.2387082349875879E-2</v>
      </c>
      <c r="E373" s="5"/>
      <c r="F373">
        <v>45326366.943899997</v>
      </c>
    </row>
    <row r="374" spans="1:6" x14ac:dyDescent="0.2">
      <c r="A374" s="5">
        <v>344</v>
      </c>
      <c r="B374" s="18">
        <f t="shared" ca="1" si="17"/>
        <v>5748178.6590636978</v>
      </c>
      <c r="C374" s="32">
        <f t="shared" ca="1" si="18"/>
        <v>0.31823695990369472</v>
      </c>
      <c r="D374" s="33">
        <f t="shared" ca="1" si="16"/>
        <v>1.7158636150976698E-2</v>
      </c>
      <c r="E374" s="5"/>
      <c r="F374">
        <v>537949.06909999996</v>
      </c>
    </row>
    <row r="375" spans="1:6" x14ac:dyDescent="0.2">
      <c r="A375" s="5">
        <v>345</v>
      </c>
      <c r="B375" s="18">
        <f t="shared" ca="1" si="17"/>
        <v>5182532.7707412103</v>
      </c>
      <c r="C375" s="32">
        <f t="shared" ca="1" si="18"/>
        <v>-2.4947114243600881</v>
      </c>
      <c r="D375" s="33">
        <f t="shared" ca="1" si="16"/>
        <v>-9.7679500752900814E-2</v>
      </c>
      <c r="E375" s="5"/>
      <c r="F375">
        <v>453216.27559999999</v>
      </c>
    </row>
    <row r="376" spans="1:6" x14ac:dyDescent="0.2">
      <c r="A376" s="5">
        <v>346</v>
      </c>
      <c r="B376" s="18">
        <f t="shared" ca="1" si="17"/>
        <v>5200516.5831970256</v>
      </c>
      <c r="C376" s="32">
        <f t="shared" ca="1" si="18"/>
        <v>2.6306979046012116E-3</v>
      </c>
      <c r="D376" s="33">
        <f t="shared" ca="1" si="16"/>
        <v>4.2740644588946976E-3</v>
      </c>
      <c r="E376" s="5"/>
      <c r="F376">
        <v>1282260.7263</v>
      </c>
    </row>
    <row r="377" spans="1:6" x14ac:dyDescent="0.2">
      <c r="A377" s="5">
        <v>347</v>
      </c>
      <c r="B377" s="18">
        <f t="shared" ca="1" si="17"/>
        <v>5436974.6642967025</v>
      </c>
      <c r="C377" s="32">
        <f t="shared" ca="1" si="18"/>
        <v>1.0313019732133237</v>
      </c>
      <c r="D377" s="33">
        <f t="shared" ca="1" si="16"/>
        <v>4.6269393418301476E-2</v>
      </c>
      <c r="E377" s="5"/>
      <c r="F377">
        <v>-486226.24089999998</v>
      </c>
    </row>
    <row r="378" spans="1:6" x14ac:dyDescent="0.2">
      <c r="A378" s="5">
        <v>348</v>
      </c>
      <c r="B378" s="18">
        <f t="shared" ca="1" si="17"/>
        <v>6024047.6140750023</v>
      </c>
      <c r="C378" s="32">
        <f t="shared" ca="1" si="18"/>
        <v>2.5616166557754259</v>
      </c>
      <c r="D378" s="33">
        <f t="shared" ca="1" si="16"/>
        <v>0.10874422872107421</v>
      </c>
      <c r="E378" s="5"/>
      <c r="F378">
        <v>450581.32439999998</v>
      </c>
    </row>
    <row r="379" spans="1:6" x14ac:dyDescent="0.2">
      <c r="A379" s="5">
        <v>349</v>
      </c>
      <c r="B379" s="18">
        <f t="shared" ca="1" si="17"/>
        <v>5776658.1507764263</v>
      </c>
      <c r="C379" s="32">
        <f t="shared" ca="1" si="18"/>
        <v>-1.0910511771656999</v>
      </c>
      <c r="D379" s="33">
        <f t="shared" ca="1" si="16"/>
        <v>-4.0375311121981568E-2</v>
      </c>
      <c r="E379" s="5"/>
      <c r="F379">
        <v>1170926.1747999999</v>
      </c>
    </row>
    <row r="380" spans="1:6" x14ac:dyDescent="0.2">
      <c r="A380" s="5">
        <v>350</v>
      </c>
      <c r="B380" s="18">
        <f t="shared" ca="1" si="17"/>
        <v>5403302.85371878</v>
      </c>
      <c r="C380" s="32">
        <f t="shared" ca="1" si="18"/>
        <v>-1.6675411778202878</v>
      </c>
      <c r="D380" s="33">
        <f t="shared" ca="1" si="16"/>
        <v>-6.3910416845656251E-2</v>
      </c>
      <c r="E380" s="5"/>
      <c r="F380">
        <v>2107515.3487999998</v>
      </c>
    </row>
    <row r="381" spans="1:6" x14ac:dyDescent="0.2">
      <c r="A381" s="5">
        <v>351</v>
      </c>
      <c r="B381" s="18">
        <f t="shared" ca="1" si="17"/>
        <v>5168016.2107310062</v>
      </c>
      <c r="C381" s="32">
        <f t="shared" ca="1" si="18"/>
        <v>-1.1498027354611176</v>
      </c>
      <c r="D381" s="33">
        <f t="shared" ca="1" si="16"/>
        <v>-4.2773833445600797E-2</v>
      </c>
      <c r="E381" s="5"/>
      <c r="F381">
        <v>815094.64150000003</v>
      </c>
    </row>
    <row r="382" spans="1:6" x14ac:dyDescent="0.2">
      <c r="A382" s="5">
        <v>352</v>
      </c>
      <c r="B382" s="18">
        <f t="shared" ca="1" si="17"/>
        <v>5164846.7994362088</v>
      </c>
      <c r="C382" s="32">
        <f t="shared" ca="1" si="18"/>
        <v>-9.7335371489800163E-2</v>
      </c>
      <c r="D382" s="33">
        <f t="shared" ca="1" si="16"/>
        <v>1.9296676542907183E-4</v>
      </c>
      <c r="E382" s="5"/>
      <c r="F382">
        <v>904682.97640000004</v>
      </c>
    </row>
    <row r="383" spans="1:6" x14ac:dyDescent="0.2">
      <c r="A383" s="5">
        <v>353</v>
      </c>
      <c r="B383" s="18">
        <f t="shared" ca="1" si="17"/>
        <v>5128071.6196724167</v>
      </c>
      <c r="C383" s="32">
        <f t="shared" ca="1" si="18"/>
        <v>-0.25671180659749748</v>
      </c>
      <c r="D383" s="33">
        <f t="shared" ca="1" si="16"/>
        <v>-6.3135489518651522E-3</v>
      </c>
      <c r="E383" s="5"/>
      <c r="F383">
        <v>2550585.5446000001</v>
      </c>
    </row>
    <row r="384" spans="1:6" x14ac:dyDescent="0.2">
      <c r="A384" s="5">
        <v>354</v>
      </c>
      <c r="B384" s="18">
        <f t="shared" ca="1" si="17"/>
        <v>5514950.7517878488</v>
      </c>
      <c r="C384" s="32">
        <f t="shared" ca="1" si="18"/>
        <v>1.7658187685966127</v>
      </c>
      <c r="D384" s="33">
        <f t="shared" ca="1" si="16"/>
        <v>7.6255916021523762E-2</v>
      </c>
      <c r="E384" s="5"/>
      <c r="F384">
        <v>1560129.4742999999</v>
      </c>
    </row>
    <row r="385" spans="1:6" x14ac:dyDescent="0.2">
      <c r="A385" s="5">
        <v>355</v>
      </c>
      <c r="B385" s="18">
        <f t="shared" ca="1" si="17"/>
        <v>5196190.0266624829</v>
      </c>
      <c r="C385" s="32">
        <f t="shared" ca="1" si="18"/>
        <v>-1.4993454827811448</v>
      </c>
      <c r="D385" s="33">
        <f t="shared" ca="1" si="16"/>
        <v>-5.7043856349345112E-2</v>
      </c>
      <c r="E385" s="5"/>
      <c r="F385">
        <v>4073221.8053000001</v>
      </c>
    </row>
    <row r="386" spans="1:6" x14ac:dyDescent="0.2">
      <c r="A386" s="5">
        <v>356</v>
      </c>
      <c r="B386" s="18">
        <f t="shared" ca="1" si="17"/>
        <v>5647880.0083432617</v>
      </c>
      <c r="C386" s="32">
        <f t="shared" ca="1" si="18"/>
        <v>2.0468512245826567</v>
      </c>
      <c r="D386" s="33">
        <f t="shared" ca="1" si="16"/>
        <v>8.7729017993640079E-2</v>
      </c>
      <c r="E386" s="5"/>
      <c r="F386">
        <v>3258929.9317000001</v>
      </c>
    </row>
    <row r="387" spans="1:6" x14ac:dyDescent="0.2">
      <c r="A387" s="5">
        <v>357</v>
      </c>
      <c r="B387" s="18">
        <f t="shared" ca="1" si="17"/>
        <v>5712135.1586124152</v>
      </c>
      <c r="C387" s="32">
        <f t="shared" ca="1" si="18"/>
        <v>0.19468385420843268</v>
      </c>
      <c r="D387" s="33">
        <f t="shared" ca="1" si="16"/>
        <v>1.2114601732817525E-2</v>
      </c>
      <c r="E387" s="5"/>
      <c r="F387">
        <v>147056.02559999999</v>
      </c>
    </row>
    <row r="388" spans="1:6" x14ac:dyDescent="0.2">
      <c r="A388" s="5">
        <v>358</v>
      </c>
      <c r="B388" s="18">
        <f t="shared" ca="1" si="17"/>
        <v>5793516.9937977251</v>
      </c>
      <c r="C388" s="32">
        <f t="shared" ca="1" si="18"/>
        <v>0.26478880184371584</v>
      </c>
      <c r="D388" s="33">
        <f t="shared" ca="1" si="16"/>
        <v>1.4976624235333823E-2</v>
      </c>
      <c r="E388" s="5"/>
      <c r="F388">
        <v>209066.98800000001</v>
      </c>
    </row>
    <row r="389" spans="1:6" x14ac:dyDescent="0.2">
      <c r="A389" s="5">
        <v>359</v>
      </c>
      <c r="B389" s="18">
        <f t="shared" ca="1" si="17"/>
        <v>5376424.605235802</v>
      </c>
      <c r="C389" s="32">
        <f t="shared" ca="1" si="18"/>
        <v>-1.8479054375298636</v>
      </c>
      <c r="D389" s="33">
        <f t="shared" ca="1" si="16"/>
        <v>-7.1273756914377706E-2</v>
      </c>
      <c r="E389" s="5"/>
      <c r="F389">
        <v>3994017.7996999999</v>
      </c>
    </row>
    <row r="390" spans="1:6" x14ac:dyDescent="0.2">
      <c r="A390" s="5">
        <v>360</v>
      </c>
      <c r="B390" s="18">
        <f t="shared" ca="1" si="17"/>
        <v>5481888.1290534576</v>
      </c>
      <c r="C390" s="32">
        <f t="shared" ca="1" si="18"/>
        <v>0.39741117737474696</v>
      </c>
      <c r="D390" s="33">
        <f t="shared" ca="1" si="16"/>
        <v>2.0390910044113815E-2</v>
      </c>
      <c r="E390" s="5"/>
      <c r="F390">
        <v>-587500.15919999999</v>
      </c>
    </row>
    <row r="391" spans="1:6" x14ac:dyDescent="0.2">
      <c r="A391" s="5">
        <v>361</v>
      </c>
      <c r="B391" s="18">
        <f t="shared" ca="1" si="17"/>
        <v>5529955.0887791328</v>
      </c>
      <c r="C391" s="32">
        <f t="shared" ca="1" si="18"/>
        <v>0.13133512386878649</v>
      </c>
      <c r="D391" s="33">
        <f t="shared" ca="1" si="16"/>
        <v>9.5284006463958442E-3</v>
      </c>
      <c r="E391" s="5"/>
      <c r="F391">
        <v>-270468.12420000002</v>
      </c>
    </row>
    <row r="392" spans="1:6" x14ac:dyDescent="0.2">
      <c r="A392" s="5">
        <v>362</v>
      </c>
      <c r="B392" s="18">
        <f t="shared" ca="1" si="17"/>
        <v>5513875.6543616932</v>
      </c>
      <c r="C392" s="32">
        <f t="shared" ca="1" si="18"/>
        <v>-0.15482959413324987</v>
      </c>
      <c r="D392" s="33">
        <f t="shared" ca="1" si="16"/>
        <v>-2.1542250451446355E-3</v>
      </c>
      <c r="E392" s="5"/>
      <c r="F392">
        <v>1656739.1170000001</v>
      </c>
    </row>
    <row r="393" spans="1:6" x14ac:dyDescent="0.2">
      <c r="A393" s="5">
        <v>363</v>
      </c>
      <c r="B393" s="18">
        <f t="shared" ca="1" si="17"/>
        <v>5700096.2681063265</v>
      </c>
      <c r="C393" s="32">
        <f t="shared" ca="1" si="18"/>
        <v>0.74371632312090885</v>
      </c>
      <c r="D393" s="33">
        <f t="shared" ca="1" si="16"/>
        <v>3.4528758417084769E-2</v>
      </c>
      <c r="E393" s="5"/>
      <c r="F393">
        <v>1322981.5586000001</v>
      </c>
    </row>
    <row r="394" spans="1:6" x14ac:dyDescent="0.2">
      <c r="A394" s="5">
        <v>364</v>
      </c>
      <c r="B394" s="18">
        <f t="shared" ca="1" si="17"/>
        <v>5240287.3590144124</v>
      </c>
      <c r="C394" s="32">
        <f t="shared" ca="1" si="18"/>
        <v>-2.060083387877286</v>
      </c>
      <c r="D394" s="33">
        <f t="shared" ca="1" si="16"/>
        <v>-7.9935885464723855E-2</v>
      </c>
      <c r="E394" s="5"/>
      <c r="F394">
        <v>19871910.107900001</v>
      </c>
    </row>
    <row r="395" spans="1:6" x14ac:dyDescent="0.2">
      <c r="A395" s="5">
        <v>365</v>
      </c>
      <c r="B395" s="18">
        <f t="shared" ca="1" si="17"/>
        <v>5302759.1575682983</v>
      </c>
      <c r="C395" s="32">
        <f t="shared" ca="1" si="18"/>
        <v>0.20942893131107534</v>
      </c>
      <c r="D395" s="33">
        <f t="shared" ca="1" si="16"/>
        <v>1.2716566984808698E-2</v>
      </c>
      <c r="E395" s="5"/>
      <c r="F395">
        <v>-979184.429</v>
      </c>
    </row>
    <row r="396" spans="1:6" x14ac:dyDescent="0.2">
      <c r="A396" s="5">
        <v>366</v>
      </c>
      <c r="B396" s="18">
        <f t="shared" ca="1" si="17"/>
        <v>5166715.552461247</v>
      </c>
      <c r="C396" s="32">
        <f t="shared" ca="1" si="18"/>
        <v>-0.71123778363864765</v>
      </c>
      <c r="D396" s="33">
        <f t="shared" ca="1" si="16"/>
        <v>-2.4869494261711814E-2</v>
      </c>
      <c r="E396" s="5"/>
      <c r="F396">
        <v>19555148.465100002</v>
      </c>
    </row>
    <row r="397" spans="1:6" x14ac:dyDescent="0.2">
      <c r="A397" s="5">
        <v>367</v>
      </c>
      <c r="B397" s="18">
        <f t="shared" ca="1" si="17"/>
        <v>5136576.9095521336</v>
      </c>
      <c r="C397" s="32">
        <f t="shared" ca="1" si="18"/>
        <v>-0.22519269352923743</v>
      </c>
      <c r="D397" s="33">
        <f t="shared" ca="1" si="16"/>
        <v>-5.0267865491597152E-3</v>
      </c>
      <c r="E397" s="5"/>
      <c r="F397">
        <v>30614137.374000002</v>
      </c>
    </row>
    <row r="398" spans="1:6" x14ac:dyDescent="0.2">
      <c r="A398" s="5">
        <v>368</v>
      </c>
      <c r="B398" s="18">
        <f t="shared" ca="1" si="17"/>
        <v>5864096.6517582582</v>
      </c>
      <c r="C398" s="32">
        <f t="shared" ca="1" si="18"/>
        <v>3.3871455943320821</v>
      </c>
      <c r="D398" s="33">
        <f t="shared" ca="1" si="16"/>
        <v>0.14244630651049447</v>
      </c>
      <c r="E398" s="5"/>
      <c r="F398">
        <v>-463382.63880000002</v>
      </c>
    </row>
    <row r="399" spans="1:6" x14ac:dyDescent="0.2">
      <c r="A399" s="5">
        <v>369</v>
      </c>
      <c r="B399" s="18">
        <f t="shared" ca="1" si="17"/>
        <v>6091713.787496631</v>
      </c>
      <c r="C399" s="32">
        <f t="shared" ca="1" si="18"/>
        <v>0.86612123037273669</v>
      </c>
      <c r="D399" s="33">
        <f t="shared" ca="1" si="16"/>
        <v>3.9525917830079409E-2</v>
      </c>
      <c r="E399" s="5"/>
      <c r="F399">
        <v>4871888.2916000001</v>
      </c>
    </row>
    <row r="400" spans="1:6" x14ac:dyDescent="0.2">
      <c r="A400" s="5">
        <v>370</v>
      </c>
      <c r="B400" s="18">
        <f t="shared" ca="1" si="17"/>
        <v>5982189.4683039431</v>
      </c>
      <c r="C400" s="32">
        <f t="shared" ca="1" si="18"/>
        <v>-0.52570720465730292</v>
      </c>
      <c r="D400" s="33">
        <f t="shared" ca="1" si="16"/>
        <v>-1.7295240091921345E-2</v>
      </c>
      <c r="E400" s="5"/>
      <c r="F400">
        <v>-1169619.9820000001</v>
      </c>
    </row>
    <row r="401" spans="1:6" x14ac:dyDescent="0.2">
      <c r="A401" s="5">
        <v>371</v>
      </c>
      <c r="B401" s="18">
        <f t="shared" ca="1" si="17"/>
        <v>6549492.9926551105</v>
      </c>
      <c r="C401" s="32">
        <f t="shared" ca="1" si="18"/>
        <v>2.237901211096947</v>
      </c>
      <c r="D401" s="33">
        <f t="shared" ca="1" si="16"/>
        <v>9.5528601032400393E-2</v>
      </c>
      <c r="E401" s="5"/>
      <c r="F401">
        <v>7660440.0487000002</v>
      </c>
    </row>
    <row r="402" spans="1:6" x14ac:dyDescent="0.2">
      <c r="A402" s="5">
        <v>372</v>
      </c>
      <c r="B402" s="18">
        <f t="shared" ca="1" si="17"/>
        <v>6549681.2424754035</v>
      </c>
      <c r="C402" s="32">
        <f t="shared" ca="1" si="18"/>
        <v>-8.5774822171622342E-2</v>
      </c>
      <c r="D402" s="33">
        <f t="shared" ca="1" si="16"/>
        <v>6.6492421502599864E-4</v>
      </c>
      <c r="E402" s="5"/>
      <c r="F402">
        <v>215886.40900000001</v>
      </c>
    </row>
    <row r="403" spans="1:6" x14ac:dyDescent="0.2">
      <c r="A403" s="5">
        <v>373</v>
      </c>
      <c r="B403" s="18">
        <f t="shared" ca="1" si="17"/>
        <v>6570204.6868145717</v>
      </c>
      <c r="C403" s="32">
        <f t="shared" ca="1" si="18"/>
        <v>-9.7244894298350072E-3</v>
      </c>
      <c r="D403" s="33">
        <f t="shared" ca="1" si="16"/>
        <v>3.7696660481302616E-3</v>
      </c>
      <c r="E403" s="5"/>
      <c r="F403">
        <v>-353440.74219999998</v>
      </c>
    </row>
    <row r="404" spans="1:6" x14ac:dyDescent="0.2">
      <c r="A404" s="5">
        <v>374</v>
      </c>
      <c r="B404" s="18">
        <f t="shared" ca="1" si="17"/>
        <v>6194463.4996574726</v>
      </c>
      <c r="C404" s="32">
        <f t="shared" ca="1" si="18"/>
        <v>-1.487358300064503</v>
      </c>
      <c r="D404" s="33">
        <f t="shared" ca="1" si="16"/>
        <v>-5.6554481664190415E-2</v>
      </c>
      <c r="E404" s="5"/>
      <c r="F404">
        <v>4223045.4435000001</v>
      </c>
    </row>
    <row r="405" spans="1:6" x14ac:dyDescent="0.2">
      <c r="A405" s="5">
        <v>375</v>
      </c>
      <c r="B405" s="18">
        <f t="shared" ca="1" si="17"/>
        <v>6190343.8277031388</v>
      </c>
      <c r="C405" s="32">
        <f t="shared" ca="1" si="18"/>
        <v>-0.10187624043561314</v>
      </c>
      <c r="D405" s="33">
        <f t="shared" ca="1" si="16"/>
        <v>7.5865669942123959E-6</v>
      </c>
      <c r="E405" s="5"/>
      <c r="F405">
        <v>-1196161.8049000001</v>
      </c>
    </row>
    <row r="406" spans="1:6" x14ac:dyDescent="0.2">
      <c r="A406" s="5">
        <v>376</v>
      </c>
      <c r="B406" s="18">
        <f t="shared" ca="1" si="17"/>
        <v>6122488.5579221882</v>
      </c>
      <c r="C406" s="32">
        <f t="shared" ca="1" si="18"/>
        <v>-0.35407485963188456</v>
      </c>
      <c r="D406" s="33">
        <f t="shared" ca="1" si="16"/>
        <v>-1.0288378947428248E-2</v>
      </c>
      <c r="E406" s="5"/>
      <c r="F406">
        <v>17926205.350099999</v>
      </c>
    </row>
    <row r="407" spans="1:6" x14ac:dyDescent="0.2">
      <c r="A407" s="5">
        <v>377</v>
      </c>
      <c r="B407" s="18">
        <f t="shared" ca="1" si="17"/>
        <v>6051106.1234671064</v>
      </c>
      <c r="C407" s="32">
        <f t="shared" ca="1" si="18"/>
        <v>-0.37097941267040513</v>
      </c>
      <c r="D407" s="33">
        <f t="shared" ca="1" si="16"/>
        <v>-1.097850443533142E-2</v>
      </c>
      <c r="E407" s="5"/>
      <c r="F407">
        <v>3800058.7228000001</v>
      </c>
    </row>
    <row r="408" spans="1:6" x14ac:dyDescent="0.2">
      <c r="A408" s="5">
        <v>378</v>
      </c>
      <c r="B408" s="18">
        <f t="shared" ca="1" si="17"/>
        <v>5742716.7779738037</v>
      </c>
      <c r="C408" s="32">
        <f t="shared" ca="1" si="18"/>
        <v>-1.3335564739749248</v>
      </c>
      <c r="D408" s="33">
        <f t="shared" ca="1" si="16"/>
        <v>-5.0275548407061346E-2</v>
      </c>
      <c r="E408" s="5"/>
      <c r="F408">
        <v>-1489486.6332</v>
      </c>
    </row>
    <row r="409" spans="1:6" x14ac:dyDescent="0.2">
      <c r="A409" s="5">
        <v>379</v>
      </c>
      <c r="B409" s="18">
        <f t="shared" ca="1" si="17"/>
        <v>5373631.6213200791</v>
      </c>
      <c r="C409" s="32">
        <f t="shared" ca="1" si="18"/>
        <v>-1.6585798894159172</v>
      </c>
      <c r="D409" s="33">
        <f t="shared" ca="1" si="16"/>
        <v>-6.3544573778512456E-2</v>
      </c>
      <c r="E409" s="5"/>
      <c r="F409">
        <v>-702119.65989999997</v>
      </c>
    </row>
    <row r="410" spans="1:6" x14ac:dyDescent="0.2">
      <c r="A410" s="5">
        <v>380</v>
      </c>
      <c r="B410" s="18">
        <f t="shared" ca="1" si="17"/>
        <v>5579038.7823376982</v>
      </c>
      <c r="C410" s="32">
        <f t="shared" ca="1" si="18"/>
        <v>0.85324893015493086</v>
      </c>
      <c r="D410" s="33">
        <f t="shared" ca="1" si="16"/>
        <v>3.9000408374253726E-2</v>
      </c>
      <c r="E410" s="5"/>
      <c r="F410">
        <v>604762.79940000002</v>
      </c>
    </row>
    <row r="411" spans="1:6" x14ac:dyDescent="0.2">
      <c r="A411" s="5">
        <v>381</v>
      </c>
      <c r="B411" s="18">
        <f t="shared" ca="1" si="17"/>
        <v>5178943.0506340135</v>
      </c>
      <c r="C411" s="32">
        <f t="shared" ca="1" si="18"/>
        <v>-1.8403976919133425</v>
      </c>
      <c r="D411" s="33">
        <f t="shared" ca="1" si="16"/>
        <v>-7.0967254483059475E-2</v>
      </c>
      <c r="E411" s="5"/>
      <c r="F411">
        <v>-557089.19570000004</v>
      </c>
    </row>
    <row r="412" spans="1:6" x14ac:dyDescent="0.2">
      <c r="A412" s="5">
        <v>382</v>
      </c>
      <c r="B412" s="18">
        <f t="shared" ca="1" si="17"/>
        <v>5307659.1888147127</v>
      </c>
      <c r="C412" s="32">
        <f t="shared" ca="1" si="18"/>
        <v>0.5264350247329509</v>
      </c>
      <c r="D412" s="33">
        <f t="shared" ca="1" si="16"/>
        <v>2.5658286555419532E-2</v>
      </c>
      <c r="E412" s="5"/>
      <c r="F412">
        <v>168920.0062</v>
      </c>
    </row>
    <row r="413" spans="1:6" x14ac:dyDescent="0.2">
      <c r="A413" s="5">
        <v>383</v>
      </c>
      <c r="B413" s="18">
        <f t="shared" ca="1" si="17"/>
        <v>5254149.5359852444</v>
      </c>
      <c r="C413" s="32">
        <f t="shared" ca="1" si="18"/>
        <v>-0.32978042110899752</v>
      </c>
      <c r="D413" s="33">
        <f t="shared" ca="1" si="16"/>
        <v>-9.2965626479534422E-3</v>
      </c>
      <c r="E413" s="5"/>
      <c r="F413">
        <v>-103046.2089</v>
      </c>
    </row>
    <row r="414" spans="1:6" x14ac:dyDescent="0.2">
      <c r="A414" s="5">
        <v>384</v>
      </c>
      <c r="B414" s="18">
        <f t="shared" ca="1" si="17"/>
        <v>5737947.3218339598</v>
      </c>
      <c r="C414" s="32">
        <f t="shared" ca="1" si="18"/>
        <v>2.1728330613975824</v>
      </c>
      <c r="D414" s="33">
        <f t="shared" ca="1" si="16"/>
        <v>9.2872204944559167E-2</v>
      </c>
      <c r="E414" s="5"/>
      <c r="F414">
        <v>1120936.3151</v>
      </c>
    </row>
    <row r="415" spans="1:6" x14ac:dyDescent="0.2">
      <c r="A415" s="5">
        <v>385</v>
      </c>
      <c r="B415" s="18">
        <f t="shared" ca="1" si="17"/>
        <v>5610351.2648107382</v>
      </c>
      <c r="C415" s="32">
        <f t="shared" ca="1" si="18"/>
        <v>-0.62897354230810543</v>
      </c>
      <c r="D415" s="33">
        <f t="shared" ca="1" si="16"/>
        <v>-2.1511070672761763E-2</v>
      </c>
      <c r="E415" s="5"/>
      <c r="F415">
        <v>-361577.91720000003</v>
      </c>
    </row>
    <row r="416" spans="1:6" x14ac:dyDescent="0.2">
      <c r="A416" s="5">
        <v>386</v>
      </c>
      <c r="B416" s="18">
        <f t="shared" ca="1" si="17"/>
        <v>5121298.5768554127</v>
      </c>
      <c r="C416" s="32">
        <f t="shared" ca="1" si="18"/>
        <v>-2.2190834131782871</v>
      </c>
      <c r="D416" s="33">
        <f t="shared" ref="D416:D479" ca="1" si="19">$D$20+(C416*$D$21)</f>
        <v>-8.642703431600833E-2</v>
      </c>
      <c r="E416" s="5"/>
      <c r="F416">
        <v>12706209.193299999</v>
      </c>
    </row>
    <row r="417" spans="1:6" x14ac:dyDescent="0.2">
      <c r="A417" s="5">
        <v>387</v>
      </c>
      <c r="B417" s="18">
        <f t="shared" ref="B417:B480" ca="1" si="20">(B416*(1+D417))+$C$13</f>
        <v>5069790.2216462456</v>
      </c>
      <c r="C417" s="32">
        <f t="shared" ref="C417:C480" ca="1" si="21">NORMSINV(RAND())</f>
        <v>-0.32849483913139799</v>
      </c>
      <c r="D417" s="33">
        <f t="shared" ca="1" si="19"/>
        <v>-9.2440789834928247E-3</v>
      </c>
      <c r="E417" s="5"/>
      <c r="F417">
        <v>-784984.7807</v>
      </c>
    </row>
    <row r="418" spans="1:6" x14ac:dyDescent="0.2">
      <c r="A418" s="5">
        <v>388</v>
      </c>
      <c r="B418" s="18">
        <f t="shared" ca="1" si="20"/>
        <v>5305790.1844811244</v>
      </c>
      <c r="C418" s="32">
        <f t="shared" ca="1" si="21"/>
        <v>1.0583127551452862</v>
      </c>
      <c r="D418" s="33">
        <f t="shared" ca="1" si="19"/>
        <v>4.7372103973083064E-2</v>
      </c>
      <c r="E418" s="5"/>
      <c r="F418">
        <v>1377972.0433</v>
      </c>
    </row>
    <row r="419" spans="1:6" x14ac:dyDescent="0.2">
      <c r="A419" s="5">
        <v>389</v>
      </c>
      <c r="B419" s="18">
        <f t="shared" ca="1" si="20"/>
        <v>5313990.3017978631</v>
      </c>
      <c r="C419" s="32">
        <f t="shared" ca="1" si="21"/>
        <v>-4.4969143070485197E-2</v>
      </c>
      <c r="D419" s="33">
        <f t="shared" ca="1" si="19"/>
        <v>2.3308090884516211E-3</v>
      </c>
      <c r="E419" s="5"/>
      <c r="F419">
        <v>3437775.7111</v>
      </c>
    </row>
    <row r="420" spans="1:6" x14ac:dyDescent="0.2">
      <c r="A420" s="5">
        <v>390</v>
      </c>
      <c r="B420" s="18">
        <f t="shared" ca="1" si="20"/>
        <v>5455039.6041773604</v>
      </c>
      <c r="C420" s="32">
        <f t="shared" ca="1" si="21"/>
        <v>0.56731255260033475</v>
      </c>
      <c r="D420" s="33">
        <f t="shared" ca="1" si="19"/>
        <v>2.732710464244437E-2</v>
      </c>
      <c r="E420" s="5"/>
      <c r="F420">
        <v>6013065.2280999999</v>
      </c>
    </row>
    <row r="421" spans="1:6" x14ac:dyDescent="0.2">
      <c r="A421" s="5">
        <v>391</v>
      </c>
      <c r="B421" s="18">
        <f t="shared" ca="1" si="20"/>
        <v>5333062.2578512905</v>
      </c>
      <c r="C421" s="32">
        <f t="shared" ca="1" si="21"/>
        <v>-0.63107024186012228</v>
      </c>
      <c r="D421" s="33">
        <f t="shared" ca="1" si="19"/>
        <v>-2.1596668073534483E-2</v>
      </c>
      <c r="E421" s="5"/>
      <c r="F421">
        <v>3665179.5104999999</v>
      </c>
    </row>
    <row r="422" spans="1:6" x14ac:dyDescent="0.2">
      <c r="A422" s="5">
        <v>392</v>
      </c>
      <c r="B422" s="18">
        <f t="shared" ca="1" si="20"/>
        <v>5095407.52941423</v>
      </c>
      <c r="C422" s="32">
        <f t="shared" ca="1" si="21"/>
        <v>-1.1744789781694656</v>
      </c>
      <c r="D422" s="33">
        <f t="shared" ca="1" si="19"/>
        <v>-4.3781236835676238E-2</v>
      </c>
      <c r="E422" s="5"/>
      <c r="F422">
        <v>5677944.1199000003</v>
      </c>
    </row>
    <row r="423" spans="1:6" x14ac:dyDescent="0.2">
      <c r="A423" s="5">
        <v>393</v>
      </c>
      <c r="B423" s="18">
        <f t="shared" ca="1" si="20"/>
        <v>5208481.815532269</v>
      </c>
      <c r="C423" s="32">
        <f t="shared" ca="1" si="21"/>
        <v>0.4615444880417604</v>
      </c>
      <c r="D423" s="33">
        <f t="shared" ca="1" si="19"/>
        <v>2.3009141488273422E-2</v>
      </c>
      <c r="E423" s="5"/>
      <c r="F423">
        <v>2245091.3078000001</v>
      </c>
    </row>
    <row r="424" spans="1:6" x14ac:dyDescent="0.2">
      <c r="A424" s="5">
        <v>394</v>
      </c>
      <c r="B424" s="18">
        <f t="shared" ca="1" si="20"/>
        <v>5206057.9923057975</v>
      </c>
      <c r="C424" s="32">
        <f t="shared" ca="1" si="21"/>
        <v>-9.3865678193881016E-2</v>
      </c>
      <c r="D424" s="33">
        <f t="shared" ca="1" si="19"/>
        <v>3.3461640107836348E-4</v>
      </c>
      <c r="E424" s="5"/>
      <c r="F424">
        <v>7772967.3608999997</v>
      </c>
    </row>
    <row r="425" spans="1:6" x14ac:dyDescent="0.2">
      <c r="A425" s="5">
        <v>395</v>
      </c>
      <c r="B425" s="18">
        <f t="shared" ca="1" si="20"/>
        <v>5079768.0013918895</v>
      </c>
      <c r="C425" s="32">
        <f t="shared" ca="1" si="21"/>
        <v>-0.67666156908778563</v>
      </c>
      <c r="D425" s="33">
        <f t="shared" ca="1" si="19"/>
        <v>-2.3457926213601699E-2</v>
      </c>
      <c r="E425" s="5"/>
      <c r="F425">
        <v>2070960.0760999999</v>
      </c>
    </row>
    <row r="426" spans="1:6" x14ac:dyDescent="0.2">
      <c r="A426" s="5">
        <v>396</v>
      </c>
      <c r="B426" s="18">
        <f t="shared" ca="1" si="20"/>
        <v>5304266.3554989602</v>
      </c>
      <c r="C426" s="32">
        <f t="shared" ca="1" si="21"/>
        <v>1.0005721869901825</v>
      </c>
      <c r="D426" s="33">
        <f t="shared" ca="1" si="19"/>
        <v>4.5014855149109738E-2</v>
      </c>
      <c r="E426" s="5"/>
      <c r="F426">
        <v>7910928.0400999999</v>
      </c>
    </row>
    <row r="427" spans="1:6" x14ac:dyDescent="0.2">
      <c r="A427" s="5">
        <v>397</v>
      </c>
      <c r="B427" s="18">
        <f t="shared" ca="1" si="20"/>
        <v>5305034.7369398233</v>
      </c>
      <c r="C427" s="32">
        <f t="shared" ca="1" si="21"/>
        <v>-7.9272210815370142E-2</v>
      </c>
      <c r="D427" s="33">
        <f t="shared" ca="1" si="19"/>
        <v>9.3039221200008496E-4</v>
      </c>
      <c r="E427" s="5"/>
      <c r="F427">
        <v>2658515.6466999999</v>
      </c>
    </row>
    <row r="428" spans="1:6" x14ac:dyDescent="0.2">
      <c r="A428" s="5">
        <v>398</v>
      </c>
      <c r="B428" s="18">
        <f t="shared" ca="1" si="20"/>
        <v>5267246.9855269156</v>
      </c>
      <c r="C428" s="32">
        <f t="shared" ca="1" si="21"/>
        <v>-0.2573004571145856</v>
      </c>
      <c r="D428" s="33">
        <f t="shared" ca="1" si="19"/>
        <v>-6.3375805085933408E-3</v>
      </c>
      <c r="E428" s="5"/>
      <c r="F428">
        <v>-475680.05699999997</v>
      </c>
    </row>
    <row r="429" spans="1:6" x14ac:dyDescent="0.2">
      <c r="A429" s="5">
        <v>399</v>
      </c>
      <c r="B429" s="18">
        <f t="shared" ca="1" si="20"/>
        <v>5375534.8405969655</v>
      </c>
      <c r="C429" s="32">
        <f t="shared" ca="1" si="21"/>
        <v>0.4208984004367699</v>
      </c>
      <c r="D429" s="33">
        <f t="shared" ca="1" si="19"/>
        <v>2.1349771910395245E-2</v>
      </c>
      <c r="E429" s="5"/>
      <c r="F429">
        <v>8822164.9513000008</v>
      </c>
    </row>
    <row r="430" spans="1:6" x14ac:dyDescent="0.2">
      <c r="A430" s="5">
        <v>400</v>
      </c>
      <c r="B430" s="18">
        <f t="shared" ca="1" si="20"/>
        <v>5576807.6210541101</v>
      </c>
      <c r="C430" s="32">
        <f t="shared" ca="1" si="21"/>
        <v>0.83407141626481418</v>
      </c>
      <c r="D430" s="33">
        <f t="shared" ca="1" si="19"/>
        <v>3.8217489648155016E-2</v>
      </c>
      <c r="E430" s="5"/>
      <c r="F430">
        <v>3333873.5743</v>
      </c>
    </row>
    <row r="431" spans="1:6" x14ac:dyDescent="0.2">
      <c r="A431" s="5">
        <v>401</v>
      </c>
      <c r="B431" s="18">
        <f t="shared" ca="1" si="20"/>
        <v>5645773.0957714356</v>
      </c>
      <c r="C431" s="32">
        <f t="shared" ca="1" si="21"/>
        <v>0.21915472803458053</v>
      </c>
      <c r="D431" s="33">
        <f t="shared" ca="1" si="19"/>
        <v>1.3113620973385701E-2</v>
      </c>
      <c r="E431" s="5"/>
      <c r="F431">
        <v>2761574.0463999999</v>
      </c>
    </row>
    <row r="432" spans="1:6" x14ac:dyDescent="0.2">
      <c r="A432" s="5">
        <v>402</v>
      </c>
      <c r="B432" s="18">
        <f t="shared" ca="1" si="20"/>
        <v>5643523.114858374</v>
      </c>
      <c r="C432" s="32">
        <f t="shared" ca="1" si="21"/>
        <v>-9.3746290146577482E-2</v>
      </c>
      <c r="D432" s="33">
        <f t="shared" ca="1" si="19"/>
        <v>3.3949039769971216E-4</v>
      </c>
      <c r="E432" s="5"/>
      <c r="F432">
        <v>6807231.4356000004</v>
      </c>
    </row>
    <row r="433" spans="1:6" x14ac:dyDescent="0.2">
      <c r="A433" s="5">
        <v>403</v>
      </c>
      <c r="B433" s="18">
        <f t="shared" ca="1" si="20"/>
        <v>5224777.9053503284</v>
      </c>
      <c r="C433" s="32">
        <f t="shared" ca="1" si="21"/>
        <v>-1.9014803926974597</v>
      </c>
      <c r="D433" s="33">
        <f t="shared" ca="1" si="19"/>
        <v>-7.346094530026262E-2</v>
      </c>
      <c r="E433" s="5"/>
      <c r="F433">
        <v>7619113.6281000003</v>
      </c>
    </row>
    <row r="434" spans="1:6" x14ac:dyDescent="0.2">
      <c r="A434" s="5">
        <v>404</v>
      </c>
      <c r="B434" s="18">
        <f t="shared" ca="1" si="20"/>
        <v>5280729.6877181781</v>
      </c>
      <c r="C434" s="32">
        <f t="shared" ca="1" si="21"/>
        <v>0.17978631774581952</v>
      </c>
      <c r="D434" s="33">
        <f t="shared" ca="1" si="19"/>
        <v>1.1506412353519038E-2</v>
      </c>
      <c r="E434" s="5"/>
      <c r="F434">
        <v>724336.14580000006</v>
      </c>
    </row>
    <row r="435" spans="1:6" x14ac:dyDescent="0.2">
      <c r="A435" s="5">
        <v>405</v>
      </c>
      <c r="B435" s="18">
        <f t="shared" ca="1" si="20"/>
        <v>5130029.967905961</v>
      </c>
      <c r="C435" s="32">
        <f t="shared" ca="1" si="21"/>
        <v>-0.78176209871940672</v>
      </c>
      <c r="D435" s="33">
        <f t="shared" ca="1" si="19"/>
        <v>-2.7748637368497288E-2</v>
      </c>
      <c r="E435" s="5"/>
      <c r="F435">
        <v>-249649.3028</v>
      </c>
    </row>
    <row r="436" spans="1:6" x14ac:dyDescent="0.2">
      <c r="A436" s="5">
        <v>406</v>
      </c>
      <c r="B436" s="18">
        <f t="shared" ca="1" si="20"/>
        <v>4941964.4179336475</v>
      </c>
      <c r="C436" s="32">
        <f t="shared" ca="1" si="21"/>
        <v>-0.98014354813283489</v>
      </c>
      <c r="D436" s="33">
        <f t="shared" ca="1" si="19"/>
        <v>-3.5847526126774824E-2</v>
      </c>
      <c r="E436" s="5"/>
      <c r="F436">
        <v>43197507.679700002</v>
      </c>
    </row>
    <row r="437" spans="1:6" x14ac:dyDescent="0.2">
      <c r="A437" s="5">
        <v>407</v>
      </c>
      <c r="B437" s="18">
        <f t="shared" ca="1" si="20"/>
        <v>4960856.5102839852</v>
      </c>
      <c r="C437" s="32">
        <f t="shared" ca="1" si="21"/>
        <v>1.2228903434966689E-2</v>
      </c>
      <c r="D437" s="33">
        <f t="shared" ca="1" si="19"/>
        <v>4.6659095588239483E-3</v>
      </c>
      <c r="E437" s="5"/>
      <c r="F437">
        <v>261493.97270000001</v>
      </c>
    </row>
    <row r="438" spans="1:6" x14ac:dyDescent="0.2">
      <c r="A438" s="5">
        <v>408</v>
      </c>
      <c r="B438" s="18">
        <f t="shared" ca="1" si="20"/>
        <v>5160073.9698928213</v>
      </c>
      <c r="C438" s="32">
        <f t="shared" ca="1" si="21"/>
        <v>0.90217445412897523</v>
      </c>
      <c r="D438" s="33">
        <f t="shared" ca="1" si="19"/>
        <v>4.0997784526498965E-2</v>
      </c>
      <c r="E438" s="5"/>
      <c r="F438">
        <v>3433628.7744999998</v>
      </c>
    </row>
    <row r="439" spans="1:6" x14ac:dyDescent="0.2">
      <c r="A439" s="5">
        <v>409</v>
      </c>
      <c r="B439" s="18">
        <f t="shared" ca="1" si="20"/>
        <v>5434744.9942174545</v>
      </c>
      <c r="C439" s="32">
        <f t="shared" ca="1" si="21"/>
        <v>1.2215818673152303</v>
      </c>
      <c r="D439" s="33">
        <f t="shared" ca="1" si="19"/>
        <v>5.4037537565976304E-2</v>
      </c>
      <c r="E439" s="5"/>
      <c r="F439">
        <v>90320.670100000003</v>
      </c>
    </row>
    <row r="440" spans="1:6" x14ac:dyDescent="0.2">
      <c r="A440" s="5">
        <v>410</v>
      </c>
      <c r="B440" s="18">
        <f t="shared" ca="1" si="20"/>
        <v>5301202.3675531372</v>
      </c>
      <c r="C440" s="32">
        <f t="shared" ca="1" si="21"/>
        <v>-0.68517146839103349</v>
      </c>
      <c r="D440" s="33">
        <f t="shared" ca="1" si="19"/>
        <v>-2.3805341397858754E-2</v>
      </c>
      <c r="E440" s="5"/>
      <c r="F440">
        <v>-235745.14120000001</v>
      </c>
    </row>
    <row r="441" spans="1:6" x14ac:dyDescent="0.2">
      <c r="A441" s="5">
        <v>411</v>
      </c>
      <c r="B441" s="18">
        <f t="shared" ca="1" si="20"/>
        <v>5439210.0313139586</v>
      </c>
      <c r="C441" s="32">
        <f t="shared" ca="1" si="21"/>
        <v>0.55487297706398675</v>
      </c>
      <c r="D441" s="33">
        <f t="shared" ca="1" si="19"/>
        <v>2.6819261097763353E-2</v>
      </c>
      <c r="E441" s="5"/>
      <c r="F441">
        <v>-1005351.159</v>
      </c>
    </row>
    <row r="442" spans="1:6" x14ac:dyDescent="0.2">
      <c r="A442" s="5">
        <v>412</v>
      </c>
      <c r="B442" s="18">
        <f t="shared" ca="1" si="20"/>
        <v>5177972.6734612994</v>
      </c>
      <c r="C442" s="32">
        <f t="shared" ca="1" si="21"/>
        <v>-1.2597522842553099</v>
      </c>
      <c r="D442" s="33">
        <f t="shared" ca="1" si="19"/>
        <v>-4.7262504978851011E-2</v>
      </c>
      <c r="E442" s="5"/>
      <c r="F442">
        <v>-248289.60190000001</v>
      </c>
    </row>
    <row r="443" spans="1:6" x14ac:dyDescent="0.2">
      <c r="A443" s="5">
        <v>413</v>
      </c>
      <c r="B443" s="18">
        <f t="shared" ca="1" si="20"/>
        <v>5366937.6519260583</v>
      </c>
      <c r="C443" s="32">
        <f t="shared" ca="1" si="21"/>
        <v>0.81156573809249544</v>
      </c>
      <c r="D443" s="33">
        <f t="shared" ca="1" si="19"/>
        <v>3.7298699184197114E-2</v>
      </c>
      <c r="E443" s="5"/>
      <c r="F443">
        <v>3158192.5244</v>
      </c>
    </row>
    <row r="444" spans="1:6" x14ac:dyDescent="0.2">
      <c r="A444" s="5">
        <v>414</v>
      </c>
      <c r="B444" s="18">
        <f t="shared" ca="1" si="20"/>
        <v>5478136.310187608</v>
      </c>
      <c r="C444" s="32">
        <f t="shared" ca="1" si="21"/>
        <v>0.42446944016041521</v>
      </c>
      <c r="D444" s="33">
        <f t="shared" ca="1" si="19"/>
        <v>2.1495558996630918E-2</v>
      </c>
      <c r="E444" s="5"/>
      <c r="F444">
        <v>8081691.8914000001</v>
      </c>
    </row>
    <row r="445" spans="1:6" x14ac:dyDescent="0.2">
      <c r="A445" s="5">
        <v>415</v>
      </c>
      <c r="B445" s="18">
        <f t="shared" ca="1" si="20"/>
        <v>5785702.1430185717</v>
      </c>
      <c r="C445" s="32">
        <f t="shared" ca="1" si="21"/>
        <v>1.2918162772008872</v>
      </c>
      <c r="D445" s="33">
        <f t="shared" ca="1" si="19"/>
        <v>5.6904845342732067E-2</v>
      </c>
      <c r="E445" s="5"/>
      <c r="F445">
        <v>1213173.1492999999</v>
      </c>
    </row>
    <row r="446" spans="1:6" x14ac:dyDescent="0.2">
      <c r="A446" s="5">
        <v>416</v>
      </c>
      <c r="B446" s="18">
        <f t="shared" ca="1" si="20"/>
        <v>5674537.2480462184</v>
      </c>
      <c r="C446" s="32">
        <f t="shared" ca="1" si="21"/>
        <v>-0.55505992188652875</v>
      </c>
      <c r="D446" s="33">
        <f t="shared" ca="1" si="19"/>
        <v>-1.8493559754851407E-2</v>
      </c>
      <c r="E446" s="5"/>
      <c r="F446">
        <v>4600967.8498999998</v>
      </c>
    </row>
    <row r="447" spans="1:6" x14ac:dyDescent="0.2">
      <c r="A447" s="5">
        <v>417</v>
      </c>
      <c r="B447" s="18">
        <f t="shared" ca="1" si="20"/>
        <v>6011654.5165580204</v>
      </c>
      <c r="C447" s="32">
        <f t="shared" ca="1" si="21"/>
        <v>1.3711355857202587</v>
      </c>
      <c r="D447" s="33">
        <f t="shared" ca="1" si="19"/>
        <v>6.014304255311298E-2</v>
      </c>
      <c r="E447" s="5"/>
      <c r="F447">
        <v>4477704.3125999998</v>
      </c>
    </row>
    <row r="448" spans="1:6" x14ac:dyDescent="0.2">
      <c r="A448" s="5">
        <v>418</v>
      </c>
      <c r="B448" s="18">
        <f t="shared" ca="1" si="20"/>
        <v>6221593.3493212704</v>
      </c>
      <c r="C448" s="32">
        <f t="shared" ca="1" si="21"/>
        <v>0.77032542617085009</v>
      </c>
      <c r="D448" s="33">
        <f t="shared" ca="1" si="19"/>
        <v>3.5615070500176295E-2</v>
      </c>
      <c r="E448" s="5"/>
      <c r="F448">
        <v>8486548.9282000009</v>
      </c>
    </row>
    <row r="449" spans="1:6" x14ac:dyDescent="0.2">
      <c r="A449" s="5">
        <v>419</v>
      </c>
      <c r="B449" s="18">
        <f t="shared" ca="1" si="20"/>
        <v>6149418.6909518503</v>
      </c>
      <c r="C449" s="32">
        <f t="shared" ca="1" si="21"/>
        <v>-0.36981483103330892</v>
      </c>
      <c r="D449" s="33">
        <f t="shared" ca="1" si="19"/>
        <v>-1.0930960589086408E-2</v>
      </c>
      <c r="E449" s="5"/>
      <c r="F449">
        <v>464643.08789999998</v>
      </c>
    </row>
    <row r="450" spans="1:6" x14ac:dyDescent="0.2">
      <c r="A450" s="5">
        <v>420</v>
      </c>
      <c r="B450" s="18">
        <f t="shared" ca="1" si="20"/>
        <v>5573088.1029306734</v>
      </c>
      <c r="C450" s="32">
        <f t="shared" ca="1" si="21"/>
        <v>-2.3811549868952131</v>
      </c>
      <c r="D450" s="33">
        <f t="shared" ca="1" si="19"/>
        <v>-9.3043578606280625E-2</v>
      </c>
      <c r="E450" s="5"/>
      <c r="F450">
        <v>3600616.6519999998</v>
      </c>
    </row>
    <row r="451" spans="1:6" x14ac:dyDescent="0.2">
      <c r="A451" s="5">
        <v>421</v>
      </c>
      <c r="B451" s="18">
        <f t="shared" ca="1" si="20"/>
        <v>5919461.8432886973</v>
      </c>
      <c r="C451" s="32">
        <f t="shared" ca="1" si="21"/>
        <v>1.4386369358682052</v>
      </c>
      <c r="D451" s="33">
        <f t="shared" ca="1" si="19"/>
        <v>6.2898773633303165E-2</v>
      </c>
      <c r="E451" s="5"/>
      <c r="F451">
        <v>5327381.5692999996</v>
      </c>
    </row>
    <row r="452" spans="1:6" x14ac:dyDescent="0.2">
      <c r="A452" s="5">
        <v>422</v>
      </c>
      <c r="B452" s="18">
        <f t="shared" ca="1" si="20"/>
        <v>5899299.6251749033</v>
      </c>
      <c r="C452" s="32">
        <f t="shared" ca="1" si="21"/>
        <v>-0.16825210852998973</v>
      </c>
      <c r="D452" s="33">
        <f t="shared" ca="1" si="19"/>
        <v>-2.7021969007641989E-3</v>
      </c>
      <c r="E452" s="5"/>
      <c r="F452">
        <v>4027293.0162</v>
      </c>
    </row>
    <row r="453" spans="1:6" x14ac:dyDescent="0.2">
      <c r="A453" s="5">
        <v>423</v>
      </c>
      <c r="B453" s="18">
        <f t="shared" ca="1" si="20"/>
        <v>5671620.6895929901</v>
      </c>
      <c r="C453" s="32">
        <f t="shared" ca="1" si="21"/>
        <v>-1.0301231050776938</v>
      </c>
      <c r="D453" s="33">
        <f t="shared" ca="1" si="19"/>
        <v>-3.7887932994862816E-2</v>
      </c>
      <c r="E453" s="5"/>
      <c r="F453">
        <v>-960203.88119999995</v>
      </c>
    </row>
    <row r="454" spans="1:6" x14ac:dyDescent="0.2">
      <c r="A454" s="5">
        <v>424</v>
      </c>
      <c r="B454" s="18">
        <f t="shared" ca="1" si="20"/>
        <v>5533697.0173976431</v>
      </c>
      <c r="C454" s="32">
        <f t="shared" ca="1" si="21"/>
        <v>-0.67973895017775843</v>
      </c>
      <c r="D454" s="33">
        <f t="shared" ca="1" si="19"/>
        <v>-2.358355977051042E-2</v>
      </c>
      <c r="E454" s="5"/>
      <c r="F454">
        <v>1392174.2712999999</v>
      </c>
    </row>
    <row r="455" spans="1:6" x14ac:dyDescent="0.2">
      <c r="A455" s="5">
        <v>425</v>
      </c>
      <c r="B455" s="18">
        <f t="shared" ca="1" si="20"/>
        <v>5519631.8660510909</v>
      </c>
      <c r="C455" s="32">
        <f t="shared" ca="1" si="21"/>
        <v>-0.1458776928355876</v>
      </c>
      <c r="D455" s="33">
        <f t="shared" ca="1" si="19"/>
        <v>-1.7887652050274493E-3</v>
      </c>
      <c r="E455" s="5"/>
      <c r="F455">
        <v>16470730.7247</v>
      </c>
    </row>
    <row r="456" spans="1:6" x14ac:dyDescent="0.2">
      <c r="A456" s="5">
        <v>426</v>
      </c>
      <c r="B456" s="18">
        <f t="shared" ca="1" si="20"/>
        <v>5368965.3111951165</v>
      </c>
      <c r="C456" s="32">
        <f t="shared" ca="1" si="21"/>
        <v>-0.75219596224314478</v>
      </c>
      <c r="D456" s="33">
        <f t="shared" ca="1" si="19"/>
        <v>-2.6541604901291767E-2</v>
      </c>
      <c r="E456" s="5"/>
      <c r="F456">
        <v>2249728.7198000001</v>
      </c>
    </row>
    <row r="457" spans="1:6" x14ac:dyDescent="0.2">
      <c r="A457" s="5">
        <v>427</v>
      </c>
      <c r="B457" s="18">
        <f t="shared" ca="1" si="20"/>
        <v>5312841.9899476413</v>
      </c>
      <c r="C457" s="32">
        <f t="shared" ca="1" si="21"/>
        <v>-0.33910456607303452</v>
      </c>
      <c r="D457" s="33">
        <f t="shared" ca="1" si="19"/>
        <v>-9.677219272113978E-3</v>
      </c>
      <c r="E457" s="5"/>
      <c r="F457">
        <v>-3316966.5679000001</v>
      </c>
    </row>
    <row r="458" spans="1:6" x14ac:dyDescent="0.2">
      <c r="A458" s="5">
        <v>428</v>
      </c>
      <c r="B458" s="18">
        <f t="shared" ca="1" si="20"/>
        <v>5272761.5205334984</v>
      </c>
      <c r="C458" s="32">
        <f t="shared" ca="1" si="21"/>
        <v>-0.26764292674399676</v>
      </c>
      <c r="D458" s="33">
        <f t="shared" ca="1" si="19"/>
        <v>-6.7598100631314937E-3</v>
      </c>
      <c r="E458" s="5"/>
      <c r="F458">
        <v>4137424.4947000002</v>
      </c>
    </row>
    <row r="459" spans="1:6" x14ac:dyDescent="0.2">
      <c r="A459" s="5">
        <v>429</v>
      </c>
      <c r="B459" s="18">
        <f t="shared" ca="1" si="20"/>
        <v>5265924.0796223106</v>
      </c>
      <c r="C459" s="32">
        <f t="shared" ca="1" si="21"/>
        <v>-0.11446929811206678</v>
      </c>
      <c r="D459" s="33">
        <f t="shared" ca="1" si="19"/>
        <v>-5.0652285981829005E-4</v>
      </c>
      <c r="E459" s="5"/>
      <c r="F459">
        <v>10461172.783299999</v>
      </c>
    </row>
    <row r="460" spans="1:6" x14ac:dyDescent="0.2">
      <c r="A460" s="5">
        <v>430</v>
      </c>
      <c r="B460" s="18">
        <f t="shared" ca="1" si="20"/>
        <v>5251277.5162108764</v>
      </c>
      <c r="C460" s="32">
        <f t="shared" ca="1" si="21"/>
        <v>-0.15081021101217326</v>
      </c>
      <c r="D460" s="33">
        <f t="shared" ca="1" si="19"/>
        <v>-1.9901344163547521E-3</v>
      </c>
      <c r="E460" s="5"/>
      <c r="F460">
        <v>-1360604.7907</v>
      </c>
    </row>
    <row r="461" spans="1:6" x14ac:dyDescent="0.2">
      <c r="A461" s="5">
        <v>431</v>
      </c>
      <c r="B461" s="18">
        <f t="shared" ca="1" si="20"/>
        <v>5117226.5627787299</v>
      </c>
      <c r="C461" s="32">
        <f t="shared" ca="1" si="21"/>
        <v>-0.70791508114314505</v>
      </c>
      <c r="D461" s="33">
        <f t="shared" ca="1" si="19"/>
        <v>-2.473384550036092E-2</v>
      </c>
      <c r="E461" s="5"/>
      <c r="F461">
        <v>-113337.3079</v>
      </c>
    </row>
    <row r="462" spans="1:6" x14ac:dyDescent="0.2">
      <c r="A462" s="5">
        <v>432</v>
      </c>
      <c r="B462" s="18">
        <f t="shared" ca="1" si="20"/>
        <v>5130379.274638948</v>
      </c>
      <c r="C462" s="32">
        <f t="shared" ca="1" si="21"/>
        <v>-1.9158492849610975E-2</v>
      </c>
      <c r="D462" s="33">
        <f t="shared" ca="1" si="19"/>
        <v>3.3845244712948841E-3</v>
      </c>
      <c r="E462" s="5"/>
      <c r="F462">
        <v>-386915.42489999998</v>
      </c>
    </row>
    <row r="463" spans="1:6" x14ac:dyDescent="0.2">
      <c r="A463" s="5">
        <v>433</v>
      </c>
      <c r="B463" s="18">
        <f t="shared" ca="1" si="20"/>
        <v>5219596.8186708773</v>
      </c>
      <c r="C463" s="32">
        <f t="shared" ca="1" si="21"/>
        <v>0.34379904992299559</v>
      </c>
      <c r="D463" s="33">
        <f t="shared" ca="1" si="19"/>
        <v>1.8202204106082993E-2</v>
      </c>
      <c r="E463" s="5"/>
      <c r="F463">
        <v>415630.19500000001</v>
      </c>
    </row>
    <row r="464" spans="1:6" x14ac:dyDescent="0.2">
      <c r="A464" s="5">
        <v>434</v>
      </c>
      <c r="B464" s="18">
        <f t="shared" ca="1" si="20"/>
        <v>5473528.3934748517</v>
      </c>
      <c r="C464" s="32">
        <f t="shared" ca="1" si="21"/>
        <v>1.1091598226293844</v>
      </c>
      <c r="D464" s="33">
        <f t="shared" ca="1" si="19"/>
        <v>4.944792681063144E-2</v>
      </c>
      <c r="E464" s="5"/>
      <c r="F464">
        <v>-77154.849199999997</v>
      </c>
    </row>
    <row r="465" spans="1:6" x14ac:dyDescent="0.2">
      <c r="A465" s="5">
        <v>435</v>
      </c>
      <c r="B465" s="18">
        <f t="shared" ca="1" si="20"/>
        <v>5184198.7486036662</v>
      </c>
      <c r="C465" s="32">
        <f t="shared" ca="1" si="21"/>
        <v>-1.3782110937230398</v>
      </c>
      <c r="D465" s="33">
        <f t="shared" ca="1" si="19"/>
        <v>-5.209856562440953E-2</v>
      </c>
      <c r="E465" s="5"/>
      <c r="F465">
        <v>6198946.5766000003</v>
      </c>
    </row>
    <row r="466" spans="1:6" x14ac:dyDescent="0.2">
      <c r="A466" s="5">
        <v>436</v>
      </c>
      <c r="B466" s="18">
        <f t="shared" ca="1" si="20"/>
        <v>4999512.0422405545</v>
      </c>
      <c r="C466" s="32">
        <f t="shared" ca="1" si="21"/>
        <v>-0.95500388107258227</v>
      </c>
      <c r="D466" s="33">
        <f t="shared" ca="1" si="19"/>
        <v>-3.4821203516756945E-2</v>
      </c>
      <c r="E466" s="5"/>
      <c r="F466">
        <v>17004124.8695</v>
      </c>
    </row>
    <row r="467" spans="1:6" x14ac:dyDescent="0.2">
      <c r="A467" s="5">
        <v>437</v>
      </c>
      <c r="B467" s="18">
        <f t="shared" ca="1" si="20"/>
        <v>5006902.9607173791</v>
      </c>
      <c r="C467" s="32">
        <f t="shared" ca="1" si="21"/>
        <v>-4.5436173885976885E-2</v>
      </c>
      <c r="D467" s="33">
        <f t="shared" ca="1" si="19"/>
        <v>2.3117426352497784E-3</v>
      </c>
      <c r="E467" s="5"/>
      <c r="F467">
        <v>3100093.1825999999</v>
      </c>
    </row>
    <row r="468" spans="1:6" x14ac:dyDescent="0.2">
      <c r="A468" s="5">
        <v>438</v>
      </c>
      <c r="B468" s="18">
        <f t="shared" ca="1" si="20"/>
        <v>4528486.272896423</v>
      </c>
      <c r="C468" s="32">
        <f t="shared" ca="1" si="21"/>
        <v>-2.422200033040296</v>
      </c>
      <c r="D468" s="33">
        <f t="shared" ca="1" si="19"/>
        <v>-9.471923559835467E-2</v>
      </c>
      <c r="E468" s="5"/>
      <c r="F468">
        <v>-42476.368000000002</v>
      </c>
    </row>
    <row r="469" spans="1:6" x14ac:dyDescent="0.2">
      <c r="A469" s="5">
        <v>439</v>
      </c>
      <c r="B469" s="18">
        <f t="shared" ca="1" si="20"/>
        <v>4237809.4996470585</v>
      </c>
      <c r="C469" s="32">
        <f t="shared" ca="1" si="21"/>
        <v>-1.651815179914575</v>
      </c>
      <c r="D469" s="33">
        <f t="shared" ca="1" si="19"/>
        <v>-6.3268405669571703E-2</v>
      </c>
      <c r="E469" s="5"/>
      <c r="F469">
        <v>5333272.7473999998</v>
      </c>
    </row>
    <row r="470" spans="1:6" x14ac:dyDescent="0.2">
      <c r="A470" s="5">
        <v>440</v>
      </c>
      <c r="B470" s="18">
        <f t="shared" ca="1" si="20"/>
        <v>4346249.9844761612</v>
      </c>
      <c r="C470" s="32">
        <f t="shared" ca="1" si="21"/>
        <v>0.54881678962617053</v>
      </c>
      <c r="D470" s="33">
        <f t="shared" ca="1" si="19"/>
        <v>2.6572018280941634E-2</v>
      </c>
      <c r="E470" s="5"/>
      <c r="F470">
        <v>832750.92359999998</v>
      </c>
    </row>
    <row r="471" spans="1:6" x14ac:dyDescent="0.2">
      <c r="A471" s="5">
        <v>441</v>
      </c>
      <c r="B471" s="18">
        <f t="shared" ca="1" si="20"/>
        <v>4307236.8476186981</v>
      </c>
      <c r="C471" s="32">
        <f t="shared" ca="1" si="21"/>
        <v>-0.29845222874924959</v>
      </c>
      <c r="D471" s="33">
        <f t="shared" ca="1" si="19"/>
        <v>-8.0175945505344265E-3</v>
      </c>
      <c r="E471" s="5"/>
      <c r="F471">
        <v>6428282.8366</v>
      </c>
    </row>
    <row r="472" spans="1:6" x14ac:dyDescent="0.2">
      <c r="A472" s="5">
        <v>442</v>
      </c>
      <c r="B472" s="18">
        <f t="shared" ca="1" si="20"/>
        <v>4346517.5459178137</v>
      </c>
      <c r="C472" s="32">
        <f t="shared" ca="1" si="21"/>
        <v>0.14501947548482833</v>
      </c>
      <c r="D472" s="33">
        <f t="shared" ca="1" si="19"/>
        <v>1.0087061961731394E-2</v>
      </c>
      <c r="E472" s="5"/>
      <c r="F472">
        <v>1106816.3223000001</v>
      </c>
    </row>
    <row r="473" spans="1:6" x14ac:dyDescent="0.2">
      <c r="A473" s="5">
        <v>443</v>
      </c>
      <c r="B473" s="18">
        <f t="shared" ca="1" si="20"/>
        <v>4361499.8122867988</v>
      </c>
      <c r="C473" s="32">
        <f t="shared" ca="1" si="21"/>
        <v>5.8521703625917174E-3</v>
      </c>
      <c r="D473" s="33">
        <f t="shared" ca="1" si="19"/>
        <v>4.4055805212698017E-3</v>
      </c>
      <c r="E473" s="5"/>
      <c r="F473">
        <v>-1718546.1972000001</v>
      </c>
    </row>
    <row r="474" spans="1:6" x14ac:dyDescent="0.2">
      <c r="A474" s="5">
        <v>444</v>
      </c>
      <c r="B474" s="18">
        <f t="shared" ca="1" si="20"/>
        <v>4401966.5994986258</v>
      </c>
      <c r="C474" s="32">
        <f t="shared" ca="1" si="21"/>
        <v>0.14860671602496492</v>
      </c>
      <c r="D474" s="33">
        <f t="shared" ca="1" si="19"/>
        <v>1.0233510443530736E-2</v>
      </c>
      <c r="E474" s="5"/>
      <c r="F474">
        <v>3415352.9441999998</v>
      </c>
    </row>
    <row r="475" spans="1:6" x14ac:dyDescent="0.2">
      <c r="A475" s="5">
        <v>445</v>
      </c>
      <c r="B475" s="18">
        <f t="shared" ca="1" si="20"/>
        <v>4565766.3391429</v>
      </c>
      <c r="C475" s="32">
        <f t="shared" ca="1" si="21"/>
        <v>0.83259288237088835</v>
      </c>
      <c r="D475" s="33">
        <f t="shared" ca="1" si="19"/>
        <v>3.8157128754696207E-2</v>
      </c>
      <c r="E475" s="5"/>
      <c r="F475">
        <v>5479965.148</v>
      </c>
    </row>
    <row r="476" spans="1:6" x14ac:dyDescent="0.2">
      <c r="A476" s="5">
        <v>446</v>
      </c>
      <c r="B476" s="18">
        <f t="shared" ca="1" si="20"/>
        <v>4945975.8278862974</v>
      </c>
      <c r="C476" s="32">
        <f t="shared" ca="1" si="21"/>
        <v>1.9600790448029604</v>
      </c>
      <c r="D476" s="33">
        <f t="shared" ca="1" si="19"/>
        <v>8.4186558588151689E-2</v>
      </c>
      <c r="E476" s="5"/>
      <c r="F476">
        <v>-403988.51779999997</v>
      </c>
    </row>
    <row r="477" spans="1:6" x14ac:dyDescent="0.2">
      <c r="A477" s="5">
        <v>447</v>
      </c>
      <c r="B477" s="18">
        <f t="shared" ca="1" si="20"/>
        <v>4764602.1357684629</v>
      </c>
      <c r="C477" s="32">
        <f t="shared" ca="1" si="21"/>
        <v>-0.97967815141765902</v>
      </c>
      <c r="D477" s="33">
        <f t="shared" ca="1" si="19"/>
        <v>-3.582852638543902E-2</v>
      </c>
      <c r="E477" s="5"/>
      <c r="F477">
        <v>-814242.98</v>
      </c>
    </row>
    <row r="478" spans="1:6" x14ac:dyDescent="0.2">
      <c r="A478" s="5">
        <v>448</v>
      </c>
      <c r="B478" s="18">
        <f t="shared" ca="1" si="20"/>
        <v>4611060.7405542117</v>
      </c>
      <c r="C478" s="32">
        <f t="shared" ca="1" si="21"/>
        <v>-0.86999999268180617</v>
      </c>
      <c r="D478" s="33">
        <f t="shared" ca="1" si="19"/>
        <v>-3.1350934304925408E-2</v>
      </c>
      <c r="E478" s="5"/>
      <c r="F478">
        <v>-965678.44129999995</v>
      </c>
    </row>
    <row r="479" spans="1:6" x14ac:dyDescent="0.2">
      <c r="A479" s="5">
        <v>449</v>
      </c>
      <c r="B479" s="18">
        <f t="shared" ca="1" si="20"/>
        <v>4582067.1639881572</v>
      </c>
      <c r="C479" s="32">
        <f t="shared" ca="1" si="21"/>
        <v>-0.2339476940928209</v>
      </c>
      <c r="D479" s="33">
        <f t="shared" ca="1" si="19"/>
        <v>-5.3842079504690258E-3</v>
      </c>
      <c r="E479" s="5"/>
      <c r="F479">
        <v>700398.76950000005</v>
      </c>
    </row>
    <row r="480" spans="1:6" x14ac:dyDescent="0.2">
      <c r="A480" s="5">
        <v>450</v>
      </c>
      <c r="B480" s="18">
        <f t="shared" ca="1" si="20"/>
        <v>4664539.9512694059</v>
      </c>
      <c r="C480" s="32">
        <f t="shared" ca="1" si="21"/>
        <v>0.36109668558311769</v>
      </c>
      <c r="D480" s="33">
        <f t="shared" ref="D480:D510" ca="1" si="22">$D$20+(C480*$D$21)</f>
        <v>1.8908377124814153E-2</v>
      </c>
      <c r="E480" s="5"/>
      <c r="F480">
        <v>2705863.4405999999</v>
      </c>
    </row>
    <row r="481" spans="1:6" x14ac:dyDescent="0.2">
      <c r="A481" s="5">
        <v>451</v>
      </c>
      <c r="B481" s="18">
        <f t="shared" ref="B481:B510" ca="1" si="23">(B480*(1+D481))+$C$13</f>
        <v>4759219.9314034712</v>
      </c>
      <c r="C481" s="32">
        <f t="shared" ref="C481:C510" ca="1" si="24">NORMSINV(RAND())</f>
        <v>0.41701129791227476</v>
      </c>
      <c r="D481" s="33">
        <f t="shared" ca="1" si="22"/>
        <v>2.1191081614346952E-2</v>
      </c>
      <c r="E481" s="5"/>
      <c r="F481">
        <v>-277105.22989999998</v>
      </c>
    </row>
    <row r="482" spans="1:6" x14ac:dyDescent="0.2">
      <c r="A482" s="5">
        <v>452</v>
      </c>
      <c r="B482" s="18">
        <f t="shared" ca="1" si="23"/>
        <v>4975442.5621517068</v>
      </c>
      <c r="C482" s="32">
        <f t="shared" ca="1" si="24"/>
        <v>1.0322442448434972</v>
      </c>
      <c r="D482" s="33">
        <f t="shared" ca="1" si="22"/>
        <v>4.6307861496518568E-2</v>
      </c>
      <c r="E482" s="5"/>
      <c r="F482">
        <v>577872.61499999999</v>
      </c>
    </row>
    <row r="483" spans="1:6" x14ac:dyDescent="0.2">
      <c r="A483" s="5">
        <v>453</v>
      </c>
      <c r="B483" s="18">
        <f t="shared" ca="1" si="23"/>
        <v>4878905.7444614107</v>
      </c>
      <c r="C483" s="32">
        <f t="shared" ca="1" si="24"/>
        <v>-0.55681506121013435</v>
      </c>
      <c r="D483" s="33">
        <f t="shared" ca="1" si="22"/>
        <v>-1.8565213017690194E-2</v>
      </c>
      <c r="E483" s="5"/>
      <c r="F483">
        <v>-178273.46770000001</v>
      </c>
    </row>
    <row r="484" spans="1:6" x14ac:dyDescent="0.2">
      <c r="A484" s="5">
        <v>454</v>
      </c>
      <c r="B484" s="18">
        <f t="shared" ca="1" si="23"/>
        <v>5233753.4555348158</v>
      </c>
      <c r="C484" s="32">
        <f t="shared" ca="1" si="24"/>
        <v>1.700395449307466</v>
      </c>
      <c r="D484" s="33">
        <f t="shared" ca="1" si="22"/>
        <v>7.3585020195897188E-2</v>
      </c>
      <c r="E484" s="5"/>
      <c r="F484">
        <v>9970134.6397999991</v>
      </c>
    </row>
    <row r="485" spans="1:6" x14ac:dyDescent="0.2">
      <c r="A485" s="5">
        <v>455</v>
      </c>
      <c r="B485" s="18">
        <f t="shared" ca="1" si="23"/>
        <v>4888800.6418525493</v>
      </c>
      <c r="C485" s="32">
        <f t="shared" ca="1" si="24"/>
        <v>-1.6970018776511848</v>
      </c>
      <c r="D485" s="33">
        <f t="shared" ca="1" si="22"/>
        <v>-6.5113144879839518E-2</v>
      </c>
      <c r="E485" s="5"/>
      <c r="F485">
        <v>23699836.024799999</v>
      </c>
    </row>
    <row r="486" spans="1:6" x14ac:dyDescent="0.2">
      <c r="A486" s="5">
        <v>456</v>
      </c>
      <c r="B486" s="18">
        <f t="shared" ca="1" si="23"/>
        <v>5262190.5091924286</v>
      </c>
      <c r="C486" s="32">
        <f t="shared" ca="1" si="24"/>
        <v>1.7896511002479465</v>
      </c>
      <c r="D486" s="33">
        <f t="shared" ca="1" si="22"/>
        <v>7.7228866886966244E-2</v>
      </c>
      <c r="E486" s="5"/>
      <c r="F486">
        <v>231904.6354</v>
      </c>
    </row>
    <row r="487" spans="1:6" x14ac:dyDescent="0.2">
      <c r="A487" s="5">
        <v>457</v>
      </c>
      <c r="B487" s="18">
        <f t="shared" ca="1" si="23"/>
        <v>5483494.848429081</v>
      </c>
      <c r="C487" s="32">
        <f t="shared" ca="1" si="24"/>
        <v>0.94747977747555756</v>
      </c>
      <c r="D487" s="33">
        <f t="shared" ca="1" si="22"/>
        <v>4.2847366607014443E-2</v>
      </c>
      <c r="E487" s="5"/>
      <c r="F487">
        <v>4170070.1565999999</v>
      </c>
    </row>
    <row r="488" spans="1:6" x14ac:dyDescent="0.2">
      <c r="A488" s="5">
        <v>458</v>
      </c>
      <c r="B488" s="18">
        <f t="shared" ca="1" si="23"/>
        <v>5811307.8537224364</v>
      </c>
      <c r="C488" s="32">
        <f t="shared" ca="1" si="24"/>
        <v>1.3808987466352092</v>
      </c>
      <c r="D488" s="33">
        <f t="shared" ca="1" si="22"/>
        <v>6.0541621928418193E-2</v>
      </c>
      <c r="E488" s="5"/>
      <c r="F488">
        <v>780739.61340000003</v>
      </c>
    </row>
    <row r="489" spans="1:6" x14ac:dyDescent="0.2">
      <c r="A489" s="5">
        <v>459</v>
      </c>
      <c r="B489" s="18">
        <f t="shared" ca="1" si="23"/>
        <v>6463820.9800757896</v>
      </c>
      <c r="C489" s="32">
        <f t="shared" ca="1" si="24"/>
        <v>2.6658697902007229</v>
      </c>
      <c r="D489" s="33">
        <f t="shared" ca="1" si="22"/>
        <v>0.11300034511153691</v>
      </c>
      <c r="E489" s="5"/>
      <c r="F489">
        <v>2467245.3870000001</v>
      </c>
    </row>
    <row r="490" spans="1:6" x14ac:dyDescent="0.2">
      <c r="A490" s="5">
        <v>460</v>
      </c>
      <c r="B490" s="18">
        <f t="shared" ca="1" si="23"/>
        <v>6534204.3481262485</v>
      </c>
      <c r="C490" s="32">
        <f t="shared" ca="1" si="24"/>
        <v>0.18044814220373459</v>
      </c>
      <c r="D490" s="33">
        <f t="shared" ca="1" si="22"/>
        <v>1.1533431223872136E-2</v>
      </c>
      <c r="E490" s="5"/>
      <c r="F490">
        <v>13066090.997300001</v>
      </c>
    </row>
    <row r="491" spans="1:6" x14ac:dyDescent="0.2">
      <c r="A491" s="5">
        <v>461</v>
      </c>
      <c r="B491" s="18">
        <f t="shared" ca="1" si="23"/>
        <v>6725883.8896150766</v>
      </c>
      <c r="C491" s="32">
        <f t="shared" ca="1" si="24"/>
        <v>0.63211037207874443</v>
      </c>
      <c r="D491" s="33">
        <f t="shared" ca="1" si="22"/>
        <v>2.9972464545229047E-2</v>
      </c>
      <c r="E491" s="5"/>
      <c r="F491">
        <v>8264124.8530999999</v>
      </c>
    </row>
    <row r="492" spans="1:6" x14ac:dyDescent="0.2">
      <c r="A492" s="5">
        <v>462</v>
      </c>
      <c r="B492" s="18">
        <f t="shared" ca="1" si="23"/>
        <v>6497798.6451866096</v>
      </c>
      <c r="C492" s="32">
        <f t="shared" ca="1" si="24"/>
        <v>-0.91754784139797063</v>
      </c>
      <c r="D492" s="33">
        <f t="shared" ca="1" si="22"/>
        <v>-3.329206710028626E-2</v>
      </c>
      <c r="E492" s="5"/>
      <c r="F492">
        <v>1596036.8063000001</v>
      </c>
    </row>
    <row r="493" spans="1:6" x14ac:dyDescent="0.2">
      <c r="A493" s="5">
        <v>463</v>
      </c>
      <c r="B493" s="18">
        <f t="shared" ca="1" si="23"/>
        <v>6702258.883593169</v>
      </c>
      <c r="C493" s="32">
        <f t="shared" ca="1" si="24"/>
        <v>0.68440345509629297</v>
      </c>
      <c r="D493" s="33">
        <f t="shared" ca="1" si="22"/>
        <v>3.2107320719728952E-2</v>
      </c>
      <c r="E493" s="5"/>
      <c r="F493">
        <v>305178.7844</v>
      </c>
    </row>
    <row r="494" spans="1:6" x14ac:dyDescent="0.2">
      <c r="A494" s="5">
        <v>464</v>
      </c>
      <c r="B494" s="18">
        <f t="shared" ca="1" si="23"/>
        <v>6790106.1383495908</v>
      </c>
      <c r="C494" s="32">
        <f t="shared" ca="1" si="24"/>
        <v>0.23422329121987714</v>
      </c>
      <c r="D494" s="33">
        <f t="shared" ca="1" si="22"/>
        <v>1.3728792489400104E-2</v>
      </c>
      <c r="E494" s="5"/>
      <c r="F494">
        <v>3158563.5197999999</v>
      </c>
    </row>
    <row r="495" spans="1:6" x14ac:dyDescent="0.2">
      <c r="A495" s="5">
        <v>465</v>
      </c>
      <c r="B495" s="18">
        <f t="shared" ca="1" si="23"/>
        <v>6805103.7084287237</v>
      </c>
      <c r="C495" s="32">
        <f t="shared" ca="1" si="24"/>
        <v>-3.2928247045877698E-2</v>
      </c>
      <c r="D495" s="33">
        <f t="shared" ca="1" si="22"/>
        <v>2.8223766102215345E-3</v>
      </c>
      <c r="E495" s="5"/>
      <c r="F495">
        <v>4640822.6931999996</v>
      </c>
    </row>
    <row r="496" spans="1:6" x14ac:dyDescent="0.2">
      <c r="A496" s="5">
        <v>466</v>
      </c>
      <c r="B496" s="18">
        <f t="shared" ca="1" si="23"/>
        <v>6934793.8123153709</v>
      </c>
      <c r="C496" s="32">
        <f t="shared" ca="1" si="24"/>
        <v>0.37975392978575451</v>
      </c>
      <c r="D496" s="33">
        <f t="shared" ca="1" si="22"/>
        <v>1.9670055929863484E-2</v>
      </c>
      <c r="E496" s="5"/>
      <c r="F496">
        <v>7759078.9097999996</v>
      </c>
    </row>
    <row r="497" spans="1:6" x14ac:dyDescent="0.2">
      <c r="A497" s="5">
        <v>467</v>
      </c>
      <c r="B497" s="18">
        <f t="shared" ca="1" si="23"/>
        <v>7001198.1341092559</v>
      </c>
      <c r="C497" s="32">
        <f t="shared" ca="1" si="24"/>
        <v>0.1472069280934816</v>
      </c>
      <c r="D497" s="33">
        <f t="shared" ca="1" si="22"/>
        <v>1.0176364340526736E-2</v>
      </c>
      <c r="E497" s="5"/>
      <c r="F497">
        <v>18789.476699999999</v>
      </c>
    </row>
    <row r="498" spans="1:6" x14ac:dyDescent="0.2">
      <c r="A498" s="5">
        <v>468</v>
      </c>
      <c r="B498" s="18">
        <f t="shared" ca="1" si="23"/>
        <v>7269368.5827742219</v>
      </c>
      <c r="C498" s="32">
        <f t="shared" ca="1" si="24"/>
        <v>0.8507562276318168</v>
      </c>
      <c r="D498" s="33">
        <f t="shared" ca="1" si="22"/>
        <v>3.88986442198841E-2</v>
      </c>
      <c r="E498" s="5"/>
      <c r="F498">
        <v>-378309.40090000001</v>
      </c>
    </row>
    <row r="499" spans="1:6" x14ac:dyDescent="0.2">
      <c r="A499" s="5">
        <v>469</v>
      </c>
      <c r="B499" s="18">
        <f t="shared" ca="1" si="23"/>
        <v>7201084.9395387033</v>
      </c>
      <c r="C499" s="32">
        <f t="shared" ca="1" si="24"/>
        <v>-0.31811092838018173</v>
      </c>
      <c r="D499" s="33">
        <f t="shared" ca="1" si="22"/>
        <v>-8.8201576022414914E-3</v>
      </c>
      <c r="E499" s="5"/>
      <c r="F499">
        <v>4567062.9943000004</v>
      </c>
    </row>
    <row r="500" spans="1:6" x14ac:dyDescent="0.2">
      <c r="A500" s="5">
        <v>470</v>
      </c>
      <c r="B500" s="18">
        <f t="shared" ca="1" si="23"/>
        <v>7307306.0648675719</v>
      </c>
      <c r="C500" s="32">
        <f t="shared" ca="1" si="24"/>
        <v>0.27342824098512547</v>
      </c>
      <c r="D500" s="33">
        <f t="shared" ca="1" si="22"/>
        <v>1.5329327861338532E-2</v>
      </c>
      <c r="E500" s="5"/>
      <c r="F500">
        <v>-297265.05949999997</v>
      </c>
    </row>
    <row r="501" spans="1:6" x14ac:dyDescent="0.2">
      <c r="A501" s="5">
        <v>471</v>
      </c>
      <c r="B501" s="18">
        <f t="shared" ca="1" si="23"/>
        <v>7492365.0452025393</v>
      </c>
      <c r="C501" s="32">
        <f t="shared" ca="1" si="24"/>
        <v>0.53224320663117131</v>
      </c>
      <c r="D501" s="33">
        <f t="shared" ca="1" si="22"/>
        <v>2.5895404588484695E-2</v>
      </c>
      <c r="E501" s="5"/>
      <c r="F501">
        <v>17322881.6763</v>
      </c>
    </row>
    <row r="502" spans="1:6" x14ac:dyDescent="0.2">
      <c r="A502" s="5">
        <v>472</v>
      </c>
      <c r="B502" s="18">
        <f t="shared" ca="1" si="23"/>
        <v>7355587.3433774635</v>
      </c>
      <c r="C502" s="32">
        <f t="shared" ca="1" si="24"/>
        <v>-0.5356092482282574</v>
      </c>
      <c r="D502" s="33">
        <f t="shared" ca="1" si="22"/>
        <v>-1.769948932791543E-2</v>
      </c>
      <c r="E502" s="5"/>
      <c r="F502">
        <v>3664532.5828999998</v>
      </c>
    </row>
    <row r="503" spans="1:6" x14ac:dyDescent="0.2">
      <c r="A503" s="5">
        <v>473</v>
      </c>
      <c r="B503" s="18">
        <f t="shared" ca="1" si="23"/>
        <v>7231252.1674435213</v>
      </c>
      <c r="C503" s="32">
        <f t="shared" ca="1" si="24"/>
        <v>-0.50223614045672582</v>
      </c>
      <c r="D503" s="33">
        <f t="shared" ca="1" si="22"/>
        <v>-1.6337037908396027E-2</v>
      </c>
      <c r="E503" s="5"/>
      <c r="F503">
        <v>2394308.9419</v>
      </c>
    </row>
    <row r="504" spans="1:6" x14ac:dyDescent="0.2">
      <c r="A504" s="5">
        <v>474</v>
      </c>
      <c r="B504" s="18">
        <f t="shared" ca="1" si="23"/>
        <v>7169921.4366562674</v>
      </c>
      <c r="C504" s="32">
        <f t="shared" ca="1" si="24"/>
        <v>-0.29569767745572834</v>
      </c>
      <c r="D504" s="33">
        <f t="shared" ca="1" si="22"/>
        <v>-7.9051404648769197E-3</v>
      </c>
      <c r="E504" s="5"/>
      <c r="F504">
        <v>-504424.65470000001</v>
      </c>
    </row>
    <row r="505" spans="1:6" x14ac:dyDescent="0.2">
      <c r="A505" s="5">
        <v>475</v>
      </c>
      <c r="B505" s="18">
        <f t="shared" ca="1" si="23"/>
        <v>7061951.7554385625</v>
      </c>
      <c r="C505" s="32">
        <f t="shared" ca="1" si="24"/>
        <v>-0.45668857955760528</v>
      </c>
      <c r="D505" s="33">
        <f t="shared" ca="1" si="22"/>
        <v>-1.4477566521209562E-2</v>
      </c>
      <c r="E505" s="5"/>
      <c r="F505">
        <v>-70285.402499999997</v>
      </c>
    </row>
    <row r="506" spans="1:6" x14ac:dyDescent="0.2">
      <c r="A506" s="5">
        <v>476</v>
      </c>
      <c r="B506" s="18">
        <f t="shared" ca="1" si="23"/>
        <v>7371962.2547648372</v>
      </c>
      <c r="C506" s="32">
        <f t="shared" ca="1" si="24"/>
        <v>0.98768446229024331</v>
      </c>
      <c r="D506" s="33">
        <f t="shared" ca="1" si="22"/>
        <v>4.4488715991437833E-2</v>
      </c>
      <c r="E506" s="5"/>
      <c r="F506">
        <v>-699678.75780000002</v>
      </c>
    </row>
    <row r="507" spans="1:6" x14ac:dyDescent="0.2">
      <c r="A507" s="5">
        <v>477</v>
      </c>
      <c r="B507" s="18">
        <f t="shared" ca="1" si="23"/>
        <v>7474826.267575576</v>
      </c>
      <c r="C507" s="32">
        <f t="shared" ca="1" si="24"/>
        <v>0.25356990498072607</v>
      </c>
      <c r="D507" s="33">
        <f t="shared" ca="1" si="22"/>
        <v>1.4518614688813228E-2</v>
      </c>
      <c r="E507" s="5"/>
      <c r="F507">
        <v>-1052122.4458000001</v>
      </c>
    </row>
    <row r="508" spans="1:6" x14ac:dyDescent="0.2">
      <c r="A508" s="5">
        <v>478</v>
      </c>
      <c r="B508" s="18">
        <f t="shared" ca="1" si="23"/>
        <v>8015473.2054013219</v>
      </c>
      <c r="C508" s="32">
        <f t="shared" ca="1" si="24"/>
        <v>1.6832842192728219</v>
      </c>
      <c r="D508" s="33">
        <f t="shared" ca="1" si="22"/>
        <v>7.2886457154959464E-2</v>
      </c>
      <c r="E508" s="5"/>
      <c r="F508">
        <v>-1158311.699</v>
      </c>
    </row>
    <row r="509" spans="1:6" x14ac:dyDescent="0.2">
      <c r="A509" s="5">
        <v>479</v>
      </c>
      <c r="B509" s="18">
        <f t="shared" ca="1" si="23"/>
        <v>8509540.1359814703</v>
      </c>
      <c r="C509" s="32">
        <f t="shared" ca="1" si="24"/>
        <v>1.4205156401304802</v>
      </c>
      <c r="D509" s="33">
        <f t="shared" ca="1" si="22"/>
        <v>6.2158974832711524E-2</v>
      </c>
      <c r="E509" s="5"/>
      <c r="F509">
        <v>56856.760199999997</v>
      </c>
    </row>
    <row r="510" spans="1:6" x14ac:dyDescent="0.2">
      <c r="A510" s="5">
        <v>480</v>
      </c>
      <c r="B510" s="18">
        <f t="shared" ca="1" si="23"/>
        <v>8840812.6965793595</v>
      </c>
      <c r="C510" s="32">
        <f t="shared" ca="1" si="24"/>
        <v>0.86350708080676675</v>
      </c>
      <c r="D510" s="33">
        <f t="shared" ca="1" si="22"/>
        <v>3.9419195620946999E-2</v>
      </c>
      <c r="F510">
        <v>-1522077.2464999999</v>
      </c>
    </row>
    <row r="511" spans="1:6" x14ac:dyDescent="0.2">
      <c r="F511">
        <v>-139374.8751</v>
      </c>
    </row>
    <row r="512" spans="1:6" x14ac:dyDescent="0.2">
      <c r="F512">
        <v>-678331.63359999994</v>
      </c>
    </row>
    <row r="513" spans="6:6" x14ac:dyDescent="0.2">
      <c r="F513">
        <v>214916.78709999999</v>
      </c>
    </row>
    <row r="514" spans="6:6" x14ac:dyDescent="0.2">
      <c r="F514">
        <v>16199.613300000001</v>
      </c>
    </row>
    <row r="515" spans="6:6" x14ac:dyDescent="0.2">
      <c r="F515">
        <v>-487174.0821</v>
      </c>
    </row>
    <row r="516" spans="6:6" x14ac:dyDescent="0.2">
      <c r="F516">
        <v>2879482.9194</v>
      </c>
    </row>
    <row r="517" spans="6:6" x14ac:dyDescent="0.2">
      <c r="F517">
        <v>784200.09490000003</v>
      </c>
    </row>
    <row r="518" spans="6:6" x14ac:dyDescent="0.2">
      <c r="F518">
        <v>-372032.59019999998</v>
      </c>
    </row>
    <row r="519" spans="6:6" x14ac:dyDescent="0.2">
      <c r="F519">
        <v>-391776.84460000001</v>
      </c>
    </row>
    <row r="520" spans="6:6" x14ac:dyDescent="0.2">
      <c r="F520">
        <v>4261455.0542000001</v>
      </c>
    </row>
    <row r="521" spans="6:6" x14ac:dyDescent="0.2">
      <c r="F521">
        <v>5796794.2621999998</v>
      </c>
    </row>
    <row r="522" spans="6:6" x14ac:dyDescent="0.2">
      <c r="F522">
        <v>2770657.0224000001</v>
      </c>
    </row>
    <row r="523" spans="6:6" x14ac:dyDescent="0.2">
      <c r="F523">
        <v>-496230.152</v>
      </c>
    </row>
    <row r="524" spans="6:6" x14ac:dyDescent="0.2">
      <c r="F524">
        <v>-1732863.7002999999</v>
      </c>
    </row>
    <row r="525" spans="6:6" x14ac:dyDescent="0.2">
      <c r="F525">
        <v>5860517.1962000001</v>
      </c>
    </row>
    <row r="526" spans="6:6" x14ac:dyDescent="0.2">
      <c r="F526">
        <v>5460881.0964000002</v>
      </c>
    </row>
    <row r="527" spans="6:6" x14ac:dyDescent="0.2">
      <c r="F527">
        <v>-460799.86489999999</v>
      </c>
    </row>
    <row r="528" spans="6:6" x14ac:dyDescent="0.2">
      <c r="F528">
        <v>785301.39309999999</v>
      </c>
    </row>
    <row r="529" spans="6:6" x14ac:dyDescent="0.2">
      <c r="F529">
        <v>8985789.2016000003</v>
      </c>
    </row>
    <row r="530" spans="6:6" x14ac:dyDescent="0.2">
      <c r="F530">
        <v>-2447268.9829000002</v>
      </c>
    </row>
    <row r="531" spans="6:6" x14ac:dyDescent="0.2">
      <c r="F531">
        <v>3336921.8388</v>
      </c>
    </row>
    <row r="532" spans="6:6" x14ac:dyDescent="0.2">
      <c r="F532">
        <v>11743808.5743</v>
      </c>
    </row>
    <row r="533" spans="6:6" x14ac:dyDescent="0.2">
      <c r="F533">
        <v>2021173.8574000001</v>
      </c>
    </row>
    <row r="534" spans="6:6" x14ac:dyDescent="0.2">
      <c r="F534">
        <v>-287962.77110000001</v>
      </c>
    </row>
    <row r="535" spans="6:6" x14ac:dyDescent="0.2">
      <c r="F535">
        <v>-419872.73359999998</v>
      </c>
    </row>
    <row r="536" spans="6:6" x14ac:dyDescent="0.2">
      <c r="F536">
        <v>-975828.98629999999</v>
      </c>
    </row>
    <row r="537" spans="6:6" x14ac:dyDescent="0.2">
      <c r="F537">
        <v>16146030.234300001</v>
      </c>
    </row>
    <row r="538" spans="6:6" x14ac:dyDescent="0.2">
      <c r="F538">
        <v>1197989.298</v>
      </c>
    </row>
    <row r="539" spans="6:6" x14ac:dyDescent="0.2">
      <c r="F539">
        <v>259415.3714</v>
      </c>
    </row>
    <row r="540" spans="6:6" x14ac:dyDescent="0.2">
      <c r="F540">
        <v>-93096.526500000007</v>
      </c>
    </row>
    <row r="541" spans="6:6" x14ac:dyDescent="0.2">
      <c r="F541">
        <v>1667690.1592000001</v>
      </c>
    </row>
    <row r="542" spans="6:6" x14ac:dyDescent="0.2">
      <c r="F542">
        <v>2104419.4676000001</v>
      </c>
    </row>
    <row r="543" spans="6:6" x14ac:dyDescent="0.2">
      <c r="F543">
        <v>-541350.60499999998</v>
      </c>
    </row>
    <row r="544" spans="6:6" x14ac:dyDescent="0.2">
      <c r="F544">
        <v>360462.23009999999</v>
      </c>
    </row>
    <row r="545" spans="6:6" x14ac:dyDescent="0.2">
      <c r="F545">
        <v>697256.0638</v>
      </c>
    </row>
    <row r="546" spans="6:6" x14ac:dyDescent="0.2">
      <c r="F546">
        <v>93260.339800000002</v>
      </c>
    </row>
    <row r="547" spans="6:6" x14ac:dyDescent="0.2">
      <c r="F547">
        <v>25334189.175900001</v>
      </c>
    </row>
    <row r="548" spans="6:6" x14ac:dyDescent="0.2">
      <c r="F548">
        <v>-127144.9614</v>
      </c>
    </row>
    <row r="549" spans="6:6" x14ac:dyDescent="0.2">
      <c r="F549">
        <v>3204706.2511999998</v>
      </c>
    </row>
    <row r="550" spans="6:6" x14ac:dyDescent="0.2">
      <c r="F550">
        <v>-1943051.5474</v>
      </c>
    </row>
    <row r="551" spans="6:6" x14ac:dyDescent="0.2">
      <c r="F551">
        <v>382259.0822</v>
      </c>
    </row>
    <row r="552" spans="6:6" x14ac:dyDescent="0.2">
      <c r="F552">
        <v>262439.59029999998</v>
      </c>
    </row>
    <row r="553" spans="6:6" x14ac:dyDescent="0.2">
      <c r="F553">
        <v>531360.74529999995</v>
      </c>
    </row>
    <row r="554" spans="6:6" x14ac:dyDescent="0.2">
      <c r="F554">
        <v>-265885.5356</v>
      </c>
    </row>
    <row r="555" spans="6:6" x14ac:dyDescent="0.2">
      <c r="F555">
        <v>-852322.48089999997</v>
      </c>
    </row>
    <row r="556" spans="6:6" x14ac:dyDescent="0.2">
      <c r="F556">
        <v>294288.19530000002</v>
      </c>
    </row>
    <row r="557" spans="6:6" x14ac:dyDescent="0.2">
      <c r="F557">
        <v>23214869.383900002</v>
      </c>
    </row>
    <row r="558" spans="6:6" x14ac:dyDescent="0.2">
      <c r="F558">
        <v>334771.03610000003</v>
      </c>
    </row>
    <row r="559" spans="6:6" x14ac:dyDescent="0.2">
      <c r="F559">
        <v>-983174.98840000003</v>
      </c>
    </row>
    <row r="560" spans="6:6" x14ac:dyDescent="0.2">
      <c r="F560">
        <v>163631.28690000001</v>
      </c>
    </row>
    <row r="561" spans="6:6" x14ac:dyDescent="0.2">
      <c r="F561">
        <v>-398789.51209999999</v>
      </c>
    </row>
    <row r="562" spans="6:6" x14ac:dyDescent="0.2">
      <c r="F562">
        <v>3325626.7078999998</v>
      </c>
    </row>
    <row r="563" spans="6:6" x14ac:dyDescent="0.2">
      <c r="F563">
        <v>15093065.930299999</v>
      </c>
    </row>
    <row r="564" spans="6:6" x14ac:dyDescent="0.2">
      <c r="F564">
        <v>395724.41649999999</v>
      </c>
    </row>
    <row r="565" spans="6:6" x14ac:dyDescent="0.2">
      <c r="F565">
        <v>278810.9276</v>
      </c>
    </row>
    <row r="566" spans="6:6" x14ac:dyDescent="0.2">
      <c r="F566">
        <v>-328055.5062</v>
      </c>
    </row>
    <row r="567" spans="6:6" x14ac:dyDescent="0.2">
      <c r="F567">
        <v>351987.13130000001</v>
      </c>
    </row>
    <row r="568" spans="6:6" x14ac:dyDescent="0.2">
      <c r="F568">
        <v>4746445.2662000004</v>
      </c>
    </row>
    <row r="569" spans="6:6" x14ac:dyDescent="0.2">
      <c r="F569">
        <v>3355137.7552999998</v>
      </c>
    </row>
    <row r="570" spans="6:6" x14ac:dyDescent="0.2">
      <c r="F570">
        <v>-784424.23439999996</v>
      </c>
    </row>
    <row r="571" spans="6:6" x14ac:dyDescent="0.2">
      <c r="F571">
        <v>2753704.0142000001</v>
      </c>
    </row>
    <row r="572" spans="6:6" x14ac:dyDescent="0.2">
      <c r="F572">
        <v>9085173.5799000002</v>
      </c>
    </row>
    <row r="573" spans="6:6" x14ac:dyDescent="0.2">
      <c r="F573">
        <v>845327.96620000002</v>
      </c>
    </row>
    <row r="574" spans="6:6" x14ac:dyDescent="0.2">
      <c r="F574">
        <v>98462.418099999995</v>
      </c>
    </row>
    <row r="575" spans="6:6" x14ac:dyDescent="0.2">
      <c r="F575">
        <v>5729557.4095000001</v>
      </c>
    </row>
    <row r="576" spans="6:6" x14ac:dyDescent="0.2">
      <c r="F576">
        <v>2902827.7488000002</v>
      </c>
    </row>
    <row r="577" spans="6:6" x14ac:dyDescent="0.2">
      <c r="F577">
        <v>443858.84159999999</v>
      </c>
    </row>
    <row r="578" spans="6:6" x14ac:dyDescent="0.2">
      <c r="F578">
        <v>-529001.51</v>
      </c>
    </row>
    <row r="579" spans="6:6" x14ac:dyDescent="0.2">
      <c r="F579">
        <v>2107071.1302</v>
      </c>
    </row>
    <row r="580" spans="6:6" x14ac:dyDescent="0.2">
      <c r="F580">
        <v>8698753.6386999991</v>
      </c>
    </row>
    <row r="581" spans="6:6" x14ac:dyDescent="0.2">
      <c r="F581">
        <v>658336.91139999998</v>
      </c>
    </row>
    <row r="582" spans="6:6" x14ac:dyDescent="0.2">
      <c r="F582">
        <v>47556553.138400003</v>
      </c>
    </row>
    <row r="583" spans="6:6" x14ac:dyDescent="0.2">
      <c r="F583">
        <v>1810892.4240000001</v>
      </c>
    </row>
    <row r="584" spans="6:6" x14ac:dyDescent="0.2">
      <c r="F584">
        <v>-420802.05180000002</v>
      </c>
    </row>
    <row r="585" spans="6:6" x14ac:dyDescent="0.2">
      <c r="F585">
        <v>3591591.5268000001</v>
      </c>
    </row>
    <row r="586" spans="6:6" x14ac:dyDescent="0.2">
      <c r="F586">
        <v>12559645.805600001</v>
      </c>
    </row>
    <row r="587" spans="6:6" x14ac:dyDescent="0.2">
      <c r="F587">
        <v>13848638.138699999</v>
      </c>
    </row>
    <row r="588" spans="6:6" x14ac:dyDescent="0.2">
      <c r="F588">
        <v>-1140471.1791999999</v>
      </c>
    </row>
    <row r="589" spans="6:6" x14ac:dyDescent="0.2">
      <c r="F589">
        <v>2403571.8594</v>
      </c>
    </row>
    <row r="590" spans="6:6" x14ac:dyDescent="0.2">
      <c r="F590">
        <v>-1427595.6921999999</v>
      </c>
    </row>
    <row r="591" spans="6:6" x14ac:dyDescent="0.2">
      <c r="F591">
        <v>-1825302.352</v>
      </c>
    </row>
    <row r="592" spans="6:6" x14ac:dyDescent="0.2">
      <c r="F592">
        <v>12003310.2971</v>
      </c>
    </row>
    <row r="593" spans="6:6" x14ac:dyDescent="0.2">
      <c r="F593">
        <v>496918.1421</v>
      </c>
    </row>
    <row r="594" spans="6:6" x14ac:dyDescent="0.2">
      <c r="F594">
        <v>-901906.14850000001</v>
      </c>
    </row>
    <row r="595" spans="6:6" x14ac:dyDescent="0.2">
      <c r="F595">
        <v>1184158.4358999999</v>
      </c>
    </row>
    <row r="596" spans="6:6" x14ac:dyDescent="0.2">
      <c r="F596">
        <v>-3733696.3961</v>
      </c>
    </row>
    <row r="597" spans="6:6" x14ac:dyDescent="0.2">
      <c r="F597">
        <v>31430852.069200002</v>
      </c>
    </row>
    <row r="598" spans="6:6" x14ac:dyDescent="0.2">
      <c r="F598">
        <v>2906806.6636000001</v>
      </c>
    </row>
    <row r="599" spans="6:6" x14ac:dyDescent="0.2">
      <c r="F599">
        <v>405206.64309999999</v>
      </c>
    </row>
    <row r="600" spans="6:6" x14ac:dyDescent="0.2">
      <c r="F600">
        <v>535308.81299999997</v>
      </c>
    </row>
    <row r="601" spans="6:6" x14ac:dyDescent="0.2">
      <c r="F601">
        <v>-864665.65930000006</v>
      </c>
    </row>
    <row r="602" spans="6:6" x14ac:dyDescent="0.2">
      <c r="F602">
        <v>23082505.261599999</v>
      </c>
    </row>
    <row r="603" spans="6:6" x14ac:dyDescent="0.2">
      <c r="F603">
        <v>3743070.7832999998</v>
      </c>
    </row>
    <row r="604" spans="6:6" x14ac:dyDescent="0.2">
      <c r="F604">
        <v>523726.4045</v>
      </c>
    </row>
    <row r="605" spans="6:6" x14ac:dyDescent="0.2">
      <c r="F605">
        <v>53676912.062100001</v>
      </c>
    </row>
    <row r="606" spans="6:6" x14ac:dyDescent="0.2">
      <c r="F606">
        <v>1157261.1255999999</v>
      </c>
    </row>
    <row r="607" spans="6:6" x14ac:dyDescent="0.2">
      <c r="F607">
        <v>951605.17870000005</v>
      </c>
    </row>
    <row r="608" spans="6:6" x14ac:dyDescent="0.2">
      <c r="F608">
        <v>10921670.879000001</v>
      </c>
    </row>
    <row r="609" spans="6:6" x14ac:dyDescent="0.2">
      <c r="F609">
        <v>7242338.8938999996</v>
      </c>
    </row>
    <row r="610" spans="6:6" x14ac:dyDescent="0.2">
      <c r="F610">
        <v>5725418.9529999997</v>
      </c>
    </row>
    <row r="611" spans="6:6" x14ac:dyDescent="0.2">
      <c r="F611">
        <v>3295368.3697000002</v>
      </c>
    </row>
    <row r="612" spans="6:6" x14ac:dyDescent="0.2">
      <c r="F612">
        <v>317264.72690000001</v>
      </c>
    </row>
    <row r="613" spans="6:6" x14ac:dyDescent="0.2">
      <c r="F613">
        <v>454276.80579999997</v>
      </c>
    </row>
    <row r="614" spans="6:6" x14ac:dyDescent="0.2">
      <c r="F614">
        <v>1606599.173</v>
      </c>
    </row>
    <row r="615" spans="6:6" x14ac:dyDescent="0.2">
      <c r="F615">
        <v>6651708.7620000001</v>
      </c>
    </row>
    <row r="616" spans="6:6" x14ac:dyDescent="0.2">
      <c r="F616">
        <v>8593468.2734999992</v>
      </c>
    </row>
    <row r="617" spans="6:6" x14ac:dyDescent="0.2">
      <c r="F617">
        <v>316240.19429999997</v>
      </c>
    </row>
    <row r="618" spans="6:6" x14ac:dyDescent="0.2">
      <c r="F618">
        <v>7422743.4385000002</v>
      </c>
    </row>
    <row r="619" spans="6:6" x14ac:dyDescent="0.2">
      <c r="F619">
        <v>12866224.551000001</v>
      </c>
    </row>
    <row r="620" spans="6:6" x14ac:dyDescent="0.2">
      <c r="F620">
        <v>8729834.2260999996</v>
      </c>
    </row>
    <row r="621" spans="6:6" x14ac:dyDescent="0.2">
      <c r="F621">
        <v>4880881.8611000003</v>
      </c>
    </row>
    <row r="622" spans="6:6" x14ac:dyDescent="0.2">
      <c r="F622">
        <v>10818261.662</v>
      </c>
    </row>
    <row r="623" spans="6:6" x14ac:dyDescent="0.2">
      <c r="F623">
        <v>2916585.6403000001</v>
      </c>
    </row>
    <row r="624" spans="6:6" x14ac:dyDescent="0.2">
      <c r="F624">
        <v>1804405.3866999999</v>
      </c>
    </row>
    <row r="625" spans="6:6" x14ac:dyDescent="0.2">
      <c r="F625">
        <v>5480204.5650000004</v>
      </c>
    </row>
    <row r="626" spans="6:6" x14ac:dyDescent="0.2">
      <c r="F626">
        <v>5338859.0637999997</v>
      </c>
    </row>
    <row r="627" spans="6:6" x14ac:dyDescent="0.2">
      <c r="F627">
        <v>2286482.4826000002</v>
      </c>
    </row>
    <row r="628" spans="6:6" x14ac:dyDescent="0.2">
      <c r="F628">
        <v>1855387.3624</v>
      </c>
    </row>
    <row r="629" spans="6:6" x14ac:dyDescent="0.2">
      <c r="F629">
        <v>456994.7303</v>
      </c>
    </row>
    <row r="630" spans="6:6" x14ac:dyDescent="0.2">
      <c r="F630">
        <v>3189424.0668000001</v>
      </c>
    </row>
    <row r="631" spans="6:6" x14ac:dyDescent="0.2">
      <c r="F631">
        <v>415954.8407</v>
      </c>
    </row>
    <row r="632" spans="6:6" x14ac:dyDescent="0.2">
      <c r="F632">
        <v>1226619.1809</v>
      </c>
    </row>
    <row r="633" spans="6:6" x14ac:dyDescent="0.2">
      <c r="F633">
        <v>5031586.0336999996</v>
      </c>
    </row>
    <row r="634" spans="6:6" x14ac:dyDescent="0.2">
      <c r="F634">
        <v>1946598.0307</v>
      </c>
    </row>
    <row r="635" spans="6:6" x14ac:dyDescent="0.2">
      <c r="F635">
        <v>11066.4493</v>
      </c>
    </row>
    <row r="636" spans="6:6" x14ac:dyDescent="0.2">
      <c r="F636">
        <v>5436697.2873999998</v>
      </c>
    </row>
    <row r="637" spans="6:6" x14ac:dyDescent="0.2">
      <c r="F637">
        <v>1084033.5416000001</v>
      </c>
    </row>
    <row r="638" spans="6:6" x14ac:dyDescent="0.2">
      <c r="F638">
        <v>4919511.7144999998</v>
      </c>
    </row>
    <row r="639" spans="6:6" x14ac:dyDescent="0.2">
      <c r="F639">
        <v>2510574.0070000002</v>
      </c>
    </row>
    <row r="640" spans="6:6" x14ac:dyDescent="0.2">
      <c r="F640">
        <v>12293911.01</v>
      </c>
    </row>
    <row r="641" spans="6:6" x14ac:dyDescent="0.2">
      <c r="F641">
        <v>1161888.3632</v>
      </c>
    </row>
    <row r="642" spans="6:6" x14ac:dyDescent="0.2">
      <c r="F642">
        <v>6916372.8991</v>
      </c>
    </row>
    <row r="643" spans="6:6" x14ac:dyDescent="0.2">
      <c r="F643">
        <v>-1455697.9032999999</v>
      </c>
    </row>
    <row r="644" spans="6:6" x14ac:dyDescent="0.2">
      <c r="F644">
        <v>2548959.4139</v>
      </c>
    </row>
    <row r="645" spans="6:6" x14ac:dyDescent="0.2">
      <c r="F645">
        <v>26622264.6094</v>
      </c>
    </row>
    <row r="646" spans="6:6" x14ac:dyDescent="0.2">
      <c r="F646">
        <v>1299824.2086</v>
      </c>
    </row>
    <row r="647" spans="6:6" x14ac:dyDescent="0.2">
      <c r="F647">
        <v>-863993.79200000002</v>
      </c>
    </row>
    <row r="648" spans="6:6" x14ac:dyDescent="0.2">
      <c r="F648">
        <v>-1253402.6651000001</v>
      </c>
    </row>
    <row r="649" spans="6:6" x14ac:dyDescent="0.2">
      <c r="F649">
        <v>7602937.4057999998</v>
      </c>
    </row>
    <row r="650" spans="6:6" x14ac:dyDescent="0.2">
      <c r="F650">
        <v>21294.696899999999</v>
      </c>
    </row>
    <row r="651" spans="6:6" x14ac:dyDescent="0.2">
      <c r="F651">
        <v>391707.995</v>
      </c>
    </row>
    <row r="652" spans="6:6" x14ac:dyDescent="0.2">
      <c r="F652">
        <v>1838301.0527999999</v>
      </c>
    </row>
    <row r="653" spans="6:6" x14ac:dyDescent="0.2">
      <c r="F653">
        <v>-789811.71770000004</v>
      </c>
    </row>
    <row r="654" spans="6:6" x14ac:dyDescent="0.2">
      <c r="F654">
        <v>-2331943.8905000002</v>
      </c>
    </row>
    <row r="655" spans="6:6" x14ac:dyDescent="0.2">
      <c r="F655">
        <v>3161063.3365000002</v>
      </c>
    </row>
    <row r="656" spans="6:6" x14ac:dyDescent="0.2">
      <c r="F656">
        <v>1736589.7586000001</v>
      </c>
    </row>
    <row r="657" spans="6:6" x14ac:dyDescent="0.2">
      <c r="F657">
        <v>-469055.71409999998</v>
      </c>
    </row>
    <row r="658" spans="6:6" x14ac:dyDescent="0.2">
      <c r="F658">
        <v>-1049064.9911</v>
      </c>
    </row>
    <row r="659" spans="6:6" x14ac:dyDescent="0.2">
      <c r="F659">
        <v>-938346.51659999997</v>
      </c>
    </row>
    <row r="660" spans="6:6" x14ac:dyDescent="0.2">
      <c r="F660">
        <v>3622168.801</v>
      </c>
    </row>
    <row r="661" spans="6:6" x14ac:dyDescent="0.2">
      <c r="F661">
        <v>209452.12409999999</v>
      </c>
    </row>
    <row r="662" spans="6:6" x14ac:dyDescent="0.2">
      <c r="F662">
        <v>-1186762.0991</v>
      </c>
    </row>
    <row r="663" spans="6:6" x14ac:dyDescent="0.2">
      <c r="F663">
        <v>7823669.5048000002</v>
      </c>
    </row>
    <row r="664" spans="6:6" x14ac:dyDescent="0.2">
      <c r="F664">
        <v>4802330.2247000001</v>
      </c>
    </row>
    <row r="665" spans="6:6" x14ac:dyDescent="0.2">
      <c r="F665">
        <v>17336962.070700001</v>
      </c>
    </row>
    <row r="666" spans="6:6" x14ac:dyDescent="0.2">
      <c r="F666">
        <v>701750.7108</v>
      </c>
    </row>
    <row r="667" spans="6:6" x14ac:dyDescent="0.2">
      <c r="F667">
        <v>511858.30670000002</v>
      </c>
    </row>
    <row r="668" spans="6:6" x14ac:dyDescent="0.2">
      <c r="F668">
        <v>4762137.6882999996</v>
      </c>
    </row>
    <row r="669" spans="6:6" x14ac:dyDescent="0.2">
      <c r="F669">
        <v>84610.948399999994</v>
      </c>
    </row>
    <row r="670" spans="6:6" x14ac:dyDescent="0.2">
      <c r="F670">
        <v>7298817.1270000003</v>
      </c>
    </row>
    <row r="671" spans="6:6" x14ac:dyDescent="0.2">
      <c r="F671">
        <v>1683686.6114000001</v>
      </c>
    </row>
    <row r="672" spans="6:6" x14ac:dyDescent="0.2">
      <c r="F672">
        <v>4130528.9841</v>
      </c>
    </row>
    <row r="673" spans="6:6" x14ac:dyDescent="0.2">
      <c r="F673">
        <v>-1018548.6992</v>
      </c>
    </row>
    <row r="674" spans="6:6" x14ac:dyDescent="0.2">
      <c r="F674">
        <v>-1840108.5715999999</v>
      </c>
    </row>
    <row r="675" spans="6:6" x14ac:dyDescent="0.2">
      <c r="F675">
        <v>219466.5338</v>
      </c>
    </row>
    <row r="676" spans="6:6" x14ac:dyDescent="0.2">
      <c r="F676">
        <v>-481826.18290000001</v>
      </c>
    </row>
    <row r="677" spans="6:6" x14ac:dyDescent="0.2">
      <c r="F677">
        <v>349930.2795</v>
      </c>
    </row>
    <row r="678" spans="6:6" x14ac:dyDescent="0.2">
      <c r="F678">
        <v>10572976.968800001</v>
      </c>
    </row>
    <row r="679" spans="6:6" x14ac:dyDescent="0.2">
      <c r="F679">
        <v>1247697.5677</v>
      </c>
    </row>
    <row r="680" spans="6:6" x14ac:dyDescent="0.2">
      <c r="F680">
        <v>10867789.4409</v>
      </c>
    </row>
    <row r="681" spans="6:6" x14ac:dyDescent="0.2">
      <c r="F681">
        <v>645077.62800000003</v>
      </c>
    </row>
    <row r="682" spans="6:6" x14ac:dyDescent="0.2">
      <c r="F682">
        <v>1820023.3118</v>
      </c>
    </row>
    <row r="683" spans="6:6" x14ac:dyDescent="0.2">
      <c r="F683">
        <v>2217525.5948999999</v>
      </c>
    </row>
    <row r="684" spans="6:6" x14ac:dyDescent="0.2">
      <c r="F684">
        <v>9124956.5925999992</v>
      </c>
    </row>
    <row r="685" spans="6:6" x14ac:dyDescent="0.2">
      <c r="F685">
        <v>-896664.31319999998</v>
      </c>
    </row>
    <row r="686" spans="6:6" x14ac:dyDescent="0.2">
      <c r="F686">
        <v>366807.17190000002</v>
      </c>
    </row>
    <row r="687" spans="6:6" x14ac:dyDescent="0.2">
      <c r="F687">
        <v>-210583.8131</v>
      </c>
    </row>
    <row r="688" spans="6:6" x14ac:dyDescent="0.2">
      <c r="F688">
        <v>-1848039.0721</v>
      </c>
    </row>
    <row r="689" spans="6:6" x14ac:dyDescent="0.2">
      <c r="F689">
        <v>5237805.4798999997</v>
      </c>
    </row>
    <row r="690" spans="6:6" x14ac:dyDescent="0.2">
      <c r="F690">
        <v>6897133.4956</v>
      </c>
    </row>
    <row r="691" spans="6:6" x14ac:dyDescent="0.2">
      <c r="F691">
        <v>20907.753499999999</v>
      </c>
    </row>
    <row r="692" spans="6:6" x14ac:dyDescent="0.2">
      <c r="F692">
        <v>-74074.078299999994</v>
      </c>
    </row>
    <row r="693" spans="6:6" x14ac:dyDescent="0.2">
      <c r="F693">
        <v>-765847.99780000001</v>
      </c>
    </row>
    <row r="694" spans="6:6" x14ac:dyDescent="0.2">
      <c r="F694">
        <v>17022731.9575</v>
      </c>
    </row>
    <row r="695" spans="6:6" x14ac:dyDescent="0.2">
      <c r="F695">
        <v>492393.02110000001</v>
      </c>
    </row>
    <row r="696" spans="6:6" x14ac:dyDescent="0.2">
      <c r="F696">
        <v>387665.43810000003</v>
      </c>
    </row>
    <row r="697" spans="6:6" x14ac:dyDescent="0.2">
      <c r="F697">
        <v>-45124.161399999997</v>
      </c>
    </row>
    <row r="698" spans="6:6" x14ac:dyDescent="0.2">
      <c r="F698">
        <v>-2420087.3519000001</v>
      </c>
    </row>
    <row r="699" spans="6:6" x14ac:dyDescent="0.2">
      <c r="F699">
        <v>259962.9994</v>
      </c>
    </row>
    <row r="700" spans="6:6" x14ac:dyDescent="0.2">
      <c r="F700">
        <v>1234815.1873000001</v>
      </c>
    </row>
    <row r="701" spans="6:6" x14ac:dyDescent="0.2">
      <c r="F701">
        <v>14890837.955800001</v>
      </c>
    </row>
    <row r="702" spans="6:6" x14ac:dyDescent="0.2">
      <c r="F702">
        <v>9479950.1966999993</v>
      </c>
    </row>
    <row r="703" spans="6:6" x14ac:dyDescent="0.2">
      <c r="F703">
        <v>4647705.4585999995</v>
      </c>
    </row>
    <row r="704" spans="6:6" x14ac:dyDescent="0.2">
      <c r="F704">
        <v>-1808623.9794000001</v>
      </c>
    </row>
    <row r="705" spans="6:6" x14ac:dyDescent="0.2">
      <c r="F705">
        <v>838221.98820000002</v>
      </c>
    </row>
    <row r="706" spans="6:6" x14ac:dyDescent="0.2">
      <c r="F706">
        <v>657517.80889999995</v>
      </c>
    </row>
    <row r="707" spans="6:6" x14ac:dyDescent="0.2">
      <c r="F707">
        <v>14213465.024800001</v>
      </c>
    </row>
    <row r="708" spans="6:6" x14ac:dyDescent="0.2">
      <c r="F708">
        <v>6885097.9621000001</v>
      </c>
    </row>
    <row r="709" spans="6:6" x14ac:dyDescent="0.2">
      <c r="F709">
        <v>-1181607.7224999999</v>
      </c>
    </row>
    <row r="710" spans="6:6" x14ac:dyDescent="0.2">
      <c r="F710">
        <v>33082172.5702</v>
      </c>
    </row>
    <row r="711" spans="6:6" x14ac:dyDescent="0.2">
      <c r="F711">
        <v>2021312.9247000001</v>
      </c>
    </row>
    <row r="712" spans="6:6" x14ac:dyDescent="0.2">
      <c r="F712">
        <v>471965.25260000001</v>
      </c>
    </row>
    <row r="713" spans="6:6" x14ac:dyDescent="0.2">
      <c r="F713">
        <v>-1703043.7420999999</v>
      </c>
    </row>
    <row r="714" spans="6:6" x14ac:dyDescent="0.2">
      <c r="F714">
        <v>5082464.9347999999</v>
      </c>
    </row>
    <row r="715" spans="6:6" x14ac:dyDescent="0.2">
      <c r="F715">
        <v>-92858.113599999997</v>
      </c>
    </row>
    <row r="716" spans="6:6" x14ac:dyDescent="0.2">
      <c r="F716">
        <v>-1609160.8038999999</v>
      </c>
    </row>
    <row r="717" spans="6:6" x14ac:dyDescent="0.2">
      <c r="F717">
        <v>1597151.8740999999</v>
      </c>
    </row>
    <row r="718" spans="6:6" x14ac:dyDescent="0.2">
      <c r="F718">
        <v>-1098047.8354</v>
      </c>
    </row>
    <row r="719" spans="6:6" x14ac:dyDescent="0.2">
      <c r="F719">
        <v>2756140.3831000002</v>
      </c>
    </row>
    <row r="720" spans="6:6" x14ac:dyDescent="0.2">
      <c r="F720">
        <v>-1031111.8905</v>
      </c>
    </row>
    <row r="721" spans="6:6" x14ac:dyDescent="0.2">
      <c r="F721">
        <v>6021725.8837000001</v>
      </c>
    </row>
    <row r="722" spans="6:6" x14ac:dyDescent="0.2">
      <c r="F722">
        <v>3477304.2373000002</v>
      </c>
    </row>
    <row r="723" spans="6:6" x14ac:dyDescent="0.2">
      <c r="F723">
        <v>1341401.2455</v>
      </c>
    </row>
    <row r="724" spans="6:6" x14ac:dyDescent="0.2">
      <c r="F724">
        <v>-1960340.3095</v>
      </c>
    </row>
    <row r="725" spans="6:6" x14ac:dyDescent="0.2">
      <c r="F725">
        <v>9149757.2577</v>
      </c>
    </row>
    <row r="726" spans="6:6" x14ac:dyDescent="0.2">
      <c r="F726">
        <v>-853052.65079999994</v>
      </c>
    </row>
    <row r="727" spans="6:6" x14ac:dyDescent="0.2">
      <c r="F727">
        <v>1101188.3910999999</v>
      </c>
    </row>
    <row r="728" spans="6:6" x14ac:dyDescent="0.2">
      <c r="F728">
        <v>-1998462.6024</v>
      </c>
    </row>
    <row r="729" spans="6:6" x14ac:dyDescent="0.2">
      <c r="F729">
        <v>15576813.08</v>
      </c>
    </row>
    <row r="730" spans="6:6" x14ac:dyDescent="0.2">
      <c r="F730">
        <v>-715533.71710000001</v>
      </c>
    </row>
    <row r="731" spans="6:6" x14ac:dyDescent="0.2">
      <c r="F731">
        <v>2104053.0890000002</v>
      </c>
    </row>
    <row r="732" spans="6:6" x14ac:dyDescent="0.2">
      <c r="F732">
        <v>33408081.612</v>
      </c>
    </row>
    <row r="733" spans="6:6" x14ac:dyDescent="0.2">
      <c r="F733">
        <v>2798965.2370000002</v>
      </c>
    </row>
    <row r="734" spans="6:6" x14ac:dyDescent="0.2">
      <c r="F734">
        <v>7437995.9548000004</v>
      </c>
    </row>
    <row r="735" spans="6:6" x14ac:dyDescent="0.2">
      <c r="F735">
        <v>5735193.4957999997</v>
      </c>
    </row>
    <row r="736" spans="6:6" x14ac:dyDescent="0.2">
      <c r="F736">
        <v>1745353.3130999999</v>
      </c>
    </row>
    <row r="737" spans="6:6" x14ac:dyDescent="0.2">
      <c r="F737">
        <v>-170394.32629999999</v>
      </c>
    </row>
    <row r="738" spans="6:6" x14ac:dyDescent="0.2">
      <c r="F738">
        <v>4719412.6131999996</v>
      </c>
    </row>
    <row r="739" spans="6:6" x14ac:dyDescent="0.2">
      <c r="F739">
        <v>-385286.07150000002</v>
      </c>
    </row>
    <row r="740" spans="6:6" x14ac:dyDescent="0.2">
      <c r="F740">
        <v>10404881.6808</v>
      </c>
    </row>
    <row r="741" spans="6:6" x14ac:dyDescent="0.2">
      <c r="F741">
        <v>-416609.5834</v>
      </c>
    </row>
    <row r="742" spans="6:6" x14ac:dyDescent="0.2">
      <c r="F742">
        <v>1089907.034</v>
      </c>
    </row>
    <row r="743" spans="6:6" x14ac:dyDescent="0.2">
      <c r="F743">
        <v>-1315291.7359</v>
      </c>
    </row>
    <row r="744" spans="6:6" x14ac:dyDescent="0.2">
      <c r="F744">
        <v>950482.45239999995</v>
      </c>
    </row>
    <row r="745" spans="6:6" x14ac:dyDescent="0.2">
      <c r="F745">
        <v>7148092.8107000003</v>
      </c>
    </row>
    <row r="746" spans="6:6" x14ac:dyDescent="0.2">
      <c r="F746">
        <v>1620679.6709</v>
      </c>
    </row>
    <row r="747" spans="6:6" x14ac:dyDescent="0.2">
      <c r="F747">
        <v>2012765.9069000001</v>
      </c>
    </row>
    <row r="748" spans="6:6" x14ac:dyDescent="0.2">
      <c r="F748">
        <v>1311769.0363</v>
      </c>
    </row>
    <row r="749" spans="6:6" x14ac:dyDescent="0.2">
      <c r="F749">
        <v>-96218.603499999997</v>
      </c>
    </row>
    <row r="750" spans="6:6" x14ac:dyDescent="0.2">
      <c r="F750">
        <v>10513610.2939</v>
      </c>
    </row>
    <row r="751" spans="6:6" x14ac:dyDescent="0.2">
      <c r="F751">
        <v>65413.460800000001</v>
      </c>
    </row>
    <row r="752" spans="6:6" x14ac:dyDescent="0.2">
      <c r="F752">
        <v>11029658.547700001</v>
      </c>
    </row>
    <row r="753" spans="6:6" x14ac:dyDescent="0.2">
      <c r="F753">
        <v>19927047.0068</v>
      </c>
    </row>
    <row r="754" spans="6:6" x14ac:dyDescent="0.2">
      <c r="F754">
        <v>7581902.2468999997</v>
      </c>
    </row>
    <row r="755" spans="6:6" x14ac:dyDescent="0.2">
      <c r="F755">
        <v>4408198.5592999998</v>
      </c>
    </row>
    <row r="756" spans="6:6" x14ac:dyDescent="0.2">
      <c r="F756">
        <v>7495787.1176000005</v>
      </c>
    </row>
    <row r="757" spans="6:6" x14ac:dyDescent="0.2">
      <c r="F757">
        <v>4326013.3399</v>
      </c>
    </row>
    <row r="758" spans="6:6" x14ac:dyDescent="0.2">
      <c r="F758">
        <v>2426324.4402000001</v>
      </c>
    </row>
    <row r="759" spans="6:6" x14ac:dyDescent="0.2">
      <c r="F759">
        <v>-134705.44990000001</v>
      </c>
    </row>
    <row r="760" spans="6:6" x14ac:dyDescent="0.2">
      <c r="F760">
        <v>-427594.92170000001</v>
      </c>
    </row>
    <row r="761" spans="6:6" x14ac:dyDescent="0.2">
      <c r="F761">
        <v>-259249.31760000001</v>
      </c>
    </row>
    <row r="762" spans="6:6" x14ac:dyDescent="0.2">
      <c r="F762">
        <v>667212.26419999998</v>
      </c>
    </row>
    <row r="763" spans="6:6" x14ac:dyDescent="0.2">
      <c r="F763">
        <v>4760143.1759000001</v>
      </c>
    </row>
    <row r="764" spans="6:6" x14ac:dyDescent="0.2">
      <c r="F764">
        <v>2364470.8239000002</v>
      </c>
    </row>
    <row r="765" spans="6:6" x14ac:dyDescent="0.2">
      <c r="F765">
        <v>-1963239.0592</v>
      </c>
    </row>
    <row r="766" spans="6:6" x14ac:dyDescent="0.2">
      <c r="F766">
        <v>4145915.8492999999</v>
      </c>
    </row>
    <row r="767" spans="6:6" x14ac:dyDescent="0.2">
      <c r="F767">
        <v>-630180.51450000005</v>
      </c>
    </row>
    <row r="768" spans="6:6" x14ac:dyDescent="0.2">
      <c r="F768">
        <v>4542467.7465000004</v>
      </c>
    </row>
    <row r="769" spans="6:6" x14ac:dyDescent="0.2">
      <c r="F769">
        <v>5922031.5851999996</v>
      </c>
    </row>
    <row r="770" spans="6:6" x14ac:dyDescent="0.2">
      <c r="F770">
        <v>12392562.9915</v>
      </c>
    </row>
    <row r="771" spans="6:6" x14ac:dyDescent="0.2">
      <c r="F771">
        <v>1277787.3411999999</v>
      </c>
    </row>
    <row r="772" spans="6:6" x14ac:dyDescent="0.2">
      <c r="F772">
        <v>-554500.53280000004</v>
      </c>
    </row>
    <row r="773" spans="6:6" x14ac:dyDescent="0.2">
      <c r="F773">
        <v>-44218.1538</v>
      </c>
    </row>
    <row r="774" spans="6:6" x14ac:dyDescent="0.2">
      <c r="F774">
        <v>-248837.13159999999</v>
      </c>
    </row>
    <row r="775" spans="6:6" x14ac:dyDescent="0.2">
      <c r="F775">
        <v>608565.91280000005</v>
      </c>
    </row>
    <row r="776" spans="6:6" x14ac:dyDescent="0.2">
      <c r="F776">
        <v>1007299.5220999999</v>
      </c>
    </row>
    <row r="777" spans="6:6" x14ac:dyDescent="0.2">
      <c r="F777">
        <v>3616763.3539</v>
      </c>
    </row>
    <row r="778" spans="6:6" x14ac:dyDescent="0.2">
      <c r="F778">
        <v>-270664.79820000002</v>
      </c>
    </row>
    <row r="779" spans="6:6" x14ac:dyDescent="0.2">
      <c r="F779">
        <v>-549351.20290000003</v>
      </c>
    </row>
    <row r="780" spans="6:6" x14ac:dyDescent="0.2">
      <c r="F780">
        <v>1865993.0647</v>
      </c>
    </row>
    <row r="781" spans="6:6" x14ac:dyDescent="0.2">
      <c r="F781">
        <v>3837681.3651000001</v>
      </c>
    </row>
    <row r="782" spans="6:6" x14ac:dyDescent="0.2">
      <c r="F782">
        <v>-184241.76449999999</v>
      </c>
    </row>
    <row r="783" spans="6:6" x14ac:dyDescent="0.2">
      <c r="F783">
        <v>47177170.942299999</v>
      </c>
    </row>
    <row r="784" spans="6:6" x14ac:dyDescent="0.2">
      <c r="F784">
        <v>1865408.2071</v>
      </c>
    </row>
    <row r="785" spans="6:6" x14ac:dyDescent="0.2">
      <c r="F785">
        <v>4549118.6868000003</v>
      </c>
    </row>
    <row r="786" spans="6:6" x14ac:dyDescent="0.2">
      <c r="F786">
        <v>631877.00450000004</v>
      </c>
    </row>
    <row r="787" spans="6:6" x14ac:dyDescent="0.2">
      <c r="F787">
        <v>-582611.92949999997</v>
      </c>
    </row>
    <row r="788" spans="6:6" x14ac:dyDescent="0.2">
      <c r="F788">
        <v>1953654.3912</v>
      </c>
    </row>
    <row r="789" spans="6:6" x14ac:dyDescent="0.2">
      <c r="F789">
        <v>4204247.1919999998</v>
      </c>
    </row>
    <row r="790" spans="6:6" x14ac:dyDescent="0.2">
      <c r="F790">
        <v>516093.54190000001</v>
      </c>
    </row>
    <row r="791" spans="6:6" x14ac:dyDescent="0.2">
      <c r="F791">
        <v>5769792.2165000001</v>
      </c>
    </row>
    <row r="792" spans="6:6" x14ac:dyDescent="0.2">
      <c r="F792">
        <v>6267172.8691999996</v>
      </c>
    </row>
    <row r="793" spans="6:6" x14ac:dyDescent="0.2">
      <c r="F793">
        <v>142802.1538</v>
      </c>
    </row>
    <row r="794" spans="6:6" x14ac:dyDescent="0.2">
      <c r="F794">
        <v>1704758.5274</v>
      </c>
    </row>
    <row r="795" spans="6:6" x14ac:dyDescent="0.2">
      <c r="F795">
        <v>-348268.27110000001</v>
      </c>
    </row>
    <row r="796" spans="6:6" x14ac:dyDescent="0.2">
      <c r="F796">
        <v>13839931.3759</v>
      </c>
    </row>
    <row r="797" spans="6:6" x14ac:dyDescent="0.2">
      <c r="F797">
        <v>643933.39709999994</v>
      </c>
    </row>
    <row r="798" spans="6:6" x14ac:dyDescent="0.2">
      <c r="F798">
        <v>-2760501.003</v>
      </c>
    </row>
    <row r="799" spans="6:6" x14ac:dyDescent="0.2">
      <c r="F799">
        <v>-1029933.2641</v>
      </c>
    </row>
    <row r="800" spans="6:6" x14ac:dyDescent="0.2">
      <c r="F800">
        <v>242761.72289999999</v>
      </c>
    </row>
    <row r="801" spans="6:6" x14ac:dyDescent="0.2">
      <c r="F801">
        <v>672929.35380000004</v>
      </c>
    </row>
    <row r="802" spans="6:6" x14ac:dyDescent="0.2">
      <c r="F802">
        <v>-381378.62099999998</v>
      </c>
    </row>
    <row r="803" spans="6:6" x14ac:dyDescent="0.2">
      <c r="F803">
        <v>7927631.4329000004</v>
      </c>
    </row>
    <row r="804" spans="6:6" x14ac:dyDescent="0.2">
      <c r="F804">
        <v>686814.28610000003</v>
      </c>
    </row>
    <row r="805" spans="6:6" x14ac:dyDescent="0.2">
      <c r="F805">
        <v>-1048030.8459</v>
      </c>
    </row>
    <row r="806" spans="6:6" x14ac:dyDescent="0.2">
      <c r="F806">
        <v>7305805.5686999997</v>
      </c>
    </row>
    <row r="807" spans="6:6" x14ac:dyDescent="0.2">
      <c r="F807">
        <v>-910480.00260000001</v>
      </c>
    </row>
    <row r="808" spans="6:6" x14ac:dyDescent="0.2">
      <c r="F808">
        <v>204771.50959999999</v>
      </c>
    </row>
    <row r="809" spans="6:6" x14ac:dyDescent="0.2">
      <c r="F809">
        <v>2536436.2344999998</v>
      </c>
    </row>
    <row r="810" spans="6:6" x14ac:dyDescent="0.2">
      <c r="F810">
        <v>2648560.1801</v>
      </c>
    </row>
    <row r="811" spans="6:6" x14ac:dyDescent="0.2">
      <c r="F811">
        <v>935261.91760000004</v>
      </c>
    </row>
    <row r="812" spans="6:6" x14ac:dyDescent="0.2">
      <c r="F812">
        <v>118691.11010000001</v>
      </c>
    </row>
    <row r="813" spans="6:6" x14ac:dyDescent="0.2">
      <c r="F813">
        <v>79036.194900000002</v>
      </c>
    </row>
    <row r="814" spans="6:6" x14ac:dyDescent="0.2">
      <c r="F814">
        <v>39005894.561700001</v>
      </c>
    </row>
    <row r="815" spans="6:6" x14ac:dyDescent="0.2">
      <c r="F815">
        <v>991891.75289999996</v>
      </c>
    </row>
    <row r="816" spans="6:6" x14ac:dyDescent="0.2">
      <c r="F816">
        <v>6438436.0604999997</v>
      </c>
    </row>
    <row r="817" spans="6:6" x14ac:dyDescent="0.2">
      <c r="F817">
        <v>1194695.9099000001</v>
      </c>
    </row>
    <row r="818" spans="6:6" x14ac:dyDescent="0.2">
      <c r="F818">
        <v>940536.94440000004</v>
      </c>
    </row>
    <row r="819" spans="6:6" x14ac:dyDescent="0.2">
      <c r="F819">
        <v>1467465.4003000001</v>
      </c>
    </row>
    <row r="820" spans="6:6" x14ac:dyDescent="0.2">
      <c r="F820">
        <v>1734743.6269</v>
      </c>
    </row>
    <row r="821" spans="6:6" x14ac:dyDescent="0.2">
      <c r="F821">
        <v>2940756.6179</v>
      </c>
    </row>
    <row r="822" spans="6:6" x14ac:dyDescent="0.2">
      <c r="F822">
        <v>12441722.7316</v>
      </c>
    </row>
    <row r="823" spans="6:6" x14ac:dyDescent="0.2">
      <c r="F823">
        <v>-564171.8223</v>
      </c>
    </row>
    <row r="824" spans="6:6" x14ac:dyDescent="0.2">
      <c r="F824">
        <v>-3039095.9722000002</v>
      </c>
    </row>
    <row r="825" spans="6:6" x14ac:dyDescent="0.2">
      <c r="F825">
        <v>16484455.6863</v>
      </c>
    </row>
    <row r="826" spans="6:6" x14ac:dyDescent="0.2">
      <c r="F826">
        <v>1170541.0148</v>
      </c>
    </row>
    <row r="827" spans="6:6" x14ac:dyDescent="0.2">
      <c r="F827">
        <v>-241839.16209999999</v>
      </c>
    </row>
    <row r="828" spans="6:6" x14ac:dyDescent="0.2">
      <c r="F828">
        <v>-1480983.3670000001</v>
      </c>
    </row>
    <row r="829" spans="6:6" x14ac:dyDescent="0.2">
      <c r="F829">
        <v>2600955.0619000001</v>
      </c>
    </row>
    <row r="830" spans="6:6" x14ac:dyDescent="0.2">
      <c r="F830">
        <v>-879914.46620000002</v>
      </c>
    </row>
    <row r="831" spans="6:6" x14ac:dyDescent="0.2">
      <c r="F831">
        <v>-128417.8461</v>
      </c>
    </row>
    <row r="832" spans="6:6" x14ac:dyDescent="0.2">
      <c r="F832">
        <v>-356199.57500000001</v>
      </c>
    </row>
    <row r="833" spans="6:6" x14ac:dyDescent="0.2">
      <c r="F833">
        <v>9995915.9886000007</v>
      </c>
    </row>
    <row r="834" spans="6:6" x14ac:dyDescent="0.2">
      <c r="F834">
        <v>4458705.8063000003</v>
      </c>
    </row>
    <row r="835" spans="6:6" x14ac:dyDescent="0.2">
      <c r="F835">
        <v>696772.8297</v>
      </c>
    </row>
    <row r="836" spans="6:6" x14ac:dyDescent="0.2">
      <c r="F836">
        <v>756002.07750000001</v>
      </c>
    </row>
    <row r="837" spans="6:6" x14ac:dyDescent="0.2">
      <c r="F837">
        <v>1118393.5899</v>
      </c>
    </row>
    <row r="838" spans="6:6" x14ac:dyDescent="0.2">
      <c r="F838">
        <v>1136664.6909</v>
      </c>
    </row>
    <row r="839" spans="6:6" x14ac:dyDescent="0.2">
      <c r="F839">
        <v>327001.00919999997</v>
      </c>
    </row>
    <row r="840" spans="6:6" x14ac:dyDescent="0.2">
      <c r="F840">
        <v>-563309.30290000001</v>
      </c>
    </row>
    <row r="841" spans="6:6" x14ac:dyDescent="0.2">
      <c r="F841">
        <v>232863.8248</v>
      </c>
    </row>
    <row r="842" spans="6:6" x14ac:dyDescent="0.2">
      <c r="F842">
        <v>-1012876.6166</v>
      </c>
    </row>
    <row r="843" spans="6:6" x14ac:dyDescent="0.2">
      <c r="F843">
        <v>7846787.0358999996</v>
      </c>
    </row>
    <row r="844" spans="6:6" x14ac:dyDescent="0.2">
      <c r="F844">
        <v>20341.0504</v>
      </c>
    </row>
    <row r="845" spans="6:6" x14ac:dyDescent="0.2">
      <c r="F845">
        <v>3256136.3764999998</v>
      </c>
    </row>
    <row r="846" spans="6:6" x14ac:dyDescent="0.2">
      <c r="F846">
        <v>3266433.9514000001</v>
      </c>
    </row>
    <row r="847" spans="6:6" x14ac:dyDescent="0.2">
      <c r="F847">
        <v>16518216.1588</v>
      </c>
    </row>
    <row r="848" spans="6:6" x14ac:dyDescent="0.2">
      <c r="F848">
        <v>2257704.4791999999</v>
      </c>
    </row>
    <row r="849" spans="6:6" x14ac:dyDescent="0.2">
      <c r="F849">
        <v>-1295406.1255000001</v>
      </c>
    </row>
    <row r="850" spans="6:6" x14ac:dyDescent="0.2">
      <c r="F850">
        <v>-190952.7242</v>
      </c>
    </row>
    <row r="851" spans="6:6" x14ac:dyDescent="0.2">
      <c r="F851">
        <v>1549536.0085</v>
      </c>
    </row>
    <row r="852" spans="6:6" x14ac:dyDescent="0.2">
      <c r="F852">
        <v>-1612707.0793000001</v>
      </c>
    </row>
    <row r="853" spans="6:6" x14ac:dyDescent="0.2">
      <c r="F853">
        <v>-118458.7886</v>
      </c>
    </row>
    <row r="854" spans="6:6" x14ac:dyDescent="0.2">
      <c r="F854">
        <v>10649298.5055</v>
      </c>
    </row>
    <row r="855" spans="6:6" x14ac:dyDescent="0.2">
      <c r="F855">
        <v>3542629.8001999999</v>
      </c>
    </row>
    <row r="856" spans="6:6" x14ac:dyDescent="0.2">
      <c r="F856">
        <v>13240083.059</v>
      </c>
    </row>
    <row r="857" spans="6:6" x14ac:dyDescent="0.2">
      <c r="F857">
        <v>2649558.0274</v>
      </c>
    </row>
    <row r="858" spans="6:6" x14ac:dyDescent="0.2">
      <c r="F858">
        <v>-472961.6066</v>
      </c>
    </row>
    <row r="859" spans="6:6" x14ac:dyDescent="0.2">
      <c r="F859">
        <v>1363808.9176</v>
      </c>
    </row>
    <row r="860" spans="6:6" x14ac:dyDescent="0.2">
      <c r="F860">
        <v>-518768.8947</v>
      </c>
    </row>
    <row r="861" spans="6:6" x14ac:dyDescent="0.2">
      <c r="F861">
        <v>3295977.2102999999</v>
      </c>
    </row>
    <row r="862" spans="6:6" x14ac:dyDescent="0.2">
      <c r="F862">
        <v>728499.32</v>
      </c>
    </row>
    <row r="863" spans="6:6" x14ac:dyDescent="0.2">
      <c r="F863">
        <v>89852.077799999999</v>
      </c>
    </row>
    <row r="864" spans="6:6" x14ac:dyDescent="0.2">
      <c r="F864">
        <v>12677495.8095</v>
      </c>
    </row>
    <row r="865" spans="6:6" x14ac:dyDescent="0.2">
      <c r="F865">
        <v>-195195.14970000001</v>
      </c>
    </row>
    <row r="866" spans="6:6" x14ac:dyDescent="0.2">
      <c r="F866">
        <v>619597.71429999999</v>
      </c>
    </row>
    <row r="867" spans="6:6" x14ac:dyDescent="0.2">
      <c r="F867">
        <v>57506.2451</v>
      </c>
    </row>
    <row r="868" spans="6:6" x14ac:dyDescent="0.2">
      <c r="F868">
        <v>-554721.18090000004</v>
      </c>
    </row>
    <row r="869" spans="6:6" x14ac:dyDescent="0.2">
      <c r="F869">
        <v>32554996.403499998</v>
      </c>
    </row>
    <row r="870" spans="6:6" x14ac:dyDescent="0.2">
      <c r="F870">
        <v>-1641249.13</v>
      </c>
    </row>
    <row r="871" spans="6:6" x14ac:dyDescent="0.2">
      <c r="F871">
        <v>-665312.32999999996</v>
      </c>
    </row>
    <row r="872" spans="6:6" x14ac:dyDescent="0.2">
      <c r="F872">
        <v>1209192.0936</v>
      </c>
    </row>
    <row r="873" spans="6:6" x14ac:dyDescent="0.2">
      <c r="F873">
        <v>-204831.67120000001</v>
      </c>
    </row>
    <row r="874" spans="6:6" x14ac:dyDescent="0.2">
      <c r="F874">
        <v>2318355.6993999998</v>
      </c>
    </row>
    <row r="875" spans="6:6" x14ac:dyDescent="0.2">
      <c r="F875">
        <v>1070607.4428000001</v>
      </c>
    </row>
    <row r="876" spans="6:6" x14ac:dyDescent="0.2">
      <c r="F876">
        <v>2226348.3061000002</v>
      </c>
    </row>
    <row r="877" spans="6:6" x14ac:dyDescent="0.2">
      <c r="F877">
        <v>2682803.9103999999</v>
      </c>
    </row>
    <row r="878" spans="6:6" x14ac:dyDescent="0.2">
      <c r="F878">
        <v>3356172.8198000002</v>
      </c>
    </row>
    <row r="879" spans="6:6" x14ac:dyDescent="0.2">
      <c r="F879">
        <v>3546712.8557000002</v>
      </c>
    </row>
    <row r="880" spans="6:6" x14ac:dyDescent="0.2">
      <c r="F880">
        <v>15347910.9552</v>
      </c>
    </row>
    <row r="881" spans="6:6" x14ac:dyDescent="0.2">
      <c r="F881">
        <v>800035.38049999997</v>
      </c>
    </row>
    <row r="882" spans="6:6" x14ac:dyDescent="0.2">
      <c r="F882">
        <v>-1644489.6769000001</v>
      </c>
    </row>
    <row r="883" spans="6:6" x14ac:dyDescent="0.2">
      <c r="F883">
        <v>2447051.8316000002</v>
      </c>
    </row>
    <row r="884" spans="6:6" x14ac:dyDescent="0.2">
      <c r="F884">
        <v>7298863.6177000003</v>
      </c>
    </row>
    <row r="885" spans="6:6" x14ac:dyDescent="0.2">
      <c r="F885">
        <v>-292134.288</v>
      </c>
    </row>
    <row r="886" spans="6:6" x14ac:dyDescent="0.2">
      <c r="F886">
        <v>-1847653.1065</v>
      </c>
    </row>
    <row r="887" spans="6:6" x14ac:dyDescent="0.2">
      <c r="F887">
        <v>4912031.7616999997</v>
      </c>
    </row>
    <row r="888" spans="6:6" x14ac:dyDescent="0.2">
      <c r="F888">
        <v>16544566.4112</v>
      </c>
    </row>
    <row r="889" spans="6:6" x14ac:dyDescent="0.2">
      <c r="F889">
        <v>636880.99899999995</v>
      </c>
    </row>
    <row r="890" spans="6:6" x14ac:dyDescent="0.2">
      <c r="F890">
        <v>-19832.149000000001</v>
      </c>
    </row>
    <row r="891" spans="6:6" x14ac:dyDescent="0.2">
      <c r="F891">
        <v>979000.4547</v>
      </c>
    </row>
    <row r="892" spans="6:6" x14ac:dyDescent="0.2">
      <c r="F892">
        <v>-722893.05469999998</v>
      </c>
    </row>
    <row r="893" spans="6:6" x14ac:dyDescent="0.2">
      <c r="F893">
        <v>3579165.6749</v>
      </c>
    </row>
    <row r="894" spans="6:6" x14ac:dyDescent="0.2">
      <c r="F894">
        <v>2072469.7690000001</v>
      </c>
    </row>
    <row r="895" spans="6:6" x14ac:dyDescent="0.2">
      <c r="F895">
        <v>1978461.1854999999</v>
      </c>
    </row>
    <row r="896" spans="6:6" x14ac:dyDescent="0.2">
      <c r="F896">
        <v>1071273.5177</v>
      </c>
    </row>
    <row r="897" spans="6:6" x14ac:dyDescent="0.2">
      <c r="F897">
        <v>10209196.045499999</v>
      </c>
    </row>
    <row r="898" spans="6:6" x14ac:dyDescent="0.2">
      <c r="F898">
        <v>-1365526.7652</v>
      </c>
    </row>
    <row r="899" spans="6:6" x14ac:dyDescent="0.2">
      <c r="F899">
        <v>3692836.9334999998</v>
      </c>
    </row>
    <row r="900" spans="6:6" x14ac:dyDescent="0.2">
      <c r="F900">
        <v>3110569.2609999999</v>
      </c>
    </row>
    <row r="901" spans="6:6" x14ac:dyDescent="0.2">
      <c r="F901">
        <v>5385159.6410999997</v>
      </c>
    </row>
    <row r="902" spans="6:6" x14ac:dyDescent="0.2">
      <c r="F902">
        <v>4974924.1434000004</v>
      </c>
    </row>
    <row r="903" spans="6:6" x14ac:dyDescent="0.2">
      <c r="F903">
        <v>4178298.0635000002</v>
      </c>
    </row>
    <row r="904" spans="6:6" x14ac:dyDescent="0.2">
      <c r="F904">
        <v>-848983.25089999998</v>
      </c>
    </row>
    <row r="905" spans="6:6" x14ac:dyDescent="0.2">
      <c r="F905">
        <v>-131662.22529999999</v>
      </c>
    </row>
    <row r="906" spans="6:6" x14ac:dyDescent="0.2">
      <c r="F906">
        <v>372528.9313</v>
      </c>
    </row>
    <row r="907" spans="6:6" x14ac:dyDescent="0.2">
      <c r="F907">
        <v>2137401.4005</v>
      </c>
    </row>
    <row r="908" spans="6:6" x14ac:dyDescent="0.2">
      <c r="F908">
        <v>4240317.1750999996</v>
      </c>
    </row>
    <row r="909" spans="6:6" x14ac:dyDescent="0.2">
      <c r="F909">
        <v>451687.32449999999</v>
      </c>
    </row>
    <row r="910" spans="6:6" x14ac:dyDescent="0.2">
      <c r="F910">
        <v>-2607874.6219000001</v>
      </c>
    </row>
    <row r="911" spans="6:6" x14ac:dyDescent="0.2">
      <c r="F911">
        <v>-524266.60810000001</v>
      </c>
    </row>
    <row r="912" spans="6:6" x14ac:dyDescent="0.2">
      <c r="F912">
        <v>4915985.3964</v>
      </c>
    </row>
    <row r="913" spans="6:6" x14ac:dyDescent="0.2">
      <c r="F913">
        <v>3329465.8997</v>
      </c>
    </row>
    <row r="914" spans="6:6" x14ac:dyDescent="0.2">
      <c r="F914">
        <v>-18671.355200000002</v>
      </c>
    </row>
    <row r="915" spans="6:6" x14ac:dyDescent="0.2">
      <c r="F915">
        <v>-247783.0338</v>
      </c>
    </row>
    <row r="916" spans="6:6" x14ac:dyDescent="0.2">
      <c r="F916">
        <v>-1245897.3984000001</v>
      </c>
    </row>
    <row r="917" spans="6:6" x14ac:dyDescent="0.2">
      <c r="F917">
        <v>4812370.2143999999</v>
      </c>
    </row>
    <row r="918" spans="6:6" x14ac:dyDescent="0.2">
      <c r="F918">
        <v>5416835.5782000003</v>
      </c>
    </row>
    <row r="919" spans="6:6" x14ac:dyDescent="0.2">
      <c r="F919">
        <v>8789502.1637999993</v>
      </c>
    </row>
    <row r="920" spans="6:6" x14ac:dyDescent="0.2">
      <c r="F920">
        <v>1053658.6169</v>
      </c>
    </row>
    <row r="921" spans="6:6" x14ac:dyDescent="0.2">
      <c r="F921">
        <v>-1487077.3104999999</v>
      </c>
    </row>
    <row r="922" spans="6:6" x14ac:dyDescent="0.2">
      <c r="F922">
        <v>14179827.657600001</v>
      </c>
    </row>
    <row r="923" spans="6:6" x14ac:dyDescent="0.2">
      <c r="F923">
        <v>-452982.75929999998</v>
      </c>
    </row>
    <row r="924" spans="6:6" x14ac:dyDescent="0.2">
      <c r="F924">
        <v>5980926.1494000005</v>
      </c>
    </row>
    <row r="925" spans="6:6" x14ac:dyDescent="0.2">
      <c r="F925">
        <v>13511962.0033</v>
      </c>
    </row>
    <row r="926" spans="6:6" x14ac:dyDescent="0.2">
      <c r="F926">
        <v>4159950.2677000002</v>
      </c>
    </row>
    <row r="927" spans="6:6" x14ac:dyDescent="0.2">
      <c r="F927">
        <v>-743220.58250000002</v>
      </c>
    </row>
    <row r="928" spans="6:6" x14ac:dyDescent="0.2">
      <c r="F928">
        <v>-601416.83490000002</v>
      </c>
    </row>
    <row r="929" spans="6:6" x14ac:dyDescent="0.2">
      <c r="F929">
        <v>993287.27069999999</v>
      </c>
    </row>
    <row r="930" spans="6:6" x14ac:dyDescent="0.2">
      <c r="F930">
        <v>2245369.6249000002</v>
      </c>
    </row>
    <row r="931" spans="6:6" x14ac:dyDescent="0.2">
      <c r="F931">
        <v>288213.43589999998</v>
      </c>
    </row>
    <row r="932" spans="6:6" x14ac:dyDescent="0.2">
      <c r="F932">
        <v>-357599.29749999999</v>
      </c>
    </row>
    <row r="933" spans="6:6" x14ac:dyDescent="0.2">
      <c r="F933">
        <v>-108680.5788</v>
      </c>
    </row>
    <row r="934" spans="6:6" x14ac:dyDescent="0.2">
      <c r="F934">
        <v>26871278.677299999</v>
      </c>
    </row>
    <row r="935" spans="6:6" x14ac:dyDescent="0.2">
      <c r="F935">
        <v>-2416403.1</v>
      </c>
    </row>
    <row r="936" spans="6:6" x14ac:dyDescent="0.2">
      <c r="F936">
        <v>8210567.2598999999</v>
      </c>
    </row>
    <row r="937" spans="6:6" x14ac:dyDescent="0.2">
      <c r="F937">
        <v>760653.0882</v>
      </c>
    </row>
    <row r="938" spans="6:6" x14ac:dyDescent="0.2">
      <c r="F938">
        <v>-2491948.7226999998</v>
      </c>
    </row>
    <row r="939" spans="6:6" x14ac:dyDescent="0.2">
      <c r="F939">
        <v>3497154.5935</v>
      </c>
    </row>
    <row r="940" spans="6:6" x14ac:dyDescent="0.2">
      <c r="F940">
        <v>13756781.3224</v>
      </c>
    </row>
    <row r="941" spans="6:6" x14ac:dyDescent="0.2">
      <c r="F941">
        <v>5952166.4364999998</v>
      </c>
    </row>
    <row r="942" spans="6:6" x14ac:dyDescent="0.2">
      <c r="F942">
        <v>-279350.7464</v>
      </c>
    </row>
    <row r="943" spans="6:6" x14ac:dyDescent="0.2">
      <c r="F943">
        <v>2117695.8657999998</v>
      </c>
    </row>
    <row r="944" spans="6:6" x14ac:dyDescent="0.2">
      <c r="F944">
        <v>882596.10219999996</v>
      </c>
    </row>
    <row r="945" spans="6:6" x14ac:dyDescent="0.2">
      <c r="F945">
        <v>-217007.1747</v>
      </c>
    </row>
    <row r="946" spans="6:6" x14ac:dyDescent="0.2">
      <c r="F946">
        <v>-255025.04990000001</v>
      </c>
    </row>
    <row r="947" spans="6:6" x14ac:dyDescent="0.2">
      <c r="F947">
        <v>433110.48210000002</v>
      </c>
    </row>
    <row r="948" spans="6:6" x14ac:dyDescent="0.2">
      <c r="F948">
        <v>898136.94420000003</v>
      </c>
    </row>
    <row r="949" spans="6:6" x14ac:dyDescent="0.2">
      <c r="F949">
        <v>691015.8824</v>
      </c>
    </row>
    <row r="950" spans="6:6" x14ac:dyDescent="0.2">
      <c r="F950">
        <v>6515325.6563999997</v>
      </c>
    </row>
    <row r="951" spans="6:6" x14ac:dyDescent="0.2">
      <c r="F951">
        <v>-1197131.9842000001</v>
      </c>
    </row>
    <row r="952" spans="6:6" x14ac:dyDescent="0.2">
      <c r="F952">
        <v>34500377.536200002</v>
      </c>
    </row>
    <row r="953" spans="6:6" x14ac:dyDescent="0.2">
      <c r="F953">
        <v>16001011.717499999</v>
      </c>
    </row>
    <row r="954" spans="6:6" x14ac:dyDescent="0.2">
      <c r="F954">
        <v>15440833.9955</v>
      </c>
    </row>
    <row r="955" spans="6:6" x14ac:dyDescent="0.2">
      <c r="F955">
        <v>312383.67589999997</v>
      </c>
    </row>
    <row r="956" spans="6:6" x14ac:dyDescent="0.2">
      <c r="F956">
        <v>1233871.7686000001</v>
      </c>
    </row>
    <row r="957" spans="6:6" x14ac:dyDescent="0.2">
      <c r="F957">
        <v>2051327.3764</v>
      </c>
    </row>
    <row r="958" spans="6:6" x14ac:dyDescent="0.2">
      <c r="F958">
        <v>220694.16500000001</v>
      </c>
    </row>
    <row r="959" spans="6:6" x14ac:dyDescent="0.2">
      <c r="F959">
        <v>1111346.9894999999</v>
      </c>
    </row>
    <row r="960" spans="6:6" x14ac:dyDescent="0.2">
      <c r="F960">
        <v>483073.7475</v>
      </c>
    </row>
    <row r="961" spans="6:6" x14ac:dyDescent="0.2">
      <c r="F961">
        <v>581246.37899999996</v>
      </c>
    </row>
    <row r="962" spans="6:6" x14ac:dyDescent="0.2">
      <c r="F962">
        <v>-200645.28450000001</v>
      </c>
    </row>
    <row r="963" spans="6:6" x14ac:dyDescent="0.2">
      <c r="F963">
        <v>21573.099300000002</v>
      </c>
    </row>
    <row r="964" spans="6:6" x14ac:dyDescent="0.2">
      <c r="F964">
        <v>1347054.3117</v>
      </c>
    </row>
    <row r="965" spans="6:6" x14ac:dyDescent="0.2">
      <c r="F965">
        <v>1036467.0553</v>
      </c>
    </row>
    <row r="966" spans="6:6" x14ac:dyDescent="0.2">
      <c r="F966">
        <v>2495341.338</v>
      </c>
    </row>
    <row r="967" spans="6:6" x14ac:dyDescent="0.2">
      <c r="F967">
        <v>-214990.0361</v>
      </c>
    </row>
    <row r="968" spans="6:6" x14ac:dyDescent="0.2">
      <c r="F968">
        <v>2282484.9501999998</v>
      </c>
    </row>
    <row r="969" spans="6:6" x14ac:dyDescent="0.2">
      <c r="F969">
        <v>10740475.0287</v>
      </c>
    </row>
    <row r="970" spans="6:6" x14ac:dyDescent="0.2">
      <c r="F970">
        <v>252315.17879999999</v>
      </c>
    </row>
    <row r="971" spans="6:6" x14ac:dyDescent="0.2">
      <c r="F971">
        <v>-1291282.152</v>
      </c>
    </row>
    <row r="972" spans="6:6" x14ac:dyDescent="0.2">
      <c r="F972">
        <v>1103593.1782</v>
      </c>
    </row>
    <row r="973" spans="6:6" x14ac:dyDescent="0.2">
      <c r="F973">
        <v>3388373.6091999998</v>
      </c>
    </row>
    <row r="974" spans="6:6" x14ac:dyDescent="0.2">
      <c r="F974">
        <v>2911575.6628999999</v>
      </c>
    </row>
    <row r="975" spans="6:6" x14ac:dyDescent="0.2">
      <c r="F975">
        <v>4275878.3359000003</v>
      </c>
    </row>
    <row r="976" spans="6:6" x14ac:dyDescent="0.2">
      <c r="F976">
        <v>1681699.2356</v>
      </c>
    </row>
    <row r="977" spans="6:6" x14ac:dyDescent="0.2">
      <c r="F977">
        <v>1773637.3606</v>
      </c>
    </row>
    <row r="978" spans="6:6" x14ac:dyDescent="0.2">
      <c r="F978">
        <v>-135707.06210000001</v>
      </c>
    </row>
    <row r="979" spans="6:6" x14ac:dyDescent="0.2">
      <c r="F979">
        <v>2503492.3428000002</v>
      </c>
    </row>
    <row r="980" spans="6:6" x14ac:dyDescent="0.2">
      <c r="F980">
        <v>-1816354.6117</v>
      </c>
    </row>
    <row r="981" spans="6:6" x14ac:dyDescent="0.2">
      <c r="F981">
        <v>776779.54839999997</v>
      </c>
    </row>
    <row r="982" spans="6:6" x14ac:dyDescent="0.2">
      <c r="F982">
        <v>-1673749.1310000001</v>
      </c>
    </row>
    <row r="983" spans="6:6" x14ac:dyDescent="0.2">
      <c r="F983">
        <v>6799055.7313000001</v>
      </c>
    </row>
    <row r="984" spans="6:6" x14ac:dyDescent="0.2">
      <c r="F984">
        <v>-49094.720200000003</v>
      </c>
    </row>
    <row r="985" spans="6:6" x14ac:dyDescent="0.2">
      <c r="F985">
        <v>-1489234.5152</v>
      </c>
    </row>
    <row r="986" spans="6:6" x14ac:dyDescent="0.2">
      <c r="F986">
        <v>7872282.4046999998</v>
      </c>
    </row>
    <row r="987" spans="6:6" x14ac:dyDescent="0.2">
      <c r="F987">
        <v>802726.76769999997</v>
      </c>
    </row>
    <row r="988" spans="6:6" x14ac:dyDescent="0.2">
      <c r="F988">
        <v>9412183.6800999995</v>
      </c>
    </row>
    <row r="989" spans="6:6" x14ac:dyDescent="0.2">
      <c r="F989">
        <v>-930212.97309999994</v>
      </c>
    </row>
    <row r="990" spans="6:6" x14ac:dyDescent="0.2">
      <c r="F990">
        <v>388236.48920000001</v>
      </c>
    </row>
    <row r="991" spans="6:6" x14ac:dyDescent="0.2">
      <c r="F991">
        <v>6843161.5012999997</v>
      </c>
    </row>
    <row r="992" spans="6:6" x14ac:dyDescent="0.2">
      <c r="F992">
        <v>1766072.2401000001</v>
      </c>
    </row>
    <row r="993" spans="6:6" x14ac:dyDescent="0.2">
      <c r="F993">
        <v>3653326.4356999998</v>
      </c>
    </row>
    <row r="994" spans="6:6" x14ac:dyDescent="0.2">
      <c r="F994">
        <v>10903351.272500001</v>
      </c>
    </row>
    <row r="995" spans="6:6" x14ac:dyDescent="0.2">
      <c r="F995">
        <v>4741259.8512000004</v>
      </c>
    </row>
    <row r="996" spans="6:6" x14ac:dyDescent="0.2">
      <c r="F996">
        <v>5558929.7147000004</v>
      </c>
    </row>
    <row r="997" spans="6:6" x14ac:dyDescent="0.2">
      <c r="F997">
        <v>6806212.6458000001</v>
      </c>
    </row>
    <row r="998" spans="6:6" x14ac:dyDescent="0.2">
      <c r="F998">
        <v>1790209.3012000001</v>
      </c>
    </row>
    <row r="999" spans="6:6" x14ac:dyDescent="0.2">
      <c r="F999">
        <v>3144241.6088999999</v>
      </c>
    </row>
    <row r="1000" spans="6:6" x14ac:dyDescent="0.2">
      <c r="F1000">
        <v>4812363.7518999996</v>
      </c>
    </row>
    <row r="1001" spans="6:6" x14ac:dyDescent="0.2">
      <c r="F1001">
        <v>-419108.71870000003</v>
      </c>
    </row>
    <row r="1002" spans="6:6" x14ac:dyDescent="0.2">
      <c r="F1002">
        <v>902546.56429999997</v>
      </c>
    </row>
    <row r="1003" spans="6:6" x14ac:dyDescent="0.2">
      <c r="F1003">
        <v>13089.609399999999</v>
      </c>
    </row>
    <row r="1004" spans="6:6" x14ac:dyDescent="0.2">
      <c r="F1004">
        <v>123150.0114</v>
      </c>
    </row>
    <row r="1005" spans="6:6" x14ac:dyDescent="0.2">
      <c r="F1005">
        <v>12838418.804500001</v>
      </c>
    </row>
    <row r="1006" spans="6:6" x14ac:dyDescent="0.2">
      <c r="F1006">
        <v>1348636.246</v>
      </c>
    </row>
    <row r="1007" spans="6:6" x14ac:dyDescent="0.2">
      <c r="F1007">
        <v>-78735.382199999993</v>
      </c>
    </row>
    <row r="1008" spans="6:6" x14ac:dyDescent="0.2">
      <c r="F1008">
        <v>-1380401.2838999999</v>
      </c>
    </row>
    <row r="1009" spans="6:6" x14ac:dyDescent="0.2">
      <c r="F1009">
        <v>2448476.5784999998</v>
      </c>
    </row>
    <row r="1010" spans="6:6" x14ac:dyDescent="0.2">
      <c r="F1010">
        <v>4243327.5938999997</v>
      </c>
    </row>
    <row r="1011" spans="6:6" x14ac:dyDescent="0.2">
      <c r="F1011">
        <v>1542569.0109999999</v>
      </c>
    </row>
    <row r="1012" spans="6:6" x14ac:dyDescent="0.2">
      <c r="F1012">
        <v>-916581.78960000002</v>
      </c>
    </row>
    <row r="1013" spans="6:6" x14ac:dyDescent="0.2">
      <c r="F1013">
        <v>351777.56569999998</v>
      </c>
    </row>
    <row r="1014" spans="6:6" x14ac:dyDescent="0.2">
      <c r="F1014">
        <v>-621225.75820000004</v>
      </c>
    </row>
    <row r="1015" spans="6:6" x14ac:dyDescent="0.2">
      <c r="F1015">
        <v>-323940.52380000002</v>
      </c>
    </row>
    <row r="1016" spans="6:6" x14ac:dyDescent="0.2">
      <c r="F1016">
        <v>6185081.3892000001</v>
      </c>
    </row>
    <row r="1017" spans="6:6" x14ac:dyDescent="0.2">
      <c r="F1017">
        <v>4991721.8421999998</v>
      </c>
    </row>
    <row r="1018" spans="6:6" x14ac:dyDescent="0.2">
      <c r="F1018">
        <v>2247734.3706</v>
      </c>
    </row>
    <row r="1019" spans="6:6" x14ac:dyDescent="0.2">
      <c r="F1019">
        <v>-131591.49280000001</v>
      </c>
    </row>
    <row r="1020" spans="6:6" x14ac:dyDescent="0.2">
      <c r="F1020">
        <v>1191533.7622</v>
      </c>
    </row>
    <row r="1021" spans="6:6" x14ac:dyDescent="0.2">
      <c r="F1021">
        <v>169576.4388</v>
      </c>
    </row>
    <row r="1022" spans="6:6" x14ac:dyDescent="0.2">
      <c r="F1022">
        <v>1629940.9256</v>
      </c>
    </row>
    <row r="1023" spans="6:6" x14ac:dyDescent="0.2">
      <c r="F1023">
        <v>7641082.8362999996</v>
      </c>
    </row>
    <row r="1024" spans="6:6" x14ac:dyDescent="0.2">
      <c r="F1024">
        <v>3329362.7472999999</v>
      </c>
    </row>
    <row r="1025" spans="6:6" x14ac:dyDescent="0.2">
      <c r="F1025">
        <v>1763338.2774</v>
      </c>
    </row>
    <row r="1026" spans="6:6" x14ac:dyDescent="0.2">
      <c r="F1026">
        <v>8628864.3324999996</v>
      </c>
    </row>
    <row r="1027" spans="6:6" x14ac:dyDescent="0.2">
      <c r="F1027">
        <v>9381924.5073000006</v>
      </c>
    </row>
    <row r="1028" spans="6:6" x14ac:dyDescent="0.2">
      <c r="F1028">
        <v>-1616353.9157</v>
      </c>
    </row>
    <row r="1029" spans="6:6" x14ac:dyDescent="0.2">
      <c r="F1029">
        <v>2282867.7828000002</v>
      </c>
    </row>
    <row r="1030" spans="6:6" x14ac:dyDescent="0.2">
      <c r="F1030">
        <v>2138472.8909</v>
      </c>
    </row>
    <row r="1031" spans="6:6" x14ac:dyDescent="0.2">
      <c r="F1031">
        <v>1504215.9863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MonteCarlo">
                <anchor moveWithCells="1" sizeWithCells="1">
                  <from>
                    <xdr:col>5</xdr:col>
                    <xdr:colOff>139700</xdr:colOff>
                    <xdr:row>8</xdr:row>
                    <xdr:rowOff>177800</xdr:rowOff>
                  </from>
                  <to>
                    <xdr:col>6</xdr:col>
                    <xdr:colOff>127000</xdr:colOff>
                    <xdr:row>11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DONALDSON</dc:creator>
  <cp:lastModifiedBy>Jeffrey Donaldson</cp:lastModifiedBy>
  <dcterms:created xsi:type="dcterms:W3CDTF">2014-02-05T15:49:33Z</dcterms:created>
  <dcterms:modified xsi:type="dcterms:W3CDTF">2024-09-05T19:49:33Z</dcterms:modified>
</cp:coreProperties>
</file>